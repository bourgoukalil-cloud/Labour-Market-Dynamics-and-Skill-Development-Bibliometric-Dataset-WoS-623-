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Worker\OneDrive - Neumann János Egyetem\PhD\Subjects_first_year_2024_2025\Scientometrics and Bibliometrics\Data-11152024\Get-Paper-Done-12-24\VOS623\"/>
    </mc:Choice>
  </mc:AlternateContent>
  <xr:revisionPtr revIDLastSave="0" documentId="13_ncr:1_{B6864E24-15E7-44C3-BF4F-C4ECD119CD5C}" xr6:coauthVersionLast="47" xr6:coauthVersionMax="47" xr10:uidLastSave="{00000000-0000-0000-0000-000000000000}"/>
  <bookViews>
    <workbookView xWindow="-108" yWindow="492" windowWidth="23256" windowHeight="12576" activeTab="1" xr2:uid="{00000000-000D-0000-FFFF-FFFF00000000}"/>
  </bookViews>
  <sheets>
    <sheet name="Sheet1" sheetId="1" r:id="rId1"/>
    <sheet name="FinalPro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2" l="1"/>
  <c r="N4" i="2"/>
  <c r="O3" i="2"/>
  <c r="N3" i="2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" i="1"/>
</calcChain>
</file>

<file path=xl/sharedStrings.xml><?xml version="1.0" encoding="utf-8"?>
<sst xmlns="http://schemas.openxmlformats.org/spreadsheetml/2006/main" count="322" uniqueCount="140">
  <si>
    <t>Countries/Regions</t>
  </si>
  <si>
    <t>USA</t>
  </si>
  <si>
    <t>ITALY</t>
  </si>
  <si>
    <t>RUSSIA</t>
  </si>
  <si>
    <t>SPAIN</t>
  </si>
  <si>
    <t>MALAYSIA</t>
  </si>
  <si>
    <t>BRAZIL</t>
  </si>
  <si>
    <t>GERMANY</t>
  </si>
  <si>
    <t>PORTUGAL</t>
  </si>
  <si>
    <t>CANADA</t>
  </si>
  <si>
    <t>ENGLAND</t>
  </si>
  <si>
    <t>ROMANIA</t>
  </si>
  <si>
    <t>AUSTRALIA</t>
  </si>
  <si>
    <t>INDIA</t>
  </si>
  <si>
    <t>PEOPLES R CHINA</t>
  </si>
  <si>
    <t>POLAND</t>
  </si>
  <si>
    <t>MEXICO</t>
  </si>
  <si>
    <t>NETHERLANDS</t>
  </si>
  <si>
    <t>UKRAINE</t>
  </si>
  <si>
    <t>INDONESIA</t>
  </si>
  <si>
    <t>CZECH REPUBLIC</t>
  </si>
  <si>
    <t>IRELAND</t>
  </si>
  <si>
    <t>FRANCE</t>
  </si>
  <si>
    <t>HUNGARY</t>
  </si>
  <si>
    <t>SAUDI ARABIA</t>
  </si>
  <si>
    <t>SLOVAKIA</t>
  </si>
  <si>
    <t>GREECE</t>
  </si>
  <si>
    <t>SOUTH AFRICA</t>
  </si>
  <si>
    <t>SWITZERLAND</t>
  </si>
  <si>
    <t>AUSTRIA</t>
  </si>
  <si>
    <t>BELGIUM</t>
  </si>
  <si>
    <t>FINLAND</t>
  </si>
  <si>
    <t>MOROCCO</t>
  </si>
  <si>
    <t>BANGLADESH</t>
  </si>
  <si>
    <t>CHILE</t>
  </si>
  <si>
    <t>COLOMBIA</t>
  </si>
  <si>
    <t>CROATIA</t>
  </si>
  <si>
    <t>DENMARK</t>
  </si>
  <si>
    <t>SWEDEN</t>
  </si>
  <si>
    <t>JAPAN</t>
  </si>
  <si>
    <t>LATVIA</t>
  </si>
  <si>
    <t>PAKISTAN</t>
  </si>
  <si>
    <t>SERBIA</t>
  </si>
  <si>
    <t>SINGAPORE</t>
  </si>
  <si>
    <t>THAILAND</t>
  </si>
  <si>
    <t>EGYPT</t>
  </si>
  <si>
    <t>PERU</t>
  </si>
  <si>
    <t>QATAR</t>
  </si>
  <si>
    <t>SCOTLAND</t>
  </si>
  <si>
    <t>SOUTH KOREA</t>
  </si>
  <si>
    <t>TURKEY</t>
  </si>
  <si>
    <t>TURKIYE</t>
  </si>
  <si>
    <t>ARGENTINA</t>
  </si>
  <si>
    <t>BRUNEI</t>
  </si>
  <si>
    <t>BULGARIA</t>
  </si>
  <si>
    <t>IRAN</t>
  </si>
  <si>
    <t>JORDAN</t>
  </si>
  <si>
    <t>LEBANON</t>
  </si>
  <si>
    <t>LUXEMBOURG</t>
  </si>
  <si>
    <t>OMAN</t>
  </si>
  <si>
    <t>TAIWAN</t>
  </si>
  <si>
    <t>TANZANIA</t>
  </si>
  <si>
    <t>U ARAB EMIRATES</t>
  </si>
  <si>
    <t>VENEZUELA</t>
  </si>
  <si>
    <t>VIETNAM</t>
  </si>
  <si>
    <t>ALBANIA</t>
  </si>
  <si>
    <t>ALGERIA</t>
  </si>
  <si>
    <t>ANGOLA</t>
  </si>
  <si>
    <t>BAHAMAS</t>
  </si>
  <si>
    <t>BAHRAIN</t>
  </si>
  <si>
    <t>BELARUS</t>
  </si>
  <si>
    <t>BOSNIA HERCEG</t>
  </si>
  <si>
    <t>CAMBODIA</t>
  </si>
  <si>
    <t>COSTA RICA</t>
  </si>
  <si>
    <t>ECUADOR</t>
  </si>
  <si>
    <t>ETHIOPIA</t>
  </si>
  <si>
    <t>KAZAKHSTAN</t>
  </si>
  <si>
    <t>KENYA</t>
  </si>
  <si>
    <t>KUWAIT</t>
  </si>
  <si>
    <t>NEW ZEALAND</t>
  </si>
  <si>
    <t>NIGERIA</t>
  </si>
  <si>
    <t>NORTH IRELAND</t>
  </si>
  <si>
    <t>NORWAY</t>
  </si>
  <si>
    <t>RWANDA</t>
  </si>
  <si>
    <t>SLOVENIA</t>
  </si>
  <si>
    <t>SRI LANKA</t>
  </si>
  <si>
    <t>TUNISIA</t>
  </si>
  <si>
    <t>WALES</t>
  </si>
  <si>
    <t>4 record(s) (0.642%) do not contain data in the field being analyzed</t>
  </si>
  <si>
    <t>id</t>
  </si>
  <si>
    <t>label</t>
  </si>
  <si>
    <t>x</t>
  </si>
  <si>
    <t>y</t>
  </si>
  <si>
    <t>cluster</t>
  </si>
  <si>
    <t>weight&lt;Links&gt;</t>
  </si>
  <si>
    <t>weight&lt;Total link strength&gt;</t>
  </si>
  <si>
    <t>weight&lt;Documents&gt;</t>
  </si>
  <si>
    <t>weight&lt;Citations&gt;</t>
  </si>
  <si>
    <t>australia</t>
  </si>
  <si>
    <t>austria</t>
  </si>
  <si>
    <t>bangladesh</t>
  </si>
  <si>
    <t>belgium</t>
  </si>
  <si>
    <t>brazil</t>
  </si>
  <si>
    <t>canada</t>
  </si>
  <si>
    <t>colombia</t>
  </si>
  <si>
    <t>czech republic</t>
  </si>
  <si>
    <t>denmark</t>
  </si>
  <si>
    <t>england</t>
  </si>
  <si>
    <t>finland</t>
  </si>
  <si>
    <t>france</t>
  </si>
  <si>
    <t>germany</t>
  </si>
  <si>
    <t>greece</t>
  </si>
  <si>
    <t>hungary</t>
  </si>
  <si>
    <t>india</t>
  </si>
  <si>
    <t>indonesia</t>
  </si>
  <si>
    <t>ireland</t>
  </si>
  <si>
    <t>italy</t>
  </si>
  <si>
    <t>malaysia</t>
  </si>
  <si>
    <t>mexico</t>
  </si>
  <si>
    <t>morocco</t>
  </si>
  <si>
    <t>netherlands</t>
  </si>
  <si>
    <t>peoples r china</t>
  </si>
  <si>
    <t>poland</t>
  </si>
  <si>
    <t>portugal</t>
  </si>
  <si>
    <t>romania</t>
  </si>
  <si>
    <t>saudi arabia</t>
  </si>
  <si>
    <t>slovakia</t>
  </si>
  <si>
    <t>south africa</t>
  </si>
  <si>
    <t>spain</t>
  </si>
  <si>
    <t>sweden</t>
  </si>
  <si>
    <t>switzerland</t>
  </si>
  <si>
    <t>usa</t>
  </si>
  <si>
    <t>Citations</t>
  </si>
  <si>
    <t>No. Papers</t>
  </si>
  <si>
    <t>ID</t>
  </si>
  <si>
    <t>Panel A: Ordered by number of papers</t>
  </si>
  <si>
    <t>Panel B: Ordered by number of citations</t>
  </si>
  <si>
    <t>Total pub</t>
  </si>
  <si>
    <t>Total citations</t>
  </si>
  <si>
    <t>%of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</si>
</sst>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1" xfId="0" applyBorder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9"/>
  <sheetViews>
    <sheetView topLeftCell="A55" workbookViewId="0">
      <selection sqref="A1:D88"/>
    </sheetView>
  </sheetViews>
  <sheetFormatPr defaultRowHeight="14.4" x14ac:dyDescent="0.3"/>
  <cols>
    <col min="2" max="2" width="19.6640625" customWidth="1"/>
    <col min="3" max="3" width="28.5546875" customWidth="1"/>
    <col min="4" max="4" width="17.88671875" customWidth="1"/>
    <col min="6" max="6" width="16.109375" customWidth="1"/>
  </cols>
  <sheetData>
    <row r="1" spans="1:13" x14ac:dyDescent="0.3">
      <c r="A1" t="s">
        <v>134</v>
      </c>
      <c r="B1" t="s">
        <v>0</v>
      </c>
      <c r="C1" t="s">
        <v>133</v>
      </c>
      <c r="D1" t="s">
        <v>132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</row>
    <row r="2" spans="1:13" x14ac:dyDescent="0.3">
      <c r="A2">
        <v>1</v>
      </c>
      <c r="B2" t="s">
        <v>1</v>
      </c>
      <c r="C2">
        <v>126</v>
      </c>
      <c r="D2">
        <f>IFERROR(VLOOKUP(B2, $F$2:$M$35, 8, FALSE), 0)</f>
        <v>3248</v>
      </c>
      <c r="E2">
        <v>5</v>
      </c>
      <c r="F2" t="s">
        <v>98</v>
      </c>
      <c r="G2">
        <v>-0.67179999999999995</v>
      </c>
      <c r="H2">
        <v>-0.15340000000000001</v>
      </c>
      <c r="I2">
        <v>2</v>
      </c>
      <c r="J2">
        <v>12</v>
      </c>
      <c r="K2">
        <v>12</v>
      </c>
      <c r="L2">
        <v>20</v>
      </c>
      <c r="M2" s="1">
        <v>293</v>
      </c>
    </row>
    <row r="3" spans="1:13" x14ac:dyDescent="0.3">
      <c r="A3">
        <f>+A2+1</f>
        <v>2</v>
      </c>
      <c r="B3" t="s">
        <v>2</v>
      </c>
      <c r="C3">
        <v>41</v>
      </c>
      <c r="D3">
        <f t="shared" ref="D3:D66" si="0">IFERROR(VLOOKUP(B3, $F$2:$M$35, 8, FALSE), 0)</f>
        <v>366</v>
      </c>
      <c r="E3">
        <v>6</v>
      </c>
      <c r="F3" t="s">
        <v>99</v>
      </c>
      <c r="G3">
        <v>1.2548999999999999</v>
      </c>
      <c r="H3">
        <v>-0.18029999999999999</v>
      </c>
      <c r="I3">
        <v>1</v>
      </c>
      <c r="J3">
        <v>3</v>
      </c>
      <c r="K3">
        <v>4</v>
      </c>
      <c r="L3">
        <v>6</v>
      </c>
      <c r="M3" s="1">
        <v>5</v>
      </c>
    </row>
    <row r="4" spans="1:13" x14ac:dyDescent="0.3">
      <c r="A4">
        <f t="shared" ref="A4:A67" si="1">+A3+1</f>
        <v>3</v>
      </c>
      <c r="B4" t="s">
        <v>3</v>
      </c>
      <c r="C4">
        <v>38</v>
      </c>
      <c r="D4">
        <f t="shared" si="0"/>
        <v>0</v>
      </c>
      <c r="E4">
        <v>9</v>
      </c>
      <c r="F4" t="s">
        <v>100</v>
      </c>
      <c r="G4">
        <v>-0.1779</v>
      </c>
      <c r="H4">
        <v>0.92279999999999995</v>
      </c>
      <c r="I4">
        <v>4</v>
      </c>
      <c r="J4">
        <v>3</v>
      </c>
      <c r="K4">
        <v>3</v>
      </c>
      <c r="L4">
        <v>5</v>
      </c>
      <c r="M4" s="1">
        <v>43</v>
      </c>
    </row>
    <row r="5" spans="1:13" x14ac:dyDescent="0.3">
      <c r="A5">
        <f t="shared" si="1"/>
        <v>4</v>
      </c>
      <c r="B5" t="s">
        <v>4</v>
      </c>
      <c r="C5">
        <v>38</v>
      </c>
      <c r="D5">
        <f t="shared" si="0"/>
        <v>319</v>
      </c>
      <c r="E5">
        <v>11</v>
      </c>
      <c r="F5" t="s">
        <v>101</v>
      </c>
      <c r="G5">
        <v>-0.89290000000000003</v>
      </c>
      <c r="H5">
        <v>-0.3332</v>
      </c>
      <c r="I5">
        <v>2</v>
      </c>
      <c r="J5">
        <v>7</v>
      </c>
      <c r="K5">
        <v>8</v>
      </c>
      <c r="L5">
        <v>6</v>
      </c>
      <c r="M5" s="1">
        <v>49</v>
      </c>
    </row>
    <row r="6" spans="1:13" x14ac:dyDescent="0.3">
      <c r="A6">
        <f t="shared" si="1"/>
        <v>5</v>
      </c>
      <c r="B6" t="s">
        <v>5</v>
      </c>
      <c r="C6">
        <v>33</v>
      </c>
      <c r="D6">
        <f t="shared" si="0"/>
        <v>185</v>
      </c>
      <c r="E6">
        <v>13</v>
      </c>
      <c r="F6" t="s">
        <v>102</v>
      </c>
      <c r="G6">
        <v>0.27350000000000002</v>
      </c>
      <c r="H6">
        <v>2.3800000000000002E-2</v>
      </c>
      <c r="I6">
        <v>1</v>
      </c>
      <c r="J6">
        <v>5</v>
      </c>
      <c r="K6">
        <v>7</v>
      </c>
      <c r="L6">
        <v>28</v>
      </c>
      <c r="M6" s="1">
        <v>84</v>
      </c>
    </row>
    <row r="7" spans="1:13" x14ac:dyDescent="0.3">
      <c r="A7">
        <f t="shared" si="1"/>
        <v>6</v>
      </c>
      <c r="B7" t="s">
        <v>6</v>
      </c>
      <c r="C7">
        <v>28</v>
      </c>
      <c r="D7">
        <f t="shared" si="0"/>
        <v>84</v>
      </c>
      <c r="E7">
        <v>17</v>
      </c>
      <c r="F7" t="s">
        <v>103</v>
      </c>
      <c r="G7">
        <v>-0.52569999999999995</v>
      </c>
      <c r="H7">
        <v>-0.2858</v>
      </c>
      <c r="I7">
        <v>2</v>
      </c>
      <c r="J7">
        <v>10</v>
      </c>
      <c r="K7">
        <v>15</v>
      </c>
      <c r="L7">
        <v>26</v>
      </c>
      <c r="M7" s="1">
        <v>389</v>
      </c>
    </row>
    <row r="8" spans="1:13" x14ac:dyDescent="0.3">
      <c r="A8">
        <f t="shared" si="1"/>
        <v>7</v>
      </c>
      <c r="B8" t="s">
        <v>7</v>
      </c>
      <c r="C8">
        <v>28</v>
      </c>
      <c r="D8">
        <f t="shared" si="0"/>
        <v>378</v>
      </c>
      <c r="E8">
        <v>19</v>
      </c>
      <c r="F8" t="s">
        <v>104</v>
      </c>
      <c r="G8">
        <v>0.93200000000000005</v>
      </c>
      <c r="H8">
        <v>9.4899999999999998E-2</v>
      </c>
      <c r="I8">
        <v>1</v>
      </c>
      <c r="J8">
        <v>2</v>
      </c>
      <c r="K8">
        <v>3</v>
      </c>
      <c r="L8">
        <v>5</v>
      </c>
      <c r="M8" s="1">
        <v>4</v>
      </c>
    </row>
    <row r="9" spans="1:13" x14ac:dyDescent="0.3">
      <c r="A9">
        <f t="shared" si="1"/>
        <v>8</v>
      </c>
      <c r="B9" t="s">
        <v>8</v>
      </c>
      <c r="C9">
        <v>27</v>
      </c>
      <c r="D9">
        <f t="shared" si="0"/>
        <v>79</v>
      </c>
      <c r="E9">
        <v>22</v>
      </c>
      <c r="F9" t="s">
        <v>105</v>
      </c>
      <c r="G9">
        <v>-0.65129999999999999</v>
      </c>
      <c r="H9">
        <v>-0.33989999999999998</v>
      </c>
      <c r="I9">
        <v>2</v>
      </c>
      <c r="J9">
        <v>7</v>
      </c>
      <c r="K9">
        <v>7</v>
      </c>
      <c r="L9">
        <v>10</v>
      </c>
      <c r="M9" s="1">
        <v>92</v>
      </c>
    </row>
    <row r="10" spans="1:13" x14ac:dyDescent="0.3">
      <c r="A10">
        <f t="shared" si="1"/>
        <v>9</v>
      </c>
      <c r="B10" t="s">
        <v>9</v>
      </c>
      <c r="C10">
        <v>26</v>
      </c>
      <c r="D10">
        <f t="shared" si="0"/>
        <v>389</v>
      </c>
      <c r="E10">
        <v>23</v>
      </c>
      <c r="F10" t="s">
        <v>106</v>
      </c>
      <c r="G10">
        <v>-8.8300000000000003E-2</v>
      </c>
      <c r="H10">
        <v>0.12809999999999999</v>
      </c>
      <c r="I10">
        <v>3</v>
      </c>
      <c r="J10">
        <v>9</v>
      </c>
      <c r="K10">
        <v>10</v>
      </c>
      <c r="L10">
        <v>5</v>
      </c>
      <c r="M10" s="1">
        <v>11</v>
      </c>
    </row>
    <row r="11" spans="1:13" x14ac:dyDescent="0.3">
      <c r="A11">
        <f t="shared" si="1"/>
        <v>10</v>
      </c>
      <c r="B11" t="s">
        <v>10</v>
      </c>
      <c r="C11">
        <v>26</v>
      </c>
      <c r="D11">
        <f t="shared" si="0"/>
        <v>367</v>
      </c>
      <c r="E11">
        <v>26</v>
      </c>
      <c r="F11" t="s">
        <v>107</v>
      </c>
      <c r="G11">
        <v>0.1565</v>
      </c>
      <c r="H11">
        <v>0.3206</v>
      </c>
      <c r="I11">
        <v>5</v>
      </c>
      <c r="J11">
        <v>13</v>
      </c>
      <c r="K11">
        <v>19</v>
      </c>
      <c r="L11">
        <v>26</v>
      </c>
      <c r="M11" s="1">
        <v>367</v>
      </c>
    </row>
    <row r="12" spans="1:13" x14ac:dyDescent="0.3">
      <c r="A12">
        <f t="shared" si="1"/>
        <v>11</v>
      </c>
      <c r="B12" t="s">
        <v>11</v>
      </c>
      <c r="C12">
        <v>22</v>
      </c>
      <c r="D12">
        <f t="shared" si="0"/>
        <v>18</v>
      </c>
      <c r="E12">
        <v>28</v>
      </c>
      <c r="F12" t="s">
        <v>108</v>
      </c>
      <c r="G12">
        <v>-4.1300000000000003E-2</v>
      </c>
      <c r="H12">
        <v>0.57940000000000003</v>
      </c>
      <c r="I12">
        <v>3</v>
      </c>
      <c r="J12">
        <v>9</v>
      </c>
      <c r="K12">
        <v>9</v>
      </c>
      <c r="L12">
        <v>6</v>
      </c>
      <c r="M12" s="1">
        <v>22</v>
      </c>
    </row>
    <row r="13" spans="1:13" x14ac:dyDescent="0.3">
      <c r="A13">
        <f t="shared" si="1"/>
        <v>12</v>
      </c>
      <c r="B13" t="s">
        <v>12</v>
      </c>
      <c r="C13">
        <v>20</v>
      </c>
      <c r="D13">
        <f t="shared" si="0"/>
        <v>293</v>
      </c>
      <c r="E13">
        <v>29</v>
      </c>
      <c r="F13" t="s">
        <v>109</v>
      </c>
      <c r="G13">
        <v>1.1552</v>
      </c>
      <c r="H13">
        <v>-0.30959999999999999</v>
      </c>
      <c r="I13">
        <v>1</v>
      </c>
      <c r="J13">
        <v>7</v>
      </c>
      <c r="K13">
        <v>9</v>
      </c>
      <c r="L13">
        <v>9</v>
      </c>
      <c r="M13" s="1">
        <v>114</v>
      </c>
    </row>
    <row r="14" spans="1:13" x14ac:dyDescent="0.3">
      <c r="A14">
        <f t="shared" si="1"/>
        <v>13</v>
      </c>
      <c r="B14" t="s">
        <v>13</v>
      </c>
      <c r="C14">
        <v>19</v>
      </c>
      <c r="D14">
        <f t="shared" si="0"/>
        <v>27</v>
      </c>
      <c r="E14">
        <v>30</v>
      </c>
      <c r="F14" t="s">
        <v>110</v>
      </c>
      <c r="G14">
        <v>-0.1192</v>
      </c>
      <c r="H14">
        <v>-0.45390000000000003</v>
      </c>
      <c r="I14">
        <v>6</v>
      </c>
      <c r="J14">
        <v>17</v>
      </c>
      <c r="K14">
        <v>30</v>
      </c>
      <c r="L14">
        <v>28</v>
      </c>
      <c r="M14" s="1">
        <v>378</v>
      </c>
    </row>
    <row r="15" spans="1:13" x14ac:dyDescent="0.3">
      <c r="A15">
        <f t="shared" si="1"/>
        <v>14</v>
      </c>
      <c r="B15" t="s">
        <v>14</v>
      </c>
      <c r="C15">
        <v>18</v>
      </c>
      <c r="D15">
        <f t="shared" si="0"/>
        <v>334</v>
      </c>
      <c r="E15">
        <v>31</v>
      </c>
      <c r="F15" t="s">
        <v>111</v>
      </c>
      <c r="G15">
        <v>0.1222</v>
      </c>
      <c r="H15">
        <v>0.44419999999999998</v>
      </c>
      <c r="I15">
        <v>3</v>
      </c>
      <c r="J15">
        <v>4</v>
      </c>
      <c r="K15">
        <v>4</v>
      </c>
      <c r="L15">
        <v>8</v>
      </c>
      <c r="M15" s="1">
        <v>28</v>
      </c>
    </row>
    <row r="16" spans="1:13" x14ac:dyDescent="0.3">
      <c r="A16">
        <f t="shared" si="1"/>
        <v>15</v>
      </c>
      <c r="B16" t="s">
        <v>15</v>
      </c>
      <c r="C16">
        <v>16</v>
      </c>
      <c r="D16">
        <f t="shared" si="0"/>
        <v>121</v>
      </c>
      <c r="E16">
        <v>32</v>
      </c>
      <c r="F16" t="s">
        <v>112</v>
      </c>
      <c r="G16">
        <v>-0.92059999999999997</v>
      </c>
      <c r="H16">
        <v>-0.30130000000000001</v>
      </c>
      <c r="I16">
        <v>2</v>
      </c>
      <c r="J16">
        <v>4</v>
      </c>
      <c r="K16">
        <v>4</v>
      </c>
      <c r="L16">
        <v>9</v>
      </c>
      <c r="M16" s="1">
        <v>28</v>
      </c>
    </row>
    <row r="17" spans="1:13" x14ac:dyDescent="0.3">
      <c r="A17">
        <f t="shared" si="1"/>
        <v>16</v>
      </c>
      <c r="B17" t="s">
        <v>16</v>
      </c>
      <c r="C17">
        <v>13</v>
      </c>
      <c r="D17">
        <f t="shared" si="0"/>
        <v>113</v>
      </c>
      <c r="E17">
        <v>33</v>
      </c>
      <c r="F17" t="s">
        <v>113</v>
      </c>
      <c r="G17">
        <v>-0.34749999999999998</v>
      </c>
      <c r="H17">
        <v>1.1000000000000001E-3</v>
      </c>
      <c r="I17">
        <v>5</v>
      </c>
      <c r="J17">
        <v>3</v>
      </c>
      <c r="K17">
        <v>4</v>
      </c>
      <c r="L17">
        <v>19</v>
      </c>
      <c r="M17" s="1">
        <v>27</v>
      </c>
    </row>
    <row r="18" spans="1:13" x14ac:dyDescent="0.3">
      <c r="A18">
        <f t="shared" si="1"/>
        <v>17</v>
      </c>
      <c r="B18" t="s">
        <v>17</v>
      </c>
      <c r="C18">
        <v>13</v>
      </c>
      <c r="D18">
        <f t="shared" si="0"/>
        <v>168</v>
      </c>
      <c r="E18">
        <v>34</v>
      </c>
      <c r="F18" t="s">
        <v>114</v>
      </c>
      <c r="G18">
        <v>-0.51500000000000001</v>
      </c>
      <c r="H18">
        <v>0.3448</v>
      </c>
      <c r="I18">
        <v>4</v>
      </c>
      <c r="J18">
        <v>4</v>
      </c>
      <c r="K18">
        <v>4</v>
      </c>
      <c r="L18">
        <v>11</v>
      </c>
      <c r="M18" s="1">
        <v>64</v>
      </c>
    </row>
    <row r="19" spans="1:13" x14ac:dyDescent="0.3">
      <c r="A19">
        <f t="shared" si="1"/>
        <v>18</v>
      </c>
      <c r="B19" t="s">
        <v>18</v>
      </c>
      <c r="C19">
        <v>13</v>
      </c>
      <c r="D19">
        <f t="shared" si="0"/>
        <v>0</v>
      </c>
      <c r="E19">
        <v>36</v>
      </c>
      <c r="F19" t="s">
        <v>115</v>
      </c>
      <c r="G19">
        <v>0.87880000000000003</v>
      </c>
      <c r="H19">
        <v>-0.2276</v>
      </c>
      <c r="I19">
        <v>5</v>
      </c>
      <c r="J19">
        <v>5</v>
      </c>
      <c r="K19">
        <v>6</v>
      </c>
      <c r="L19">
        <v>10</v>
      </c>
      <c r="M19" s="1">
        <v>1000</v>
      </c>
    </row>
    <row r="20" spans="1:13" x14ac:dyDescent="0.3">
      <c r="A20">
        <f t="shared" si="1"/>
        <v>19</v>
      </c>
      <c r="B20" t="s">
        <v>19</v>
      </c>
      <c r="C20">
        <v>11</v>
      </c>
      <c r="D20">
        <f t="shared" si="0"/>
        <v>64</v>
      </c>
      <c r="E20">
        <v>37</v>
      </c>
      <c r="F20" t="s">
        <v>116</v>
      </c>
      <c r="G20">
        <v>0.57279999999999998</v>
      </c>
      <c r="H20">
        <v>-1.89E-2</v>
      </c>
      <c r="I20">
        <v>1</v>
      </c>
      <c r="J20">
        <v>14</v>
      </c>
      <c r="K20">
        <v>24</v>
      </c>
      <c r="L20">
        <v>40</v>
      </c>
      <c r="M20" s="1">
        <v>366</v>
      </c>
    </row>
    <row r="21" spans="1:13" x14ac:dyDescent="0.3">
      <c r="A21">
        <f t="shared" si="1"/>
        <v>20</v>
      </c>
      <c r="B21" t="s">
        <v>20</v>
      </c>
      <c r="C21">
        <v>10</v>
      </c>
      <c r="D21">
        <f t="shared" si="0"/>
        <v>92</v>
      </c>
      <c r="E21">
        <v>46</v>
      </c>
      <c r="F21" t="s">
        <v>117</v>
      </c>
      <c r="G21">
        <v>-0.25509999999999999</v>
      </c>
      <c r="H21">
        <v>0.73909999999999998</v>
      </c>
      <c r="I21">
        <v>4</v>
      </c>
      <c r="J21">
        <v>8</v>
      </c>
      <c r="K21">
        <v>9</v>
      </c>
      <c r="L21">
        <v>33</v>
      </c>
      <c r="M21" s="1">
        <v>185</v>
      </c>
    </row>
    <row r="22" spans="1:13" x14ac:dyDescent="0.3">
      <c r="A22">
        <f t="shared" si="1"/>
        <v>21</v>
      </c>
      <c r="B22" t="s">
        <v>21</v>
      </c>
      <c r="C22">
        <v>10</v>
      </c>
      <c r="D22">
        <f t="shared" si="0"/>
        <v>1000</v>
      </c>
      <c r="E22">
        <v>47</v>
      </c>
      <c r="F22" t="s">
        <v>118</v>
      </c>
      <c r="G22">
        <v>-7.5600000000000001E-2</v>
      </c>
      <c r="H22">
        <v>0.2248</v>
      </c>
      <c r="I22">
        <v>3</v>
      </c>
      <c r="J22">
        <v>4</v>
      </c>
      <c r="K22">
        <v>4</v>
      </c>
      <c r="L22">
        <v>13</v>
      </c>
      <c r="M22" s="1">
        <v>113</v>
      </c>
    </row>
    <row r="23" spans="1:13" x14ac:dyDescent="0.3">
      <c r="A23">
        <f t="shared" si="1"/>
        <v>22</v>
      </c>
      <c r="B23" t="s">
        <v>22</v>
      </c>
      <c r="C23">
        <v>9</v>
      </c>
      <c r="D23">
        <f t="shared" si="0"/>
        <v>114</v>
      </c>
      <c r="E23">
        <v>48</v>
      </c>
      <c r="F23" t="s">
        <v>119</v>
      </c>
      <c r="G23">
        <v>0.97550000000000003</v>
      </c>
      <c r="H23">
        <v>-0.36859999999999998</v>
      </c>
      <c r="I23">
        <v>1</v>
      </c>
      <c r="J23">
        <v>4</v>
      </c>
      <c r="K23">
        <v>4</v>
      </c>
      <c r="L23">
        <v>6</v>
      </c>
      <c r="M23" s="1">
        <v>24</v>
      </c>
    </row>
    <row r="24" spans="1:13" x14ac:dyDescent="0.3">
      <c r="A24">
        <f t="shared" si="1"/>
        <v>23</v>
      </c>
      <c r="B24" t="s">
        <v>23</v>
      </c>
      <c r="C24">
        <v>9</v>
      </c>
      <c r="D24">
        <f t="shared" si="0"/>
        <v>28</v>
      </c>
      <c r="E24">
        <v>49</v>
      </c>
      <c r="F24" t="s">
        <v>120</v>
      </c>
      <c r="G24">
        <v>-0.53549999999999998</v>
      </c>
      <c r="H24">
        <v>5.3900000000000003E-2</v>
      </c>
      <c r="I24">
        <v>3</v>
      </c>
      <c r="J24">
        <v>8</v>
      </c>
      <c r="K24">
        <v>9</v>
      </c>
      <c r="L24">
        <v>13</v>
      </c>
      <c r="M24" s="1">
        <v>168</v>
      </c>
    </row>
    <row r="25" spans="1:13" x14ac:dyDescent="0.3">
      <c r="A25">
        <f t="shared" si="1"/>
        <v>24</v>
      </c>
      <c r="B25" t="s">
        <v>24</v>
      </c>
      <c r="C25">
        <v>9</v>
      </c>
      <c r="D25">
        <f t="shared" si="0"/>
        <v>39</v>
      </c>
      <c r="E25">
        <v>56</v>
      </c>
      <c r="F25" t="s">
        <v>121</v>
      </c>
      <c r="G25">
        <v>-0.17699999999999999</v>
      </c>
      <c r="H25">
        <v>0.28050000000000003</v>
      </c>
      <c r="I25">
        <v>4</v>
      </c>
      <c r="J25">
        <v>8</v>
      </c>
      <c r="K25">
        <v>12</v>
      </c>
      <c r="L25">
        <v>18</v>
      </c>
      <c r="M25" s="1">
        <v>334</v>
      </c>
    </row>
    <row r="26" spans="1:13" x14ac:dyDescent="0.3">
      <c r="A26">
        <f t="shared" si="1"/>
        <v>25</v>
      </c>
      <c r="B26" t="s">
        <v>25</v>
      </c>
      <c r="C26">
        <v>9</v>
      </c>
      <c r="D26">
        <f t="shared" si="0"/>
        <v>41</v>
      </c>
      <c r="E26">
        <v>58</v>
      </c>
      <c r="F26" t="s">
        <v>122</v>
      </c>
      <c r="G26">
        <v>-0.82650000000000001</v>
      </c>
      <c r="H26">
        <v>-0.41670000000000001</v>
      </c>
      <c r="I26">
        <v>2</v>
      </c>
      <c r="J26">
        <v>8</v>
      </c>
      <c r="K26">
        <v>10</v>
      </c>
      <c r="L26">
        <v>16</v>
      </c>
      <c r="M26" s="1">
        <v>121</v>
      </c>
    </row>
    <row r="27" spans="1:13" x14ac:dyDescent="0.3">
      <c r="A27">
        <f t="shared" si="1"/>
        <v>26</v>
      </c>
      <c r="B27" t="s">
        <v>26</v>
      </c>
      <c r="C27">
        <v>8</v>
      </c>
      <c r="D27">
        <f t="shared" si="0"/>
        <v>28</v>
      </c>
      <c r="E27">
        <v>59</v>
      </c>
      <c r="F27" t="s">
        <v>123</v>
      </c>
      <c r="G27">
        <v>0.748</v>
      </c>
      <c r="H27">
        <v>-0.16569999999999999</v>
      </c>
      <c r="I27">
        <v>1</v>
      </c>
      <c r="J27">
        <v>7</v>
      </c>
      <c r="K27">
        <v>9</v>
      </c>
      <c r="L27">
        <v>27</v>
      </c>
      <c r="M27" s="1">
        <v>79</v>
      </c>
    </row>
    <row r="28" spans="1:13" x14ac:dyDescent="0.3">
      <c r="A28">
        <f t="shared" si="1"/>
        <v>27</v>
      </c>
      <c r="B28" t="s">
        <v>27</v>
      </c>
      <c r="C28">
        <v>8</v>
      </c>
      <c r="D28">
        <f t="shared" si="0"/>
        <v>47</v>
      </c>
      <c r="E28">
        <v>61</v>
      </c>
      <c r="F28" t="s">
        <v>124</v>
      </c>
      <c r="G28">
        <v>-0.8911</v>
      </c>
      <c r="H28">
        <v>-0.4415</v>
      </c>
      <c r="I28">
        <v>2</v>
      </c>
      <c r="J28">
        <v>5</v>
      </c>
      <c r="K28">
        <v>5</v>
      </c>
      <c r="L28">
        <v>22</v>
      </c>
      <c r="M28" s="1">
        <v>18</v>
      </c>
    </row>
    <row r="29" spans="1:13" x14ac:dyDescent="0.3">
      <c r="A29">
        <f t="shared" si="1"/>
        <v>28</v>
      </c>
      <c r="B29" t="s">
        <v>28</v>
      </c>
      <c r="C29">
        <v>7</v>
      </c>
      <c r="D29">
        <f t="shared" si="0"/>
        <v>36</v>
      </c>
      <c r="E29">
        <v>64</v>
      </c>
      <c r="F29" t="s">
        <v>125</v>
      </c>
      <c r="G29">
        <v>-0.1729</v>
      </c>
      <c r="H29">
        <v>0.93520000000000003</v>
      </c>
      <c r="I29">
        <v>4</v>
      </c>
      <c r="J29">
        <v>3</v>
      </c>
      <c r="K29">
        <v>3</v>
      </c>
      <c r="L29">
        <v>9</v>
      </c>
      <c r="M29" s="1">
        <v>39</v>
      </c>
    </row>
    <row r="30" spans="1:13" x14ac:dyDescent="0.3">
      <c r="A30">
        <f t="shared" si="1"/>
        <v>29</v>
      </c>
      <c r="B30" t="s">
        <v>29</v>
      </c>
      <c r="C30">
        <v>6</v>
      </c>
      <c r="D30">
        <f t="shared" si="0"/>
        <v>5</v>
      </c>
      <c r="E30">
        <v>68</v>
      </c>
      <c r="F30" t="s">
        <v>126</v>
      </c>
      <c r="G30">
        <v>-0.93959999999999999</v>
      </c>
      <c r="H30">
        <v>-0.4259</v>
      </c>
      <c r="I30">
        <v>2</v>
      </c>
      <c r="J30">
        <v>8</v>
      </c>
      <c r="K30">
        <v>9</v>
      </c>
      <c r="L30">
        <v>9</v>
      </c>
      <c r="M30" s="1">
        <v>41</v>
      </c>
    </row>
    <row r="31" spans="1:13" x14ac:dyDescent="0.3">
      <c r="A31">
        <f t="shared" si="1"/>
        <v>30</v>
      </c>
      <c r="B31" t="s">
        <v>30</v>
      </c>
      <c r="C31">
        <v>6</v>
      </c>
      <c r="D31">
        <f t="shared" si="0"/>
        <v>49</v>
      </c>
      <c r="E31">
        <v>70</v>
      </c>
      <c r="F31" t="s">
        <v>127</v>
      </c>
      <c r="G31">
        <v>-0.31119999999999998</v>
      </c>
      <c r="H31">
        <v>0.56310000000000004</v>
      </c>
      <c r="I31">
        <v>3</v>
      </c>
      <c r="J31">
        <v>4</v>
      </c>
      <c r="K31">
        <v>5</v>
      </c>
      <c r="L31">
        <v>8</v>
      </c>
      <c r="M31" s="1">
        <v>47</v>
      </c>
    </row>
    <row r="32" spans="1:13" x14ac:dyDescent="0.3">
      <c r="A32">
        <f t="shared" si="1"/>
        <v>31</v>
      </c>
      <c r="B32" t="s">
        <v>31</v>
      </c>
      <c r="C32">
        <v>6</v>
      </c>
      <c r="D32">
        <f t="shared" si="0"/>
        <v>22</v>
      </c>
      <c r="E32">
        <v>72</v>
      </c>
      <c r="F32" t="s">
        <v>128</v>
      </c>
      <c r="G32">
        <v>0.72689999999999999</v>
      </c>
      <c r="H32">
        <v>3.7900000000000003E-2</v>
      </c>
      <c r="I32">
        <v>1</v>
      </c>
      <c r="J32">
        <v>8</v>
      </c>
      <c r="K32">
        <v>13</v>
      </c>
      <c r="L32">
        <v>38</v>
      </c>
      <c r="M32" s="1">
        <v>319</v>
      </c>
    </row>
    <row r="33" spans="1:13" x14ac:dyDescent="0.3">
      <c r="A33">
        <f t="shared" si="1"/>
        <v>32</v>
      </c>
      <c r="B33" t="s">
        <v>32</v>
      </c>
      <c r="C33">
        <v>6</v>
      </c>
      <c r="D33">
        <f t="shared" si="0"/>
        <v>24</v>
      </c>
      <c r="E33">
        <v>74</v>
      </c>
      <c r="F33" t="s">
        <v>129</v>
      </c>
      <c r="G33">
        <v>-0.16289999999999999</v>
      </c>
      <c r="H33">
        <v>-1.0045999999999999</v>
      </c>
      <c r="I33">
        <v>6</v>
      </c>
      <c r="J33">
        <v>1</v>
      </c>
      <c r="K33">
        <v>1</v>
      </c>
      <c r="L33">
        <v>5</v>
      </c>
      <c r="M33" s="1">
        <v>23</v>
      </c>
    </row>
    <row r="34" spans="1:13" x14ac:dyDescent="0.3">
      <c r="A34">
        <f t="shared" si="1"/>
        <v>33</v>
      </c>
      <c r="B34" t="s">
        <v>33</v>
      </c>
      <c r="C34">
        <v>5</v>
      </c>
      <c r="D34">
        <f t="shared" si="0"/>
        <v>43</v>
      </c>
      <c r="E34">
        <v>75</v>
      </c>
      <c r="F34" t="s">
        <v>130</v>
      </c>
      <c r="G34">
        <v>1.3280000000000001</v>
      </c>
      <c r="H34">
        <v>-0.26800000000000002</v>
      </c>
      <c r="I34">
        <v>1</v>
      </c>
      <c r="J34">
        <v>3</v>
      </c>
      <c r="K34">
        <v>4</v>
      </c>
      <c r="L34">
        <v>7</v>
      </c>
      <c r="M34" s="1">
        <v>36</v>
      </c>
    </row>
    <row r="35" spans="1:13" x14ac:dyDescent="0.3">
      <c r="A35">
        <f t="shared" si="1"/>
        <v>34</v>
      </c>
      <c r="B35" t="s">
        <v>34</v>
      </c>
      <c r="C35">
        <v>5</v>
      </c>
      <c r="D35">
        <f t="shared" si="0"/>
        <v>0</v>
      </c>
      <c r="E35">
        <v>84</v>
      </c>
      <c r="F35" t="s">
        <v>131</v>
      </c>
      <c r="G35">
        <v>0.1749</v>
      </c>
      <c r="H35">
        <v>8.0000000000000004E-4</v>
      </c>
      <c r="I35">
        <v>5</v>
      </c>
      <c r="J35">
        <v>19</v>
      </c>
      <c r="K35">
        <v>43</v>
      </c>
      <c r="L35">
        <v>125</v>
      </c>
      <c r="M35" s="1">
        <v>3248</v>
      </c>
    </row>
    <row r="36" spans="1:13" x14ac:dyDescent="0.3">
      <c r="A36">
        <f t="shared" si="1"/>
        <v>35</v>
      </c>
      <c r="B36" t="s">
        <v>35</v>
      </c>
      <c r="C36">
        <v>5</v>
      </c>
      <c r="D36">
        <f t="shared" si="0"/>
        <v>4</v>
      </c>
    </row>
    <row r="37" spans="1:13" x14ac:dyDescent="0.3">
      <c r="A37">
        <f t="shared" si="1"/>
        <v>36</v>
      </c>
      <c r="B37" t="s">
        <v>36</v>
      </c>
      <c r="C37">
        <v>5</v>
      </c>
      <c r="D37">
        <f t="shared" si="0"/>
        <v>0</v>
      </c>
    </row>
    <row r="38" spans="1:13" x14ac:dyDescent="0.3">
      <c r="A38">
        <f t="shared" si="1"/>
        <v>37</v>
      </c>
      <c r="B38" t="s">
        <v>37</v>
      </c>
      <c r="C38">
        <v>5</v>
      </c>
      <c r="D38">
        <f t="shared" si="0"/>
        <v>11</v>
      </c>
    </row>
    <row r="39" spans="1:13" x14ac:dyDescent="0.3">
      <c r="A39">
        <f t="shared" si="1"/>
        <v>38</v>
      </c>
      <c r="B39" t="s">
        <v>38</v>
      </c>
      <c r="C39">
        <v>5</v>
      </c>
      <c r="D39">
        <f t="shared" si="0"/>
        <v>23</v>
      </c>
    </row>
    <row r="40" spans="1:13" x14ac:dyDescent="0.3">
      <c r="A40">
        <f t="shared" si="1"/>
        <v>39</v>
      </c>
      <c r="B40" t="s">
        <v>39</v>
      </c>
      <c r="C40">
        <v>4</v>
      </c>
      <c r="D40">
        <f t="shared" si="0"/>
        <v>0</v>
      </c>
    </row>
    <row r="41" spans="1:13" x14ac:dyDescent="0.3">
      <c r="A41">
        <f t="shared" si="1"/>
        <v>40</v>
      </c>
      <c r="B41" t="s">
        <v>40</v>
      </c>
      <c r="C41">
        <v>4</v>
      </c>
      <c r="D41">
        <f t="shared" si="0"/>
        <v>0</v>
      </c>
    </row>
    <row r="42" spans="1:13" x14ac:dyDescent="0.3">
      <c r="A42">
        <f t="shared" si="1"/>
        <v>41</v>
      </c>
      <c r="B42" t="s">
        <v>41</v>
      </c>
      <c r="C42">
        <v>4</v>
      </c>
      <c r="D42">
        <f t="shared" si="0"/>
        <v>0</v>
      </c>
    </row>
    <row r="43" spans="1:13" x14ac:dyDescent="0.3">
      <c r="A43">
        <f t="shared" si="1"/>
        <v>42</v>
      </c>
      <c r="B43" t="s">
        <v>42</v>
      </c>
      <c r="C43">
        <v>4</v>
      </c>
      <c r="D43">
        <f t="shared" si="0"/>
        <v>0</v>
      </c>
    </row>
    <row r="44" spans="1:13" x14ac:dyDescent="0.3">
      <c r="A44">
        <f t="shared" si="1"/>
        <v>43</v>
      </c>
      <c r="B44" t="s">
        <v>43</v>
      </c>
      <c r="C44">
        <v>4</v>
      </c>
      <c r="D44">
        <f t="shared" si="0"/>
        <v>0</v>
      </c>
    </row>
    <row r="45" spans="1:13" x14ac:dyDescent="0.3">
      <c r="A45">
        <f t="shared" si="1"/>
        <v>44</v>
      </c>
      <c r="B45" t="s">
        <v>44</v>
      </c>
      <c r="C45">
        <v>4</v>
      </c>
      <c r="D45">
        <f t="shared" si="0"/>
        <v>0</v>
      </c>
    </row>
    <row r="46" spans="1:13" x14ac:dyDescent="0.3">
      <c r="A46">
        <f t="shared" si="1"/>
        <v>45</v>
      </c>
      <c r="B46" t="s">
        <v>45</v>
      </c>
      <c r="C46">
        <v>3</v>
      </c>
      <c r="D46">
        <f t="shared" si="0"/>
        <v>0</v>
      </c>
    </row>
    <row r="47" spans="1:13" x14ac:dyDescent="0.3">
      <c r="A47">
        <f t="shared" si="1"/>
        <v>46</v>
      </c>
      <c r="B47" t="s">
        <v>46</v>
      </c>
      <c r="C47">
        <v>3</v>
      </c>
      <c r="D47">
        <f t="shared" si="0"/>
        <v>0</v>
      </c>
    </row>
    <row r="48" spans="1:13" x14ac:dyDescent="0.3">
      <c r="A48">
        <f t="shared" si="1"/>
        <v>47</v>
      </c>
      <c r="B48" t="s">
        <v>47</v>
      </c>
      <c r="C48">
        <v>3</v>
      </c>
      <c r="D48">
        <f t="shared" si="0"/>
        <v>0</v>
      </c>
    </row>
    <row r="49" spans="1:4" x14ac:dyDescent="0.3">
      <c r="A49">
        <f t="shared" si="1"/>
        <v>48</v>
      </c>
      <c r="B49" t="s">
        <v>48</v>
      </c>
      <c r="C49">
        <v>3</v>
      </c>
      <c r="D49">
        <f t="shared" si="0"/>
        <v>0</v>
      </c>
    </row>
    <row r="50" spans="1:4" x14ac:dyDescent="0.3">
      <c r="A50">
        <f t="shared" si="1"/>
        <v>49</v>
      </c>
      <c r="B50" t="s">
        <v>49</v>
      </c>
      <c r="C50">
        <v>3</v>
      </c>
      <c r="D50">
        <f t="shared" si="0"/>
        <v>0</v>
      </c>
    </row>
    <row r="51" spans="1:4" x14ac:dyDescent="0.3">
      <c r="A51">
        <f t="shared" si="1"/>
        <v>50</v>
      </c>
      <c r="B51" t="s">
        <v>50</v>
      </c>
      <c r="C51">
        <v>3</v>
      </c>
      <c r="D51">
        <f t="shared" si="0"/>
        <v>0</v>
      </c>
    </row>
    <row r="52" spans="1:4" x14ac:dyDescent="0.3">
      <c r="A52">
        <f t="shared" si="1"/>
        <v>51</v>
      </c>
      <c r="B52" t="s">
        <v>51</v>
      </c>
      <c r="C52">
        <v>3</v>
      </c>
      <c r="D52">
        <f t="shared" si="0"/>
        <v>0</v>
      </c>
    </row>
    <row r="53" spans="1:4" x14ac:dyDescent="0.3">
      <c r="A53">
        <f t="shared" si="1"/>
        <v>52</v>
      </c>
      <c r="B53" t="s">
        <v>52</v>
      </c>
      <c r="C53">
        <v>2</v>
      </c>
      <c r="D53">
        <f t="shared" si="0"/>
        <v>0</v>
      </c>
    </row>
    <row r="54" spans="1:4" x14ac:dyDescent="0.3">
      <c r="A54">
        <f t="shared" si="1"/>
        <v>53</v>
      </c>
      <c r="B54" t="s">
        <v>53</v>
      </c>
      <c r="C54">
        <v>2</v>
      </c>
      <c r="D54">
        <f t="shared" si="0"/>
        <v>0</v>
      </c>
    </row>
    <row r="55" spans="1:4" x14ac:dyDescent="0.3">
      <c r="A55">
        <f t="shared" si="1"/>
        <v>54</v>
      </c>
      <c r="B55" t="s">
        <v>54</v>
      </c>
      <c r="C55">
        <v>2</v>
      </c>
      <c r="D55">
        <f t="shared" si="0"/>
        <v>0</v>
      </c>
    </row>
    <row r="56" spans="1:4" x14ac:dyDescent="0.3">
      <c r="A56">
        <f t="shared" si="1"/>
        <v>55</v>
      </c>
      <c r="B56" t="s">
        <v>55</v>
      </c>
      <c r="C56">
        <v>2</v>
      </c>
      <c r="D56">
        <f t="shared" si="0"/>
        <v>0</v>
      </c>
    </row>
    <row r="57" spans="1:4" x14ac:dyDescent="0.3">
      <c r="A57">
        <f t="shared" si="1"/>
        <v>56</v>
      </c>
      <c r="B57" t="s">
        <v>56</v>
      </c>
      <c r="C57">
        <v>2</v>
      </c>
      <c r="D57">
        <f t="shared" si="0"/>
        <v>0</v>
      </c>
    </row>
    <row r="58" spans="1:4" x14ac:dyDescent="0.3">
      <c r="A58">
        <f t="shared" si="1"/>
        <v>57</v>
      </c>
      <c r="B58" t="s">
        <v>57</v>
      </c>
      <c r="C58">
        <v>2</v>
      </c>
      <c r="D58">
        <f t="shared" si="0"/>
        <v>0</v>
      </c>
    </row>
    <row r="59" spans="1:4" x14ac:dyDescent="0.3">
      <c r="A59">
        <f t="shared" si="1"/>
        <v>58</v>
      </c>
      <c r="B59" t="s">
        <v>58</v>
      </c>
      <c r="C59">
        <v>2</v>
      </c>
      <c r="D59">
        <f t="shared" si="0"/>
        <v>0</v>
      </c>
    </row>
    <row r="60" spans="1:4" x14ac:dyDescent="0.3">
      <c r="A60">
        <f t="shared" si="1"/>
        <v>59</v>
      </c>
      <c r="B60" t="s">
        <v>59</v>
      </c>
      <c r="C60">
        <v>2</v>
      </c>
      <c r="D60">
        <f t="shared" si="0"/>
        <v>0</v>
      </c>
    </row>
    <row r="61" spans="1:4" x14ac:dyDescent="0.3">
      <c r="A61">
        <f t="shared" si="1"/>
        <v>60</v>
      </c>
      <c r="B61" t="s">
        <v>60</v>
      </c>
      <c r="C61">
        <v>2</v>
      </c>
      <c r="D61">
        <f t="shared" si="0"/>
        <v>0</v>
      </c>
    </row>
    <row r="62" spans="1:4" x14ac:dyDescent="0.3">
      <c r="A62">
        <f t="shared" si="1"/>
        <v>61</v>
      </c>
      <c r="B62" t="s">
        <v>61</v>
      </c>
      <c r="C62">
        <v>2</v>
      </c>
      <c r="D62">
        <f t="shared" si="0"/>
        <v>0</v>
      </c>
    </row>
    <row r="63" spans="1:4" x14ac:dyDescent="0.3">
      <c r="A63">
        <f t="shared" si="1"/>
        <v>62</v>
      </c>
      <c r="B63" t="s">
        <v>62</v>
      </c>
      <c r="C63">
        <v>2</v>
      </c>
      <c r="D63">
        <f t="shared" si="0"/>
        <v>0</v>
      </c>
    </row>
    <row r="64" spans="1:4" x14ac:dyDescent="0.3">
      <c r="A64">
        <f t="shared" si="1"/>
        <v>63</v>
      </c>
      <c r="B64" t="s">
        <v>63</v>
      </c>
      <c r="C64">
        <v>2</v>
      </c>
      <c r="D64">
        <f t="shared" si="0"/>
        <v>0</v>
      </c>
    </row>
    <row r="65" spans="1:4" x14ac:dyDescent="0.3">
      <c r="A65">
        <f t="shared" si="1"/>
        <v>64</v>
      </c>
      <c r="B65" t="s">
        <v>64</v>
      </c>
      <c r="C65">
        <v>2</v>
      </c>
      <c r="D65">
        <f t="shared" si="0"/>
        <v>0</v>
      </c>
    </row>
    <row r="66" spans="1:4" x14ac:dyDescent="0.3">
      <c r="A66">
        <f t="shared" si="1"/>
        <v>65</v>
      </c>
      <c r="B66" t="s">
        <v>65</v>
      </c>
      <c r="C66">
        <v>1</v>
      </c>
      <c r="D66">
        <f t="shared" si="0"/>
        <v>0</v>
      </c>
    </row>
    <row r="67" spans="1:4" x14ac:dyDescent="0.3">
      <c r="A67">
        <f t="shared" si="1"/>
        <v>66</v>
      </c>
      <c r="B67" t="s">
        <v>66</v>
      </c>
      <c r="C67">
        <v>1</v>
      </c>
      <c r="D67">
        <f t="shared" ref="D67:D88" si="2">IFERROR(VLOOKUP(B67, $F$2:$M$35, 8, FALSE), 0)</f>
        <v>0</v>
      </c>
    </row>
    <row r="68" spans="1:4" x14ac:dyDescent="0.3">
      <c r="A68">
        <f t="shared" ref="A68:A88" si="3">+A67+1</f>
        <v>67</v>
      </c>
      <c r="B68" t="s">
        <v>67</v>
      </c>
      <c r="C68">
        <v>1</v>
      </c>
      <c r="D68">
        <f t="shared" si="2"/>
        <v>0</v>
      </c>
    </row>
    <row r="69" spans="1:4" x14ac:dyDescent="0.3">
      <c r="A69">
        <f t="shared" si="3"/>
        <v>68</v>
      </c>
      <c r="B69" t="s">
        <v>68</v>
      </c>
      <c r="C69">
        <v>1</v>
      </c>
      <c r="D69">
        <f t="shared" si="2"/>
        <v>0</v>
      </c>
    </row>
    <row r="70" spans="1:4" x14ac:dyDescent="0.3">
      <c r="A70">
        <f t="shared" si="3"/>
        <v>69</v>
      </c>
      <c r="B70" t="s">
        <v>69</v>
      </c>
      <c r="C70">
        <v>1</v>
      </c>
      <c r="D70">
        <f t="shared" si="2"/>
        <v>0</v>
      </c>
    </row>
    <row r="71" spans="1:4" x14ac:dyDescent="0.3">
      <c r="A71">
        <f t="shared" si="3"/>
        <v>70</v>
      </c>
      <c r="B71" t="s">
        <v>70</v>
      </c>
      <c r="C71">
        <v>1</v>
      </c>
      <c r="D71">
        <f t="shared" si="2"/>
        <v>0</v>
      </c>
    </row>
    <row r="72" spans="1:4" x14ac:dyDescent="0.3">
      <c r="A72">
        <f t="shared" si="3"/>
        <v>71</v>
      </c>
      <c r="B72" t="s">
        <v>71</v>
      </c>
      <c r="C72">
        <v>1</v>
      </c>
      <c r="D72">
        <f t="shared" si="2"/>
        <v>0</v>
      </c>
    </row>
    <row r="73" spans="1:4" x14ac:dyDescent="0.3">
      <c r="A73">
        <f t="shared" si="3"/>
        <v>72</v>
      </c>
      <c r="B73" t="s">
        <v>72</v>
      </c>
      <c r="C73">
        <v>1</v>
      </c>
      <c r="D73">
        <f t="shared" si="2"/>
        <v>0</v>
      </c>
    </row>
    <row r="74" spans="1:4" x14ac:dyDescent="0.3">
      <c r="A74">
        <f t="shared" si="3"/>
        <v>73</v>
      </c>
      <c r="B74" t="s">
        <v>73</v>
      </c>
      <c r="C74">
        <v>1</v>
      </c>
      <c r="D74">
        <f t="shared" si="2"/>
        <v>0</v>
      </c>
    </row>
    <row r="75" spans="1:4" x14ac:dyDescent="0.3">
      <c r="A75">
        <f t="shared" si="3"/>
        <v>74</v>
      </c>
      <c r="B75" t="s">
        <v>74</v>
      </c>
      <c r="C75">
        <v>1</v>
      </c>
      <c r="D75">
        <f t="shared" si="2"/>
        <v>0</v>
      </c>
    </row>
    <row r="76" spans="1:4" x14ac:dyDescent="0.3">
      <c r="A76">
        <f t="shared" si="3"/>
        <v>75</v>
      </c>
      <c r="B76" t="s">
        <v>75</v>
      </c>
      <c r="C76">
        <v>1</v>
      </c>
      <c r="D76">
        <f t="shared" si="2"/>
        <v>0</v>
      </c>
    </row>
    <row r="77" spans="1:4" x14ac:dyDescent="0.3">
      <c r="A77">
        <f t="shared" si="3"/>
        <v>76</v>
      </c>
      <c r="B77" t="s">
        <v>76</v>
      </c>
      <c r="C77">
        <v>1</v>
      </c>
      <c r="D77">
        <f t="shared" si="2"/>
        <v>0</v>
      </c>
    </row>
    <row r="78" spans="1:4" x14ac:dyDescent="0.3">
      <c r="A78">
        <f t="shared" si="3"/>
        <v>77</v>
      </c>
      <c r="B78" t="s">
        <v>77</v>
      </c>
      <c r="C78">
        <v>1</v>
      </c>
      <c r="D78">
        <f t="shared" si="2"/>
        <v>0</v>
      </c>
    </row>
    <row r="79" spans="1:4" x14ac:dyDescent="0.3">
      <c r="A79">
        <f t="shared" si="3"/>
        <v>78</v>
      </c>
      <c r="B79" t="s">
        <v>78</v>
      </c>
      <c r="C79">
        <v>1</v>
      </c>
      <c r="D79">
        <f t="shared" si="2"/>
        <v>0</v>
      </c>
    </row>
    <row r="80" spans="1:4" x14ac:dyDescent="0.3">
      <c r="A80">
        <f t="shared" si="3"/>
        <v>79</v>
      </c>
      <c r="B80" t="s">
        <v>79</v>
      </c>
      <c r="C80">
        <v>1</v>
      </c>
      <c r="D80">
        <f t="shared" si="2"/>
        <v>0</v>
      </c>
    </row>
    <row r="81" spans="1:4" x14ac:dyDescent="0.3">
      <c r="A81">
        <f t="shared" si="3"/>
        <v>80</v>
      </c>
      <c r="B81" t="s">
        <v>80</v>
      </c>
      <c r="C81">
        <v>1</v>
      </c>
      <c r="D81">
        <f t="shared" si="2"/>
        <v>0</v>
      </c>
    </row>
    <row r="82" spans="1:4" x14ac:dyDescent="0.3">
      <c r="A82">
        <f t="shared" si="3"/>
        <v>81</v>
      </c>
      <c r="B82" t="s">
        <v>81</v>
      </c>
      <c r="C82">
        <v>1</v>
      </c>
      <c r="D82">
        <f t="shared" si="2"/>
        <v>0</v>
      </c>
    </row>
    <row r="83" spans="1:4" x14ac:dyDescent="0.3">
      <c r="A83">
        <f t="shared" si="3"/>
        <v>82</v>
      </c>
      <c r="B83" t="s">
        <v>82</v>
      </c>
      <c r="C83">
        <v>1</v>
      </c>
      <c r="D83">
        <f t="shared" si="2"/>
        <v>0</v>
      </c>
    </row>
    <row r="84" spans="1:4" x14ac:dyDescent="0.3">
      <c r="A84">
        <f t="shared" si="3"/>
        <v>83</v>
      </c>
      <c r="B84" t="s">
        <v>83</v>
      </c>
      <c r="C84">
        <v>1</v>
      </c>
      <c r="D84">
        <f t="shared" si="2"/>
        <v>0</v>
      </c>
    </row>
    <row r="85" spans="1:4" x14ac:dyDescent="0.3">
      <c r="A85">
        <f t="shared" si="3"/>
        <v>84</v>
      </c>
      <c r="B85" t="s">
        <v>84</v>
      </c>
      <c r="C85">
        <v>1</v>
      </c>
      <c r="D85">
        <f t="shared" si="2"/>
        <v>0</v>
      </c>
    </row>
    <row r="86" spans="1:4" x14ac:dyDescent="0.3">
      <c r="A86">
        <f t="shared" si="3"/>
        <v>85</v>
      </c>
      <c r="B86" t="s">
        <v>85</v>
      </c>
      <c r="C86">
        <v>1</v>
      </c>
      <c r="D86">
        <f t="shared" si="2"/>
        <v>0</v>
      </c>
    </row>
    <row r="87" spans="1:4" x14ac:dyDescent="0.3">
      <c r="A87">
        <f t="shared" si="3"/>
        <v>86</v>
      </c>
      <c r="B87" t="s">
        <v>86</v>
      </c>
      <c r="C87">
        <v>1</v>
      </c>
      <c r="D87">
        <f t="shared" si="2"/>
        <v>0</v>
      </c>
    </row>
    <row r="88" spans="1:4" x14ac:dyDescent="0.3">
      <c r="A88">
        <f t="shared" si="3"/>
        <v>87</v>
      </c>
      <c r="B88" t="s">
        <v>87</v>
      </c>
      <c r="C88">
        <v>1</v>
      </c>
      <c r="D88">
        <f t="shared" si="2"/>
        <v>0</v>
      </c>
    </row>
    <row r="89" spans="1:4" x14ac:dyDescent="0.3">
      <c r="B89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6FA7F-D90F-452E-A7DC-CC81DF8ED50B}">
  <dimension ref="A1:O89"/>
  <sheetViews>
    <sheetView tabSelected="1" workbookViewId="0">
      <selection activeCell="M5" sqref="M5"/>
    </sheetView>
  </sheetViews>
  <sheetFormatPr defaultRowHeight="14.4" x14ac:dyDescent="0.3"/>
  <sheetData>
    <row r="1" spans="1:15" ht="15.6" thickTop="1" thickBot="1" x14ac:dyDescent="0.35">
      <c r="A1" s="4" t="s">
        <v>135</v>
      </c>
      <c r="B1" s="4"/>
      <c r="C1" s="4"/>
      <c r="D1" s="4"/>
      <c r="E1" s="2"/>
      <c r="F1" s="4" t="s">
        <v>136</v>
      </c>
      <c r="G1" s="4"/>
      <c r="H1" s="4"/>
      <c r="I1" s="4"/>
    </row>
    <row r="2" spans="1:15" ht="15.6" thickTop="1" thickBot="1" x14ac:dyDescent="0.35">
      <c r="A2" s="4" t="s">
        <v>134</v>
      </c>
      <c r="B2" s="4" t="s">
        <v>0</v>
      </c>
      <c r="C2" s="4" t="s">
        <v>133</v>
      </c>
      <c r="D2" s="4" t="s">
        <v>132</v>
      </c>
      <c r="E2" s="3"/>
      <c r="F2" s="4" t="s">
        <v>134</v>
      </c>
      <c r="G2" s="4" t="s">
        <v>0</v>
      </c>
      <c r="H2" s="4" t="s">
        <v>133</v>
      </c>
      <c r="I2" s="4" t="s">
        <v>132</v>
      </c>
      <c r="O2" t="s">
        <v>139</v>
      </c>
    </row>
    <row r="3" spans="1:15" ht="15" thickTop="1" x14ac:dyDescent="0.3">
      <c r="A3">
        <v>1</v>
      </c>
      <c r="B3" t="s">
        <v>1</v>
      </c>
      <c r="C3">
        <v>126</v>
      </c>
      <c r="D3">
        <v>3248</v>
      </c>
      <c r="F3">
        <v>1</v>
      </c>
      <c r="G3" t="s">
        <v>1</v>
      </c>
      <c r="H3">
        <v>126</v>
      </c>
      <c r="I3">
        <v>3248</v>
      </c>
      <c r="M3" t="s">
        <v>137</v>
      </c>
      <c r="N3">
        <f>SUM(C3:C89)</f>
        <v>783</v>
      </c>
      <c r="O3" s="5">
        <f>C3/N3</f>
        <v>0.16091954022988506</v>
      </c>
    </row>
    <row r="4" spans="1:15" x14ac:dyDescent="0.3">
      <c r="A4">
        <v>2</v>
      </c>
      <c r="B4" t="s">
        <v>2</v>
      </c>
      <c r="C4">
        <v>41</v>
      </c>
      <c r="D4">
        <v>366</v>
      </c>
      <c r="F4">
        <v>21</v>
      </c>
      <c r="G4" t="s">
        <v>21</v>
      </c>
      <c r="H4">
        <v>10</v>
      </c>
      <c r="I4">
        <v>1000</v>
      </c>
      <c r="M4" t="s">
        <v>138</v>
      </c>
      <c r="N4">
        <f>SUM(D3:D89)</f>
        <v>8159</v>
      </c>
      <c r="O4" s="5">
        <f>D3/N4</f>
        <v>0.39808800098051234</v>
      </c>
    </row>
    <row r="5" spans="1:15" x14ac:dyDescent="0.3">
      <c r="A5">
        <v>3</v>
      </c>
      <c r="B5" t="s">
        <v>3</v>
      </c>
      <c r="C5">
        <v>38</v>
      </c>
      <c r="D5">
        <v>0</v>
      </c>
      <c r="F5">
        <v>9</v>
      </c>
      <c r="G5" t="s">
        <v>9</v>
      </c>
      <c r="H5">
        <v>26</v>
      </c>
      <c r="I5">
        <v>389</v>
      </c>
    </row>
    <row r="6" spans="1:15" x14ac:dyDescent="0.3">
      <c r="A6">
        <v>4</v>
      </c>
      <c r="B6" t="s">
        <v>4</v>
      </c>
      <c r="C6">
        <v>38</v>
      </c>
      <c r="D6">
        <v>319</v>
      </c>
      <c r="F6">
        <v>7</v>
      </c>
      <c r="G6" t="s">
        <v>7</v>
      </c>
      <c r="H6">
        <v>28</v>
      </c>
      <c r="I6">
        <v>378</v>
      </c>
    </row>
    <row r="7" spans="1:15" x14ac:dyDescent="0.3">
      <c r="A7">
        <v>5</v>
      </c>
      <c r="B7" t="s">
        <v>5</v>
      </c>
      <c r="C7">
        <v>33</v>
      </c>
      <c r="D7">
        <v>185</v>
      </c>
      <c r="F7">
        <v>10</v>
      </c>
      <c r="G7" t="s">
        <v>10</v>
      </c>
      <c r="H7">
        <v>26</v>
      </c>
      <c r="I7">
        <v>367</v>
      </c>
    </row>
    <row r="8" spans="1:15" x14ac:dyDescent="0.3">
      <c r="A8">
        <v>6</v>
      </c>
      <c r="B8" t="s">
        <v>6</v>
      </c>
      <c r="C8">
        <v>28</v>
      </c>
      <c r="D8">
        <v>84</v>
      </c>
      <c r="F8">
        <v>2</v>
      </c>
      <c r="G8" t="s">
        <v>2</v>
      </c>
      <c r="H8">
        <v>41</v>
      </c>
      <c r="I8">
        <v>366</v>
      </c>
    </row>
    <row r="9" spans="1:15" x14ac:dyDescent="0.3">
      <c r="A9">
        <v>7</v>
      </c>
      <c r="B9" t="s">
        <v>7</v>
      </c>
      <c r="C9">
        <v>28</v>
      </c>
      <c r="D9">
        <v>378</v>
      </c>
      <c r="F9">
        <v>14</v>
      </c>
      <c r="G9" t="s">
        <v>14</v>
      </c>
      <c r="H9">
        <v>18</v>
      </c>
      <c r="I9">
        <v>334</v>
      </c>
    </row>
    <row r="10" spans="1:15" x14ac:dyDescent="0.3">
      <c r="A10">
        <v>8</v>
      </c>
      <c r="B10" t="s">
        <v>8</v>
      </c>
      <c r="C10">
        <v>27</v>
      </c>
      <c r="D10">
        <v>79</v>
      </c>
      <c r="F10">
        <v>4</v>
      </c>
      <c r="G10" t="s">
        <v>4</v>
      </c>
      <c r="H10">
        <v>38</v>
      </c>
      <c r="I10">
        <v>319</v>
      </c>
    </row>
    <row r="11" spans="1:15" x14ac:dyDescent="0.3">
      <c r="A11">
        <v>9</v>
      </c>
      <c r="B11" t="s">
        <v>9</v>
      </c>
      <c r="C11">
        <v>26</v>
      </c>
      <c r="D11">
        <v>389</v>
      </c>
      <c r="F11">
        <v>12</v>
      </c>
      <c r="G11" t="s">
        <v>12</v>
      </c>
      <c r="H11">
        <v>20</v>
      </c>
      <c r="I11">
        <v>293</v>
      </c>
    </row>
    <row r="12" spans="1:15" x14ac:dyDescent="0.3">
      <c r="A12">
        <v>10</v>
      </c>
      <c r="B12" t="s">
        <v>10</v>
      </c>
      <c r="C12">
        <v>26</v>
      </c>
      <c r="D12">
        <v>367</v>
      </c>
      <c r="F12">
        <v>5</v>
      </c>
      <c r="G12" t="s">
        <v>5</v>
      </c>
      <c r="H12">
        <v>33</v>
      </c>
      <c r="I12">
        <v>185</v>
      </c>
    </row>
    <row r="13" spans="1:15" x14ac:dyDescent="0.3">
      <c r="A13">
        <v>11</v>
      </c>
      <c r="B13" t="s">
        <v>11</v>
      </c>
      <c r="C13">
        <v>22</v>
      </c>
      <c r="D13">
        <v>18</v>
      </c>
      <c r="F13">
        <v>17</v>
      </c>
      <c r="G13" t="s">
        <v>17</v>
      </c>
      <c r="H13">
        <v>13</v>
      </c>
      <c r="I13">
        <v>168</v>
      </c>
    </row>
    <row r="14" spans="1:15" x14ac:dyDescent="0.3">
      <c r="A14">
        <v>12</v>
      </c>
      <c r="B14" t="s">
        <v>12</v>
      </c>
      <c r="C14">
        <v>20</v>
      </c>
      <c r="D14">
        <v>293</v>
      </c>
      <c r="F14">
        <v>15</v>
      </c>
      <c r="G14" t="s">
        <v>15</v>
      </c>
      <c r="H14">
        <v>16</v>
      </c>
      <c r="I14">
        <v>121</v>
      </c>
    </row>
    <row r="15" spans="1:15" x14ac:dyDescent="0.3">
      <c r="A15">
        <v>13</v>
      </c>
      <c r="B15" t="s">
        <v>13</v>
      </c>
      <c r="C15">
        <v>19</v>
      </c>
      <c r="D15">
        <v>27</v>
      </c>
      <c r="F15">
        <v>22</v>
      </c>
      <c r="G15" t="s">
        <v>22</v>
      </c>
      <c r="H15">
        <v>9</v>
      </c>
      <c r="I15">
        <v>114</v>
      </c>
    </row>
    <row r="16" spans="1:15" x14ac:dyDescent="0.3">
      <c r="A16">
        <v>14</v>
      </c>
      <c r="B16" t="s">
        <v>14</v>
      </c>
      <c r="C16">
        <v>18</v>
      </c>
      <c r="D16">
        <v>334</v>
      </c>
      <c r="F16">
        <v>16</v>
      </c>
      <c r="G16" t="s">
        <v>16</v>
      </c>
      <c r="H16">
        <v>13</v>
      </c>
      <c r="I16">
        <v>113</v>
      </c>
    </row>
    <row r="17" spans="1:9" x14ac:dyDescent="0.3">
      <c r="A17">
        <v>15</v>
      </c>
      <c r="B17" t="s">
        <v>15</v>
      </c>
      <c r="C17">
        <v>16</v>
      </c>
      <c r="D17">
        <v>121</v>
      </c>
      <c r="F17">
        <v>20</v>
      </c>
      <c r="G17" t="s">
        <v>20</v>
      </c>
      <c r="H17">
        <v>10</v>
      </c>
      <c r="I17">
        <v>92</v>
      </c>
    </row>
    <row r="18" spans="1:9" x14ac:dyDescent="0.3">
      <c r="A18">
        <v>16</v>
      </c>
      <c r="B18" t="s">
        <v>16</v>
      </c>
      <c r="C18">
        <v>13</v>
      </c>
      <c r="D18">
        <v>113</v>
      </c>
      <c r="F18">
        <v>6</v>
      </c>
      <c r="G18" t="s">
        <v>6</v>
      </c>
      <c r="H18">
        <v>28</v>
      </c>
      <c r="I18">
        <v>84</v>
      </c>
    </row>
    <row r="19" spans="1:9" x14ac:dyDescent="0.3">
      <c r="A19">
        <v>17</v>
      </c>
      <c r="B19" t="s">
        <v>17</v>
      </c>
      <c r="C19">
        <v>13</v>
      </c>
      <c r="D19">
        <v>168</v>
      </c>
      <c r="F19">
        <v>8</v>
      </c>
      <c r="G19" t="s">
        <v>8</v>
      </c>
      <c r="H19">
        <v>27</v>
      </c>
      <c r="I19">
        <v>79</v>
      </c>
    </row>
    <row r="20" spans="1:9" x14ac:dyDescent="0.3">
      <c r="A20">
        <v>18</v>
      </c>
      <c r="B20" t="s">
        <v>18</v>
      </c>
      <c r="C20">
        <v>13</v>
      </c>
      <c r="D20">
        <v>0</v>
      </c>
      <c r="F20">
        <v>19</v>
      </c>
      <c r="G20" t="s">
        <v>19</v>
      </c>
      <c r="H20">
        <v>11</v>
      </c>
      <c r="I20">
        <v>64</v>
      </c>
    </row>
    <row r="21" spans="1:9" x14ac:dyDescent="0.3">
      <c r="A21">
        <v>19</v>
      </c>
      <c r="B21" t="s">
        <v>19</v>
      </c>
      <c r="C21">
        <v>11</v>
      </c>
      <c r="D21">
        <v>64</v>
      </c>
      <c r="F21">
        <v>30</v>
      </c>
      <c r="G21" t="s">
        <v>30</v>
      </c>
      <c r="H21">
        <v>6</v>
      </c>
      <c r="I21">
        <v>49</v>
      </c>
    </row>
    <row r="22" spans="1:9" x14ac:dyDescent="0.3">
      <c r="A22">
        <v>20</v>
      </c>
      <c r="B22" t="s">
        <v>20</v>
      </c>
      <c r="C22">
        <v>10</v>
      </c>
      <c r="D22">
        <v>92</v>
      </c>
      <c r="F22">
        <v>27</v>
      </c>
      <c r="G22" t="s">
        <v>27</v>
      </c>
      <c r="H22">
        <v>8</v>
      </c>
      <c r="I22">
        <v>47</v>
      </c>
    </row>
    <row r="23" spans="1:9" x14ac:dyDescent="0.3">
      <c r="A23">
        <v>21</v>
      </c>
      <c r="B23" t="s">
        <v>21</v>
      </c>
      <c r="C23">
        <v>10</v>
      </c>
      <c r="D23">
        <v>1000</v>
      </c>
      <c r="F23">
        <v>33</v>
      </c>
      <c r="G23" t="s">
        <v>33</v>
      </c>
      <c r="H23">
        <v>5</v>
      </c>
      <c r="I23">
        <v>43</v>
      </c>
    </row>
    <row r="24" spans="1:9" x14ac:dyDescent="0.3">
      <c r="A24">
        <v>22</v>
      </c>
      <c r="B24" t="s">
        <v>22</v>
      </c>
      <c r="C24">
        <v>9</v>
      </c>
      <c r="D24">
        <v>114</v>
      </c>
      <c r="F24">
        <v>25</v>
      </c>
      <c r="G24" t="s">
        <v>25</v>
      </c>
      <c r="H24">
        <v>9</v>
      </c>
      <c r="I24">
        <v>41</v>
      </c>
    </row>
    <row r="25" spans="1:9" x14ac:dyDescent="0.3">
      <c r="A25">
        <v>23</v>
      </c>
      <c r="B25" t="s">
        <v>23</v>
      </c>
      <c r="C25">
        <v>9</v>
      </c>
      <c r="D25">
        <v>28</v>
      </c>
      <c r="F25">
        <v>24</v>
      </c>
      <c r="G25" t="s">
        <v>24</v>
      </c>
      <c r="H25">
        <v>9</v>
      </c>
      <c r="I25">
        <v>39</v>
      </c>
    </row>
    <row r="26" spans="1:9" x14ac:dyDescent="0.3">
      <c r="A26">
        <v>24</v>
      </c>
      <c r="B26" t="s">
        <v>24</v>
      </c>
      <c r="C26">
        <v>9</v>
      </c>
      <c r="D26">
        <v>39</v>
      </c>
      <c r="F26">
        <v>28</v>
      </c>
      <c r="G26" t="s">
        <v>28</v>
      </c>
      <c r="H26">
        <v>7</v>
      </c>
      <c r="I26">
        <v>36</v>
      </c>
    </row>
    <row r="27" spans="1:9" x14ac:dyDescent="0.3">
      <c r="A27">
        <v>25</v>
      </c>
      <c r="B27" t="s">
        <v>25</v>
      </c>
      <c r="C27">
        <v>9</v>
      </c>
      <c r="D27">
        <v>41</v>
      </c>
      <c r="F27">
        <v>23</v>
      </c>
      <c r="G27" t="s">
        <v>23</v>
      </c>
      <c r="H27">
        <v>9</v>
      </c>
      <c r="I27">
        <v>28</v>
      </c>
    </row>
    <row r="28" spans="1:9" x14ac:dyDescent="0.3">
      <c r="A28">
        <v>26</v>
      </c>
      <c r="B28" t="s">
        <v>26</v>
      </c>
      <c r="C28">
        <v>8</v>
      </c>
      <c r="D28">
        <v>28</v>
      </c>
      <c r="F28">
        <v>26</v>
      </c>
      <c r="G28" t="s">
        <v>26</v>
      </c>
      <c r="H28">
        <v>8</v>
      </c>
      <c r="I28">
        <v>28</v>
      </c>
    </row>
    <row r="29" spans="1:9" x14ac:dyDescent="0.3">
      <c r="A29">
        <v>27</v>
      </c>
      <c r="B29" t="s">
        <v>27</v>
      </c>
      <c r="C29">
        <v>8</v>
      </c>
      <c r="D29">
        <v>47</v>
      </c>
      <c r="F29">
        <v>13</v>
      </c>
      <c r="G29" t="s">
        <v>13</v>
      </c>
      <c r="H29">
        <v>19</v>
      </c>
      <c r="I29">
        <v>27</v>
      </c>
    </row>
    <row r="30" spans="1:9" x14ac:dyDescent="0.3">
      <c r="A30">
        <v>28</v>
      </c>
      <c r="B30" t="s">
        <v>28</v>
      </c>
      <c r="C30">
        <v>7</v>
      </c>
      <c r="D30">
        <v>36</v>
      </c>
      <c r="F30">
        <v>32</v>
      </c>
      <c r="G30" t="s">
        <v>32</v>
      </c>
      <c r="H30">
        <v>6</v>
      </c>
      <c r="I30">
        <v>24</v>
      </c>
    </row>
    <row r="31" spans="1:9" x14ac:dyDescent="0.3">
      <c r="A31">
        <v>29</v>
      </c>
      <c r="B31" t="s">
        <v>29</v>
      </c>
      <c r="C31">
        <v>6</v>
      </c>
      <c r="D31">
        <v>5</v>
      </c>
      <c r="F31">
        <v>38</v>
      </c>
      <c r="G31" t="s">
        <v>38</v>
      </c>
      <c r="H31">
        <v>5</v>
      </c>
      <c r="I31">
        <v>23</v>
      </c>
    </row>
    <row r="32" spans="1:9" ht="15" thickBot="1" x14ac:dyDescent="0.35">
      <c r="A32" s="3">
        <v>30</v>
      </c>
      <c r="B32" s="3" t="s">
        <v>30</v>
      </c>
      <c r="C32" s="3">
        <v>6</v>
      </c>
      <c r="D32" s="3">
        <v>49</v>
      </c>
      <c r="E32" s="3"/>
      <c r="F32" s="3">
        <v>31</v>
      </c>
      <c r="G32" s="3" t="s">
        <v>31</v>
      </c>
      <c r="H32" s="3">
        <v>6</v>
      </c>
      <c r="I32" s="3">
        <v>22</v>
      </c>
    </row>
    <row r="33" spans="1:9" ht="15" thickTop="1" x14ac:dyDescent="0.3">
      <c r="A33">
        <v>31</v>
      </c>
      <c r="B33" t="s">
        <v>31</v>
      </c>
      <c r="C33">
        <v>6</v>
      </c>
      <c r="D33">
        <v>22</v>
      </c>
      <c r="F33">
        <v>11</v>
      </c>
      <c r="G33" t="s">
        <v>11</v>
      </c>
      <c r="H33">
        <v>22</v>
      </c>
      <c r="I33">
        <v>18</v>
      </c>
    </row>
    <row r="34" spans="1:9" x14ac:dyDescent="0.3">
      <c r="A34">
        <v>32</v>
      </c>
      <c r="B34" t="s">
        <v>32</v>
      </c>
      <c r="C34">
        <v>6</v>
      </c>
      <c r="D34">
        <v>24</v>
      </c>
      <c r="F34">
        <v>37</v>
      </c>
      <c r="G34" t="s">
        <v>37</v>
      </c>
      <c r="H34">
        <v>5</v>
      </c>
      <c r="I34">
        <v>11</v>
      </c>
    </row>
    <row r="35" spans="1:9" x14ac:dyDescent="0.3">
      <c r="A35">
        <v>33</v>
      </c>
      <c r="B35" t="s">
        <v>33</v>
      </c>
      <c r="C35">
        <v>5</v>
      </c>
      <c r="D35">
        <v>43</v>
      </c>
      <c r="F35">
        <v>29</v>
      </c>
      <c r="G35" t="s">
        <v>29</v>
      </c>
      <c r="H35">
        <v>6</v>
      </c>
      <c r="I35">
        <v>5</v>
      </c>
    </row>
    <row r="36" spans="1:9" x14ac:dyDescent="0.3">
      <c r="A36">
        <v>34</v>
      </c>
      <c r="B36" t="s">
        <v>34</v>
      </c>
      <c r="C36">
        <v>5</v>
      </c>
      <c r="D36">
        <v>0</v>
      </c>
      <c r="F36">
        <v>35</v>
      </c>
      <c r="G36" t="s">
        <v>35</v>
      </c>
      <c r="H36">
        <v>5</v>
      </c>
      <c r="I36">
        <v>4</v>
      </c>
    </row>
    <row r="37" spans="1:9" x14ac:dyDescent="0.3">
      <c r="A37">
        <v>35</v>
      </c>
      <c r="B37" t="s">
        <v>35</v>
      </c>
      <c r="C37">
        <v>5</v>
      </c>
      <c r="D37">
        <v>4</v>
      </c>
      <c r="F37">
        <v>3</v>
      </c>
      <c r="G37" t="s">
        <v>3</v>
      </c>
      <c r="H37">
        <v>38</v>
      </c>
      <c r="I37">
        <v>0</v>
      </c>
    </row>
    <row r="38" spans="1:9" x14ac:dyDescent="0.3">
      <c r="A38">
        <v>36</v>
      </c>
      <c r="B38" t="s">
        <v>36</v>
      </c>
      <c r="C38">
        <v>5</v>
      </c>
      <c r="D38">
        <v>0</v>
      </c>
      <c r="F38">
        <v>18</v>
      </c>
      <c r="G38" t="s">
        <v>18</v>
      </c>
      <c r="H38">
        <v>13</v>
      </c>
      <c r="I38">
        <v>0</v>
      </c>
    </row>
    <row r="39" spans="1:9" x14ac:dyDescent="0.3">
      <c r="A39">
        <v>37</v>
      </c>
      <c r="B39" t="s">
        <v>37</v>
      </c>
      <c r="C39">
        <v>5</v>
      </c>
      <c r="D39">
        <v>11</v>
      </c>
      <c r="F39">
        <v>34</v>
      </c>
      <c r="G39" t="s">
        <v>34</v>
      </c>
      <c r="H39">
        <v>5</v>
      </c>
      <c r="I39">
        <v>0</v>
      </c>
    </row>
    <row r="40" spans="1:9" x14ac:dyDescent="0.3">
      <c r="A40">
        <v>38</v>
      </c>
      <c r="B40" t="s">
        <v>38</v>
      </c>
      <c r="C40">
        <v>5</v>
      </c>
      <c r="D40">
        <v>23</v>
      </c>
      <c r="F40">
        <v>36</v>
      </c>
      <c r="G40" t="s">
        <v>36</v>
      </c>
      <c r="H40">
        <v>5</v>
      </c>
      <c r="I40">
        <v>0</v>
      </c>
    </row>
    <row r="41" spans="1:9" x14ac:dyDescent="0.3">
      <c r="A41">
        <v>39</v>
      </c>
      <c r="B41" t="s">
        <v>39</v>
      </c>
      <c r="C41">
        <v>4</v>
      </c>
      <c r="D41">
        <v>0</v>
      </c>
      <c r="F41">
        <v>39</v>
      </c>
      <c r="G41" t="s">
        <v>39</v>
      </c>
      <c r="H41">
        <v>4</v>
      </c>
      <c r="I41">
        <v>0</v>
      </c>
    </row>
    <row r="42" spans="1:9" x14ac:dyDescent="0.3">
      <c r="A42">
        <v>40</v>
      </c>
      <c r="B42" t="s">
        <v>40</v>
      </c>
      <c r="C42">
        <v>4</v>
      </c>
      <c r="D42">
        <v>0</v>
      </c>
      <c r="F42">
        <v>40</v>
      </c>
      <c r="G42" t="s">
        <v>40</v>
      </c>
      <c r="H42">
        <v>4</v>
      </c>
      <c r="I42">
        <v>0</v>
      </c>
    </row>
    <row r="43" spans="1:9" x14ac:dyDescent="0.3">
      <c r="A43">
        <v>41</v>
      </c>
      <c r="B43" t="s">
        <v>41</v>
      </c>
      <c r="C43">
        <v>4</v>
      </c>
      <c r="D43">
        <v>0</v>
      </c>
      <c r="F43">
        <v>41</v>
      </c>
      <c r="G43" t="s">
        <v>41</v>
      </c>
      <c r="H43">
        <v>4</v>
      </c>
      <c r="I43">
        <v>0</v>
      </c>
    </row>
    <row r="44" spans="1:9" x14ac:dyDescent="0.3">
      <c r="A44">
        <v>42</v>
      </c>
      <c r="B44" t="s">
        <v>42</v>
      </c>
      <c r="C44">
        <v>4</v>
      </c>
      <c r="D44">
        <v>0</v>
      </c>
      <c r="F44">
        <v>42</v>
      </c>
      <c r="G44" t="s">
        <v>42</v>
      </c>
      <c r="H44">
        <v>4</v>
      </c>
      <c r="I44">
        <v>0</v>
      </c>
    </row>
    <row r="45" spans="1:9" x14ac:dyDescent="0.3">
      <c r="A45">
        <v>43</v>
      </c>
      <c r="B45" t="s">
        <v>43</v>
      </c>
      <c r="C45">
        <v>4</v>
      </c>
      <c r="D45">
        <v>0</v>
      </c>
      <c r="F45">
        <v>43</v>
      </c>
      <c r="G45" t="s">
        <v>43</v>
      </c>
      <c r="H45">
        <v>4</v>
      </c>
      <c r="I45">
        <v>0</v>
      </c>
    </row>
    <row r="46" spans="1:9" x14ac:dyDescent="0.3">
      <c r="A46">
        <v>44</v>
      </c>
      <c r="B46" t="s">
        <v>44</v>
      </c>
      <c r="C46">
        <v>4</v>
      </c>
      <c r="D46">
        <v>0</v>
      </c>
      <c r="F46">
        <v>44</v>
      </c>
      <c r="G46" t="s">
        <v>44</v>
      </c>
      <c r="H46">
        <v>4</v>
      </c>
      <c r="I46">
        <v>0</v>
      </c>
    </row>
    <row r="47" spans="1:9" x14ac:dyDescent="0.3">
      <c r="A47">
        <v>45</v>
      </c>
      <c r="B47" t="s">
        <v>45</v>
      </c>
      <c r="C47">
        <v>3</v>
      </c>
      <c r="D47">
        <v>0</v>
      </c>
      <c r="F47">
        <v>45</v>
      </c>
      <c r="G47" t="s">
        <v>45</v>
      </c>
      <c r="H47">
        <v>3</v>
      </c>
      <c r="I47">
        <v>0</v>
      </c>
    </row>
    <row r="48" spans="1:9" x14ac:dyDescent="0.3">
      <c r="A48">
        <v>46</v>
      </c>
      <c r="B48" t="s">
        <v>46</v>
      </c>
      <c r="C48">
        <v>3</v>
      </c>
      <c r="D48">
        <v>0</v>
      </c>
      <c r="F48">
        <v>46</v>
      </c>
      <c r="G48" t="s">
        <v>46</v>
      </c>
      <c r="H48">
        <v>3</v>
      </c>
      <c r="I48">
        <v>0</v>
      </c>
    </row>
    <row r="49" spans="1:9" x14ac:dyDescent="0.3">
      <c r="A49">
        <v>47</v>
      </c>
      <c r="B49" t="s">
        <v>47</v>
      </c>
      <c r="C49">
        <v>3</v>
      </c>
      <c r="D49">
        <v>0</v>
      </c>
      <c r="F49">
        <v>47</v>
      </c>
      <c r="G49" t="s">
        <v>47</v>
      </c>
      <c r="H49">
        <v>3</v>
      </c>
      <c r="I49">
        <v>0</v>
      </c>
    </row>
    <row r="50" spans="1:9" x14ac:dyDescent="0.3">
      <c r="A50">
        <v>48</v>
      </c>
      <c r="B50" t="s">
        <v>48</v>
      </c>
      <c r="C50">
        <v>3</v>
      </c>
      <c r="D50">
        <v>0</v>
      </c>
      <c r="F50">
        <v>48</v>
      </c>
      <c r="G50" t="s">
        <v>48</v>
      </c>
      <c r="H50">
        <v>3</v>
      </c>
      <c r="I50">
        <v>0</v>
      </c>
    </row>
    <row r="51" spans="1:9" x14ac:dyDescent="0.3">
      <c r="A51">
        <v>49</v>
      </c>
      <c r="B51" t="s">
        <v>49</v>
      </c>
      <c r="C51">
        <v>3</v>
      </c>
      <c r="D51">
        <v>0</v>
      </c>
      <c r="F51">
        <v>49</v>
      </c>
      <c r="G51" t="s">
        <v>49</v>
      </c>
      <c r="H51">
        <v>3</v>
      </c>
      <c r="I51">
        <v>0</v>
      </c>
    </row>
    <row r="52" spans="1:9" x14ac:dyDescent="0.3">
      <c r="A52">
        <v>50</v>
      </c>
      <c r="B52" t="s">
        <v>50</v>
      </c>
      <c r="C52">
        <v>3</v>
      </c>
      <c r="D52">
        <v>0</v>
      </c>
      <c r="F52">
        <v>50</v>
      </c>
      <c r="G52" t="s">
        <v>50</v>
      </c>
      <c r="H52">
        <v>3</v>
      </c>
      <c r="I52">
        <v>0</v>
      </c>
    </row>
    <row r="53" spans="1:9" x14ac:dyDescent="0.3">
      <c r="A53">
        <v>51</v>
      </c>
      <c r="B53" t="s">
        <v>51</v>
      </c>
      <c r="C53">
        <v>3</v>
      </c>
      <c r="D53">
        <v>0</v>
      </c>
      <c r="F53">
        <v>51</v>
      </c>
      <c r="G53" t="s">
        <v>51</v>
      </c>
      <c r="H53">
        <v>3</v>
      </c>
      <c r="I53">
        <v>0</v>
      </c>
    </row>
    <row r="54" spans="1:9" x14ac:dyDescent="0.3">
      <c r="A54">
        <v>52</v>
      </c>
      <c r="B54" t="s">
        <v>52</v>
      </c>
      <c r="C54">
        <v>2</v>
      </c>
      <c r="D54">
        <v>0</v>
      </c>
      <c r="F54">
        <v>52</v>
      </c>
      <c r="G54" t="s">
        <v>52</v>
      </c>
      <c r="H54">
        <v>2</v>
      </c>
      <c r="I54">
        <v>0</v>
      </c>
    </row>
    <row r="55" spans="1:9" x14ac:dyDescent="0.3">
      <c r="A55">
        <v>53</v>
      </c>
      <c r="B55" t="s">
        <v>53</v>
      </c>
      <c r="C55">
        <v>2</v>
      </c>
      <c r="D55">
        <v>0</v>
      </c>
      <c r="F55">
        <v>53</v>
      </c>
      <c r="G55" t="s">
        <v>53</v>
      </c>
      <c r="H55">
        <v>2</v>
      </c>
      <c r="I55">
        <v>0</v>
      </c>
    </row>
    <row r="56" spans="1:9" x14ac:dyDescent="0.3">
      <c r="A56">
        <v>54</v>
      </c>
      <c r="B56" t="s">
        <v>54</v>
      </c>
      <c r="C56">
        <v>2</v>
      </c>
      <c r="D56">
        <v>0</v>
      </c>
      <c r="F56">
        <v>54</v>
      </c>
      <c r="G56" t="s">
        <v>54</v>
      </c>
      <c r="H56">
        <v>2</v>
      </c>
      <c r="I56">
        <v>0</v>
      </c>
    </row>
    <row r="57" spans="1:9" x14ac:dyDescent="0.3">
      <c r="A57">
        <v>55</v>
      </c>
      <c r="B57" t="s">
        <v>55</v>
      </c>
      <c r="C57">
        <v>2</v>
      </c>
      <c r="D57">
        <v>0</v>
      </c>
      <c r="F57">
        <v>55</v>
      </c>
      <c r="G57" t="s">
        <v>55</v>
      </c>
      <c r="H57">
        <v>2</v>
      </c>
      <c r="I57">
        <v>0</v>
      </c>
    </row>
    <row r="58" spans="1:9" x14ac:dyDescent="0.3">
      <c r="A58">
        <v>56</v>
      </c>
      <c r="B58" t="s">
        <v>56</v>
      </c>
      <c r="C58">
        <v>2</v>
      </c>
      <c r="D58">
        <v>0</v>
      </c>
      <c r="F58">
        <v>56</v>
      </c>
      <c r="G58" t="s">
        <v>56</v>
      </c>
      <c r="H58">
        <v>2</v>
      </c>
      <c r="I58">
        <v>0</v>
      </c>
    </row>
    <row r="59" spans="1:9" x14ac:dyDescent="0.3">
      <c r="A59">
        <v>57</v>
      </c>
      <c r="B59" t="s">
        <v>57</v>
      </c>
      <c r="C59">
        <v>2</v>
      </c>
      <c r="D59">
        <v>0</v>
      </c>
      <c r="F59">
        <v>57</v>
      </c>
      <c r="G59" t="s">
        <v>57</v>
      </c>
      <c r="H59">
        <v>2</v>
      </c>
      <c r="I59">
        <v>0</v>
      </c>
    </row>
    <row r="60" spans="1:9" x14ac:dyDescent="0.3">
      <c r="A60">
        <v>58</v>
      </c>
      <c r="B60" t="s">
        <v>58</v>
      </c>
      <c r="C60">
        <v>2</v>
      </c>
      <c r="D60">
        <v>0</v>
      </c>
      <c r="F60">
        <v>58</v>
      </c>
      <c r="G60" t="s">
        <v>58</v>
      </c>
      <c r="H60">
        <v>2</v>
      </c>
      <c r="I60">
        <v>0</v>
      </c>
    </row>
    <row r="61" spans="1:9" x14ac:dyDescent="0.3">
      <c r="A61">
        <v>59</v>
      </c>
      <c r="B61" t="s">
        <v>59</v>
      </c>
      <c r="C61">
        <v>2</v>
      </c>
      <c r="D61">
        <v>0</v>
      </c>
      <c r="F61">
        <v>59</v>
      </c>
      <c r="G61" t="s">
        <v>59</v>
      </c>
      <c r="H61">
        <v>2</v>
      </c>
      <c r="I61">
        <v>0</v>
      </c>
    </row>
    <row r="62" spans="1:9" x14ac:dyDescent="0.3">
      <c r="A62">
        <v>60</v>
      </c>
      <c r="B62" t="s">
        <v>60</v>
      </c>
      <c r="C62">
        <v>2</v>
      </c>
      <c r="D62">
        <v>0</v>
      </c>
      <c r="F62">
        <v>60</v>
      </c>
      <c r="G62" t="s">
        <v>60</v>
      </c>
      <c r="H62">
        <v>2</v>
      </c>
      <c r="I62">
        <v>0</v>
      </c>
    </row>
    <row r="63" spans="1:9" x14ac:dyDescent="0.3">
      <c r="A63">
        <v>61</v>
      </c>
      <c r="B63" t="s">
        <v>61</v>
      </c>
      <c r="C63">
        <v>2</v>
      </c>
      <c r="D63">
        <v>0</v>
      </c>
      <c r="F63">
        <v>61</v>
      </c>
      <c r="G63" t="s">
        <v>61</v>
      </c>
      <c r="H63">
        <v>2</v>
      </c>
      <c r="I63">
        <v>0</v>
      </c>
    </row>
    <row r="64" spans="1:9" x14ac:dyDescent="0.3">
      <c r="A64">
        <v>62</v>
      </c>
      <c r="B64" t="s">
        <v>62</v>
      </c>
      <c r="C64">
        <v>2</v>
      </c>
      <c r="D64">
        <v>0</v>
      </c>
      <c r="F64">
        <v>62</v>
      </c>
      <c r="G64" t="s">
        <v>62</v>
      </c>
      <c r="H64">
        <v>2</v>
      </c>
      <c r="I64">
        <v>0</v>
      </c>
    </row>
    <row r="65" spans="1:9" x14ac:dyDescent="0.3">
      <c r="A65">
        <v>63</v>
      </c>
      <c r="B65" t="s">
        <v>63</v>
      </c>
      <c r="C65">
        <v>2</v>
      </c>
      <c r="D65">
        <v>0</v>
      </c>
      <c r="F65">
        <v>63</v>
      </c>
      <c r="G65" t="s">
        <v>63</v>
      </c>
      <c r="H65">
        <v>2</v>
      </c>
      <c r="I65">
        <v>0</v>
      </c>
    </row>
    <row r="66" spans="1:9" x14ac:dyDescent="0.3">
      <c r="A66">
        <v>64</v>
      </c>
      <c r="B66" t="s">
        <v>64</v>
      </c>
      <c r="C66">
        <v>2</v>
      </c>
      <c r="D66">
        <v>0</v>
      </c>
      <c r="F66">
        <v>64</v>
      </c>
      <c r="G66" t="s">
        <v>64</v>
      </c>
      <c r="H66">
        <v>2</v>
      </c>
      <c r="I66">
        <v>0</v>
      </c>
    </row>
    <row r="67" spans="1:9" x14ac:dyDescent="0.3">
      <c r="A67">
        <v>65</v>
      </c>
      <c r="B67" t="s">
        <v>65</v>
      </c>
      <c r="C67">
        <v>1</v>
      </c>
      <c r="D67">
        <v>0</v>
      </c>
      <c r="F67">
        <v>65</v>
      </c>
      <c r="G67" t="s">
        <v>65</v>
      </c>
      <c r="H67">
        <v>1</v>
      </c>
      <c r="I67">
        <v>0</v>
      </c>
    </row>
    <row r="68" spans="1:9" x14ac:dyDescent="0.3">
      <c r="A68">
        <v>66</v>
      </c>
      <c r="B68" t="s">
        <v>66</v>
      </c>
      <c r="C68">
        <v>1</v>
      </c>
      <c r="D68">
        <v>0</v>
      </c>
      <c r="F68">
        <v>66</v>
      </c>
      <c r="G68" t="s">
        <v>66</v>
      </c>
      <c r="H68">
        <v>1</v>
      </c>
      <c r="I68">
        <v>0</v>
      </c>
    </row>
    <row r="69" spans="1:9" x14ac:dyDescent="0.3">
      <c r="A69">
        <v>67</v>
      </c>
      <c r="B69" t="s">
        <v>67</v>
      </c>
      <c r="C69">
        <v>1</v>
      </c>
      <c r="D69">
        <v>0</v>
      </c>
      <c r="F69">
        <v>67</v>
      </c>
      <c r="G69" t="s">
        <v>67</v>
      </c>
      <c r="H69">
        <v>1</v>
      </c>
      <c r="I69">
        <v>0</v>
      </c>
    </row>
    <row r="70" spans="1:9" x14ac:dyDescent="0.3">
      <c r="A70">
        <v>68</v>
      </c>
      <c r="B70" t="s">
        <v>68</v>
      </c>
      <c r="C70">
        <v>1</v>
      </c>
      <c r="D70">
        <v>0</v>
      </c>
      <c r="F70">
        <v>68</v>
      </c>
      <c r="G70" t="s">
        <v>68</v>
      </c>
      <c r="H70">
        <v>1</v>
      </c>
      <c r="I70">
        <v>0</v>
      </c>
    </row>
    <row r="71" spans="1:9" x14ac:dyDescent="0.3">
      <c r="A71">
        <v>69</v>
      </c>
      <c r="B71" t="s">
        <v>69</v>
      </c>
      <c r="C71">
        <v>1</v>
      </c>
      <c r="D71">
        <v>0</v>
      </c>
      <c r="F71">
        <v>69</v>
      </c>
      <c r="G71" t="s">
        <v>69</v>
      </c>
      <c r="H71">
        <v>1</v>
      </c>
      <c r="I71">
        <v>0</v>
      </c>
    </row>
    <row r="72" spans="1:9" x14ac:dyDescent="0.3">
      <c r="A72">
        <v>70</v>
      </c>
      <c r="B72" t="s">
        <v>70</v>
      </c>
      <c r="C72">
        <v>1</v>
      </c>
      <c r="D72">
        <v>0</v>
      </c>
      <c r="F72">
        <v>70</v>
      </c>
      <c r="G72" t="s">
        <v>70</v>
      </c>
      <c r="H72">
        <v>1</v>
      </c>
      <c r="I72">
        <v>0</v>
      </c>
    </row>
    <row r="73" spans="1:9" x14ac:dyDescent="0.3">
      <c r="A73">
        <v>71</v>
      </c>
      <c r="B73" t="s">
        <v>71</v>
      </c>
      <c r="C73">
        <v>1</v>
      </c>
      <c r="D73">
        <v>0</v>
      </c>
      <c r="F73">
        <v>71</v>
      </c>
      <c r="G73" t="s">
        <v>71</v>
      </c>
      <c r="H73">
        <v>1</v>
      </c>
      <c r="I73">
        <v>0</v>
      </c>
    </row>
    <row r="74" spans="1:9" x14ac:dyDescent="0.3">
      <c r="A74">
        <v>72</v>
      </c>
      <c r="B74" t="s">
        <v>72</v>
      </c>
      <c r="C74">
        <v>1</v>
      </c>
      <c r="D74">
        <v>0</v>
      </c>
      <c r="F74">
        <v>72</v>
      </c>
      <c r="G74" t="s">
        <v>72</v>
      </c>
      <c r="H74">
        <v>1</v>
      </c>
      <c r="I74">
        <v>0</v>
      </c>
    </row>
    <row r="75" spans="1:9" x14ac:dyDescent="0.3">
      <c r="A75">
        <v>73</v>
      </c>
      <c r="B75" t="s">
        <v>73</v>
      </c>
      <c r="C75">
        <v>1</v>
      </c>
      <c r="D75">
        <v>0</v>
      </c>
      <c r="F75">
        <v>73</v>
      </c>
      <c r="G75" t="s">
        <v>73</v>
      </c>
      <c r="H75">
        <v>1</v>
      </c>
      <c r="I75">
        <v>0</v>
      </c>
    </row>
    <row r="76" spans="1:9" x14ac:dyDescent="0.3">
      <c r="A76">
        <v>74</v>
      </c>
      <c r="B76" t="s">
        <v>74</v>
      </c>
      <c r="C76">
        <v>1</v>
      </c>
      <c r="D76">
        <v>0</v>
      </c>
      <c r="F76">
        <v>74</v>
      </c>
      <c r="G76" t="s">
        <v>74</v>
      </c>
      <c r="H76">
        <v>1</v>
      </c>
      <c r="I76">
        <v>0</v>
      </c>
    </row>
    <row r="77" spans="1:9" x14ac:dyDescent="0.3">
      <c r="A77">
        <v>75</v>
      </c>
      <c r="B77" t="s">
        <v>75</v>
      </c>
      <c r="C77">
        <v>1</v>
      </c>
      <c r="D77">
        <v>0</v>
      </c>
      <c r="F77">
        <v>75</v>
      </c>
      <c r="G77" t="s">
        <v>75</v>
      </c>
      <c r="H77">
        <v>1</v>
      </c>
      <c r="I77">
        <v>0</v>
      </c>
    </row>
    <row r="78" spans="1:9" x14ac:dyDescent="0.3">
      <c r="A78">
        <v>76</v>
      </c>
      <c r="B78" t="s">
        <v>76</v>
      </c>
      <c r="C78">
        <v>1</v>
      </c>
      <c r="D78">
        <v>0</v>
      </c>
      <c r="F78">
        <v>76</v>
      </c>
      <c r="G78" t="s">
        <v>76</v>
      </c>
      <c r="H78">
        <v>1</v>
      </c>
      <c r="I78">
        <v>0</v>
      </c>
    </row>
    <row r="79" spans="1:9" x14ac:dyDescent="0.3">
      <c r="A79">
        <v>77</v>
      </c>
      <c r="B79" t="s">
        <v>77</v>
      </c>
      <c r="C79">
        <v>1</v>
      </c>
      <c r="D79">
        <v>0</v>
      </c>
      <c r="F79">
        <v>77</v>
      </c>
      <c r="G79" t="s">
        <v>77</v>
      </c>
      <c r="H79">
        <v>1</v>
      </c>
      <c r="I79">
        <v>0</v>
      </c>
    </row>
    <row r="80" spans="1:9" x14ac:dyDescent="0.3">
      <c r="A80">
        <v>78</v>
      </c>
      <c r="B80" t="s">
        <v>78</v>
      </c>
      <c r="C80">
        <v>1</v>
      </c>
      <c r="D80">
        <v>0</v>
      </c>
      <c r="F80">
        <v>78</v>
      </c>
      <c r="G80" t="s">
        <v>78</v>
      </c>
      <c r="H80">
        <v>1</v>
      </c>
      <c r="I80">
        <v>0</v>
      </c>
    </row>
    <row r="81" spans="1:9" x14ac:dyDescent="0.3">
      <c r="A81">
        <v>79</v>
      </c>
      <c r="B81" t="s">
        <v>79</v>
      </c>
      <c r="C81">
        <v>1</v>
      </c>
      <c r="D81">
        <v>0</v>
      </c>
      <c r="F81">
        <v>79</v>
      </c>
      <c r="G81" t="s">
        <v>79</v>
      </c>
      <c r="H81">
        <v>1</v>
      </c>
      <c r="I81">
        <v>0</v>
      </c>
    </row>
    <row r="82" spans="1:9" x14ac:dyDescent="0.3">
      <c r="A82">
        <v>80</v>
      </c>
      <c r="B82" t="s">
        <v>80</v>
      </c>
      <c r="C82">
        <v>1</v>
      </c>
      <c r="D82">
        <v>0</v>
      </c>
      <c r="F82">
        <v>80</v>
      </c>
      <c r="G82" t="s">
        <v>80</v>
      </c>
      <c r="H82">
        <v>1</v>
      </c>
      <c r="I82">
        <v>0</v>
      </c>
    </row>
    <row r="83" spans="1:9" x14ac:dyDescent="0.3">
      <c r="A83">
        <v>81</v>
      </c>
      <c r="B83" t="s">
        <v>81</v>
      </c>
      <c r="C83">
        <v>1</v>
      </c>
      <c r="D83">
        <v>0</v>
      </c>
      <c r="F83">
        <v>81</v>
      </c>
      <c r="G83" t="s">
        <v>81</v>
      </c>
      <c r="H83">
        <v>1</v>
      </c>
      <c r="I83">
        <v>0</v>
      </c>
    </row>
    <row r="84" spans="1:9" x14ac:dyDescent="0.3">
      <c r="A84">
        <v>82</v>
      </c>
      <c r="B84" t="s">
        <v>82</v>
      </c>
      <c r="C84">
        <v>1</v>
      </c>
      <c r="D84">
        <v>0</v>
      </c>
      <c r="F84">
        <v>82</v>
      </c>
      <c r="G84" t="s">
        <v>82</v>
      </c>
      <c r="H84">
        <v>1</v>
      </c>
      <c r="I84">
        <v>0</v>
      </c>
    </row>
    <row r="85" spans="1:9" x14ac:dyDescent="0.3">
      <c r="A85">
        <v>83</v>
      </c>
      <c r="B85" t="s">
        <v>83</v>
      </c>
      <c r="C85">
        <v>1</v>
      </c>
      <c r="D85">
        <v>0</v>
      </c>
      <c r="F85">
        <v>83</v>
      </c>
      <c r="G85" t="s">
        <v>83</v>
      </c>
      <c r="H85">
        <v>1</v>
      </c>
      <c r="I85">
        <v>0</v>
      </c>
    </row>
    <row r="86" spans="1:9" x14ac:dyDescent="0.3">
      <c r="A86">
        <v>84</v>
      </c>
      <c r="B86" t="s">
        <v>84</v>
      </c>
      <c r="C86">
        <v>1</v>
      </c>
      <c r="D86">
        <v>0</v>
      </c>
      <c r="F86">
        <v>84</v>
      </c>
      <c r="G86" t="s">
        <v>84</v>
      </c>
      <c r="H86">
        <v>1</v>
      </c>
      <c r="I86">
        <v>0</v>
      </c>
    </row>
    <row r="87" spans="1:9" x14ac:dyDescent="0.3">
      <c r="A87">
        <v>85</v>
      </c>
      <c r="B87" t="s">
        <v>85</v>
      </c>
      <c r="C87">
        <v>1</v>
      </c>
      <c r="D87">
        <v>0</v>
      </c>
      <c r="F87">
        <v>85</v>
      </c>
      <c r="G87" t="s">
        <v>85</v>
      </c>
      <c r="H87">
        <v>1</v>
      </c>
      <c r="I87">
        <v>0</v>
      </c>
    </row>
    <row r="88" spans="1:9" x14ac:dyDescent="0.3">
      <c r="A88">
        <v>86</v>
      </c>
      <c r="B88" t="s">
        <v>86</v>
      </c>
      <c r="C88">
        <v>1</v>
      </c>
      <c r="D88">
        <v>0</v>
      </c>
      <c r="F88">
        <v>86</v>
      </c>
      <c r="G88" t="s">
        <v>86</v>
      </c>
      <c r="H88">
        <v>1</v>
      </c>
      <c r="I88">
        <v>0</v>
      </c>
    </row>
    <row r="89" spans="1:9" x14ac:dyDescent="0.3">
      <c r="A89">
        <v>87</v>
      </c>
      <c r="B89" t="s">
        <v>87</v>
      </c>
      <c r="C89">
        <v>1</v>
      </c>
      <c r="D89">
        <v>0</v>
      </c>
      <c r="F89">
        <v>87</v>
      </c>
      <c r="G89" t="s">
        <v>87</v>
      </c>
      <c r="H89">
        <v>1</v>
      </c>
      <c r="I89">
        <v>0</v>
      </c>
    </row>
  </sheetData>
  <sortState xmlns:xlrd2="http://schemas.microsoft.com/office/spreadsheetml/2017/richdata2" ref="F3:I89">
    <sortCondition descending="1" ref="I3:I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FinalProd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Worker</dc:creator>
  <cp:lastModifiedBy>Bourgou Khalil</cp:lastModifiedBy>
  <dcterms:created xsi:type="dcterms:W3CDTF">2015-06-05T18:17:20Z</dcterms:created>
  <dcterms:modified xsi:type="dcterms:W3CDTF">2024-12-04T11:25:48Z</dcterms:modified>
</cp:coreProperties>
</file>