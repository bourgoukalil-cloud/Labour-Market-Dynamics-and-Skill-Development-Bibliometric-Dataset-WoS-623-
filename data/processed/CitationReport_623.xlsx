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429"/>
  <workbookPr defaultThemeVersion="202300"/>
  <mc:AlternateContent xmlns:mc="http://schemas.openxmlformats.org/markup-compatibility/2006">
    <mc:Choice Requires="x15">
      <x15ac:absPath xmlns:x15ac="http://schemas.microsoft.com/office/spreadsheetml/2010/11/ac" url="D:\OneDrive - Neumann János Egyetem\PhD\Subjects_first_year_2024_2025\Scientometrics and Bibliometrics\Data-11152024\Get-Paper-Done-12-24\VOS623\"/>
    </mc:Choice>
  </mc:AlternateContent>
  <xr:revisionPtr revIDLastSave="0" documentId="13_ncr:1_{1710220B-D99F-4B47-BDB9-D2D2749A1588}" xr6:coauthVersionLast="47" xr6:coauthVersionMax="47" xr10:uidLastSave="{00000000-0000-0000-0000-000000000000}"/>
  <bookViews>
    <workbookView xWindow="-108" yWindow="492" windowWidth="23256" windowHeight="12576" xr2:uid="{00000000-000D-0000-FFFF-FFFF00000000}"/>
  </bookViews>
  <sheets>
    <sheet name="savedrecs" sheetId="1" r:id="rId1"/>
    <sheet name="Affilations" sheetId="5" r:id="rId2"/>
    <sheet name="Departments" sheetId="6" r:id="rId3"/>
    <sheet name="Authors" sheetId="7" r:id="rId4"/>
    <sheet name="Years" sheetId="8" r:id="rId5"/>
    <sheet name="ResearchArea" sheetId="9" r:id="rId6"/>
    <sheet name="Citation-Articles-By-Year" sheetId="3" r:id="rId7"/>
    <sheet name="Most cited articles" sheetId="2" r:id="rId8"/>
    <sheet name="Journal-Pub-Cite" sheetId="4" r:id="rId9"/>
  </sheets>
  <definedNames>
    <definedName name="_xlnm._FilterDatabase" localSheetId="6" hidden="1">'Citation-Articles-By-Year'!$B$1:$B$634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U7" i="1" l="1"/>
  <c r="K27" i="3"/>
  <c r="K2" i="3"/>
  <c r="J27" i="3"/>
  <c r="J2" i="3"/>
  <c r="F5" i="9"/>
  <c r="G4" i="9" s="1"/>
  <c r="F2" i="8"/>
  <c r="BT13" i="1"/>
  <c r="BT12" i="1"/>
  <c r="I6" i="4"/>
  <c r="I7" i="4" s="1"/>
  <c r="I8" i="4" s="1"/>
  <c r="I9" i="4" s="1"/>
  <c r="I10" i="4" s="1"/>
  <c r="I11" i="4" s="1"/>
  <c r="I12" i="4" s="1"/>
  <c r="I13" i="4" s="1"/>
  <c r="I14" i="4" s="1"/>
  <c r="I15" i="4" s="1"/>
  <c r="I16" i="4" s="1"/>
  <c r="I17" i="4" s="1"/>
  <c r="I18" i="4" s="1"/>
  <c r="I19" i="4" s="1"/>
  <c r="I20" i="4" s="1"/>
  <c r="I21" i="4" s="1"/>
  <c r="I22" i="4" s="1"/>
  <c r="I23" i="4" s="1"/>
  <c r="I24" i="4" s="1"/>
  <c r="I25" i="4" s="1"/>
  <c r="I26" i="4" s="1"/>
  <c r="I27" i="4" s="1"/>
  <c r="I28" i="4" s="1"/>
  <c r="I29" i="4" s="1"/>
  <c r="I30" i="4" s="1"/>
  <c r="I31" i="4" s="1"/>
  <c r="I32" i="4" s="1"/>
  <c r="I33" i="4" s="1"/>
  <c r="I34" i="4" s="1"/>
  <c r="I35" i="4" s="1"/>
  <c r="I36" i="4" s="1"/>
  <c r="I37" i="4" s="1"/>
  <c r="I38" i="4" s="1"/>
  <c r="I39" i="4" s="1"/>
  <c r="I40" i="4" s="1"/>
  <c r="I41" i="4" s="1"/>
  <c r="I42" i="4" s="1"/>
  <c r="I43" i="4" s="1"/>
  <c r="I44" i="4" s="1"/>
  <c r="I45" i="4" s="1"/>
  <c r="I46" i="4" s="1"/>
  <c r="I47" i="4" s="1"/>
  <c r="I48" i="4" s="1"/>
  <c r="I49" i="4" s="1"/>
  <c r="I50" i="4" s="1"/>
  <c r="I51" i="4" s="1"/>
  <c r="I52" i="4" s="1"/>
  <c r="I53" i="4" s="1"/>
  <c r="I54" i="4" s="1"/>
  <c r="I55" i="4" s="1"/>
  <c r="I56" i="4" s="1"/>
  <c r="I57" i="4" s="1"/>
  <c r="I58" i="4" s="1"/>
  <c r="I59" i="4" s="1"/>
  <c r="I60" i="4" s="1"/>
  <c r="I61" i="4" s="1"/>
  <c r="I62" i="4" s="1"/>
  <c r="I63" i="4" s="1"/>
  <c r="I64" i="4" s="1"/>
  <c r="I65" i="4" s="1"/>
  <c r="I66" i="4" s="1"/>
  <c r="I67" i="4" s="1"/>
  <c r="I68" i="4" s="1"/>
  <c r="I69" i="4" s="1"/>
  <c r="I70" i="4" s="1"/>
  <c r="I71" i="4" s="1"/>
  <c r="I72" i="4" s="1"/>
  <c r="I73" i="4" s="1"/>
  <c r="I74" i="4" s="1"/>
  <c r="I75" i="4" s="1"/>
  <c r="I76" i="4" s="1"/>
  <c r="I77" i="4" s="1"/>
  <c r="I78" i="4" s="1"/>
  <c r="I79" i="4" s="1"/>
  <c r="I80" i="4" s="1"/>
  <c r="I81" i="4" s="1"/>
  <c r="I82" i="4" s="1"/>
  <c r="I83" i="4" s="1"/>
  <c r="I84" i="4" s="1"/>
  <c r="I85" i="4" s="1"/>
  <c r="I86" i="4" s="1"/>
  <c r="I87" i="4" s="1"/>
  <c r="I88" i="4" s="1"/>
  <c r="I89" i="4" s="1"/>
  <c r="I90" i="4" s="1"/>
  <c r="I91" i="4" s="1"/>
  <c r="I92" i="4" s="1"/>
  <c r="I93" i="4" s="1"/>
  <c r="I94" i="4" s="1"/>
  <c r="I95" i="4" s="1"/>
  <c r="I96" i="4" s="1"/>
  <c r="I97" i="4" s="1"/>
  <c r="I98" i="4" s="1"/>
  <c r="I99" i="4" s="1"/>
  <c r="I100" i="4" s="1"/>
  <c r="I101" i="4" s="1"/>
  <c r="I102" i="4" s="1"/>
  <c r="I103" i="4" s="1"/>
  <c r="I104" i="4" s="1"/>
  <c r="I105" i="4" s="1"/>
  <c r="I106" i="4" s="1"/>
  <c r="I107" i="4" s="1"/>
  <c r="I108" i="4" s="1"/>
  <c r="I109" i="4" s="1"/>
  <c r="I110" i="4" s="1"/>
  <c r="I111" i="4" s="1"/>
  <c r="I112" i="4" s="1"/>
  <c r="I113" i="4" s="1"/>
  <c r="I114" i="4" s="1"/>
  <c r="I115" i="4" s="1"/>
  <c r="I116" i="4" s="1"/>
  <c r="I117" i="4" s="1"/>
  <c r="I118" i="4" s="1"/>
  <c r="I119" i="4" s="1"/>
  <c r="I120" i="4" s="1"/>
  <c r="I121" i="4" s="1"/>
  <c r="I122" i="4" s="1"/>
  <c r="I123" i="4" s="1"/>
  <c r="I124" i="4" s="1"/>
  <c r="I125" i="4" s="1"/>
  <c r="I126" i="4" s="1"/>
  <c r="I127" i="4" s="1"/>
  <c r="I128" i="4" s="1"/>
  <c r="I129" i="4" s="1"/>
  <c r="I130" i="4" s="1"/>
  <c r="I131" i="4" s="1"/>
  <c r="I132" i="4" s="1"/>
  <c r="I133" i="4" s="1"/>
  <c r="I134" i="4" s="1"/>
  <c r="I135" i="4" s="1"/>
  <c r="I136" i="4" s="1"/>
  <c r="I137" i="4" s="1"/>
  <c r="I138" i="4" s="1"/>
  <c r="I139" i="4" s="1"/>
  <c r="I140" i="4" s="1"/>
  <c r="I141" i="4" s="1"/>
  <c r="I142" i="4" s="1"/>
  <c r="I143" i="4" s="1"/>
  <c r="I144" i="4" s="1"/>
  <c r="I145" i="4" s="1"/>
  <c r="I146" i="4" s="1"/>
  <c r="I147" i="4" s="1"/>
  <c r="I148" i="4" s="1"/>
  <c r="I149" i="4" s="1"/>
  <c r="I150" i="4" s="1"/>
  <c r="I151" i="4" s="1"/>
  <c r="I152" i="4" s="1"/>
  <c r="I153" i="4" s="1"/>
  <c r="I154" i="4" s="1"/>
  <c r="I155" i="4" s="1"/>
  <c r="I156" i="4" s="1"/>
  <c r="I157" i="4" s="1"/>
  <c r="I158" i="4" s="1"/>
  <c r="I159" i="4" s="1"/>
  <c r="I160" i="4" s="1"/>
  <c r="I161" i="4" s="1"/>
  <c r="I162" i="4" s="1"/>
  <c r="I163" i="4" s="1"/>
  <c r="I164" i="4" s="1"/>
  <c r="I165" i="4" s="1"/>
  <c r="I166" i="4" s="1"/>
  <c r="I167" i="4" s="1"/>
  <c r="I168" i="4" s="1"/>
  <c r="I169" i="4" s="1"/>
  <c r="I170" i="4" s="1"/>
  <c r="I171" i="4" s="1"/>
  <c r="I172" i="4" s="1"/>
  <c r="I173" i="4" s="1"/>
  <c r="I174" i="4" s="1"/>
  <c r="I175" i="4" s="1"/>
  <c r="I176" i="4" s="1"/>
  <c r="I177" i="4" s="1"/>
  <c r="I178" i="4" s="1"/>
  <c r="I179" i="4" s="1"/>
  <c r="I180" i="4" s="1"/>
  <c r="I181" i="4" s="1"/>
  <c r="I182" i="4" s="1"/>
  <c r="I183" i="4" s="1"/>
  <c r="I184" i="4" s="1"/>
  <c r="I185" i="4" s="1"/>
  <c r="I186" i="4" s="1"/>
  <c r="I187" i="4" s="1"/>
  <c r="I188" i="4" s="1"/>
  <c r="I189" i="4" s="1"/>
  <c r="I190" i="4" s="1"/>
  <c r="I191" i="4" s="1"/>
  <c r="I192" i="4" s="1"/>
  <c r="I193" i="4" s="1"/>
  <c r="I194" i="4" s="1"/>
  <c r="I195" i="4" s="1"/>
  <c r="I196" i="4" s="1"/>
  <c r="I197" i="4" s="1"/>
  <c r="I198" i="4" s="1"/>
  <c r="I199" i="4" s="1"/>
  <c r="I200" i="4" s="1"/>
  <c r="I201" i="4" s="1"/>
  <c r="I202" i="4" s="1"/>
  <c r="I203" i="4" s="1"/>
  <c r="I204" i="4" s="1"/>
  <c r="I205" i="4" s="1"/>
  <c r="I206" i="4" s="1"/>
  <c r="I207" i="4" s="1"/>
  <c r="I208" i="4" s="1"/>
  <c r="I209" i="4" s="1"/>
  <c r="I210" i="4" s="1"/>
  <c r="I211" i="4" s="1"/>
  <c r="I212" i="4" s="1"/>
  <c r="I213" i="4" s="1"/>
  <c r="I214" i="4" s="1"/>
  <c r="I215" i="4" s="1"/>
  <c r="I216" i="4" s="1"/>
  <c r="I217" i="4" s="1"/>
  <c r="I218" i="4" s="1"/>
  <c r="I219" i="4" s="1"/>
  <c r="I220" i="4" s="1"/>
  <c r="I221" i="4" s="1"/>
  <c r="I222" i="4" s="1"/>
  <c r="I223" i="4" s="1"/>
  <c r="I224" i="4" s="1"/>
  <c r="I225" i="4" s="1"/>
  <c r="I226" i="4" s="1"/>
  <c r="I227" i="4" s="1"/>
  <c r="I228" i="4" s="1"/>
  <c r="I229" i="4" s="1"/>
  <c r="I230" i="4" s="1"/>
  <c r="I231" i="4" s="1"/>
  <c r="I232" i="4" s="1"/>
  <c r="I233" i="4" s="1"/>
  <c r="I234" i="4" s="1"/>
  <c r="I235" i="4" s="1"/>
  <c r="I236" i="4" s="1"/>
  <c r="I237" i="4" s="1"/>
  <c r="I238" i="4" s="1"/>
  <c r="I239" i="4" s="1"/>
  <c r="I240" i="4" s="1"/>
  <c r="I241" i="4" s="1"/>
  <c r="I242" i="4" s="1"/>
  <c r="I243" i="4" s="1"/>
  <c r="I244" i="4" s="1"/>
  <c r="I245" i="4" s="1"/>
  <c r="I246" i="4" s="1"/>
  <c r="I247" i="4" s="1"/>
  <c r="I248" i="4" s="1"/>
  <c r="I249" i="4" s="1"/>
  <c r="I250" i="4" s="1"/>
  <c r="I251" i="4" s="1"/>
  <c r="I252" i="4" s="1"/>
  <c r="I253" i="4" s="1"/>
  <c r="I254" i="4" s="1"/>
  <c r="I255" i="4" s="1"/>
  <c r="I256" i="4" s="1"/>
  <c r="I257" i="4" s="1"/>
  <c r="I258" i="4" s="1"/>
  <c r="I259" i="4" s="1"/>
  <c r="I260" i="4" s="1"/>
  <c r="I261" i="4" s="1"/>
  <c r="I262" i="4" s="1"/>
  <c r="I263" i="4" s="1"/>
  <c r="I264" i="4" s="1"/>
  <c r="I265" i="4" s="1"/>
  <c r="I266" i="4" s="1"/>
  <c r="I267" i="4" s="1"/>
  <c r="I268" i="4" s="1"/>
  <c r="I269" i="4" s="1"/>
  <c r="I270" i="4" s="1"/>
  <c r="I271" i="4" s="1"/>
  <c r="I272" i="4" s="1"/>
  <c r="I273" i="4" s="1"/>
  <c r="I274" i="4" s="1"/>
  <c r="I275" i="4" s="1"/>
  <c r="I276" i="4" s="1"/>
  <c r="I277" i="4" s="1"/>
  <c r="I278" i="4" s="1"/>
  <c r="I279" i="4" s="1"/>
  <c r="I280" i="4" s="1"/>
  <c r="I281" i="4" s="1"/>
  <c r="I282" i="4" s="1"/>
  <c r="I283" i="4" s="1"/>
  <c r="I284" i="4" s="1"/>
  <c r="I285" i="4" s="1"/>
  <c r="I286" i="4" s="1"/>
  <c r="I287" i="4" s="1"/>
  <c r="I288" i="4" s="1"/>
  <c r="I289" i="4" s="1"/>
  <c r="I290" i="4" s="1"/>
  <c r="I291" i="4" s="1"/>
  <c r="I292" i="4" s="1"/>
  <c r="I293" i="4" s="1"/>
  <c r="I294" i="4" s="1"/>
  <c r="I295" i="4" s="1"/>
  <c r="I296" i="4" s="1"/>
  <c r="I297" i="4" s="1"/>
  <c r="I298" i="4" s="1"/>
  <c r="I299" i="4" s="1"/>
  <c r="I300" i="4" s="1"/>
  <c r="I301" i="4" s="1"/>
  <c r="I302" i="4" s="1"/>
  <c r="I303" i="4" s="1"/>
  <c r="I304" i="4" s="1"/>
  <c r="I305" i="4" s="1"/>
  <c r="I306" i="4" s="1"/>
  <c r="I307" i="4" s="1"/>
  <c r="I308" i="4" s="1"/>
  <c r="I309" i="4" s="1"/>
  <c r="I310" i="4" s="1"/>
  <c r="I311" i="4" s="1"/>
  <c r="I312" i="4" s="1"/>
  <c r="I313" i="4" s="1"/>
  <c r="I314" i="4" s="1"/>
  <c r="I315" i="4" s="1"/>
  <c r="I316" i="4" s="1"/>
  <c r="I317" i="4" s="1"/>
  <c r="I318" i="4" s="1"/>
  <c r="I319" i="4" s="1"/>
  <c r="I320" i="4" s="1"/>
  <c r="I321" i="4" s="1"/>
  <c r="I322" i="4" s="1"/>
  <c r="I323" i="4" s="1"/>
  <c r="I324" i="4" s="1"/>
  <c r="I325" i="4" s="1"/>
  <c r="I326" i="4" s="1"/>
  <c r="I327" i="4" s="1"/>
  <c r="I328" i="4" s="1"/>
  <c r="I329" i="4" s="1"/>
  <c r="I330" i="4" s="1"/>
  <c r="I331" i="4" s="1"/>
  <c r="I332" i="4" s="1"/>
  <c r="I333" i="4" s="1"/>
  <c r="I334" i="4" s="1"/>
  <c r="I335" i="4" s="1"/>
  <c r="I336" i="4" s="1"/>
  <c r="I337" i="4" s="1"/>
  <c r="I338" i="4" s="1"/>
  <c r="I339" i="4" s="1"/>
  <c r="I340" i="4" s="1"/>
  <c r="I341" i="4" s="1"/>
  <c r="I342" i="4" s="1"/>
  <c r="I343" i="4" s="1"/>
  <c r="I344" i="4" s="1"/>
  <c r="I345" i="4" s="1"/>
  <c r="I346" i="4" s="1"/>
  <c r="I347" i="4" s="1"/>
  <c r="I348" i="4" s="1"/>
  <c r="I349" i="4" s="1"/>
  <c r="I350" i="4" s="1"/>
  <c r="I351" i="4" s="1"/>
  <c r="I352" i="4" s="1"/>
  <c r="I353" i="4" s="1"/>
  <c r="I354" i="4" s="1"/>
  <c r="I355" i="4" s="1"/>
  <c r="I356" i="4" s="1"/>
  <c r="I357" i="4" s="1"/>
  <c r="I358" i="4" s="1"/>
  <c r="I359" i="4" s="1"/>
  <c r="I360" i="4" s="1"/>
  <c r="I361" i="4" s="1"/>
  <c r="I362" i="4" s="1"/>
  <c r="I363" i="4" s="1"/>
  <c r="I364" i="4" s="1"/>
  <c r="I365" i="4" s="1"/>
  <c r="I366" i="4" s="1"/>
  <c r="I367" i="4" s="1"/>
  <c r="I368" i="4" s="1"/>
  <c r="I369" i="4" s="1"/>
  <c r="I370" i="4" s="1"/>
  <c r="I371" i="4" s="1"/>
  <c r="I372" i="4" s="1"/>
  <c r="I373" i="4" s="1"/>
  <c r="I374" i="4" s="1"/>
  <c r="I375" i="4" s="1"/>
  <c r="I376" i="4" s="1"/>
  <c r="I377" i="4" s="1"/>
  <c r="I378" i="4" s="1"/>
  <c r="I379" i="4" s="1"/>
  <c r="I380" i="4" s="1"/>
  <c r="I381" i="4" s="1"/>
  <c r="I382" i="4" s="1"/>
  <c r="I383" i="4" s="1"/>
  <c r="I384" i="4" s="1"/>
  <c r="I385" i="4" s="1"/>
  <c r="I386" i="4" s="1"/>
  <c r="I387" i="4" s="1"/>
  <c r="I388" i="4" s="1"/>
  <c r="I389" i="4" s="1"/>
  <c r="I390" i="4" s="1"/>
  <c r="I391" i="4" s="1"/>
  <c r="I392" i="4" s="1"/>
  <c r="I393" i="4" s="1"/>
  <c r="I394" i="4" s="1"/>
  <c r="I395" i="4" s="1"/>
  <c r="I396" i="4" s="1"/>
  <c r="I397" i="4" s="1"/>
  <c r="I398" i="4" s="1"/>
  <c r="I399" i="4" s="1"/>
  <c r="I400" i="4" s="1"/>
  <c r="I401" i="4" s="1"/>
  <c r="I402" i="4" s="1"/>
  <c r="I403" i="4" s="1"/>
  <c r="I404" i="4" s="1"/>
  <c r="I405" i="4" s="1"/>
  <c r="I406" i="4" s="1"/>
  <c r="I407" i="4" s="1"/>
  <c r="I408" i="4" s="1"/>
  <c r="I409" i="4" s="1"/>
  <c r="I410" i="4" s="1"/>
  <c r="I411" i="4" s="1"/>
  <c r="I412" i="4" s="1"/>
  <c r="I413" i="4" s="1"/>
  <c r="I414" i="4" s="1"/>
  <c r="I415" i="4" s="1"/>
  <c r="I416" i="4" s="1"/>
  <c r="I417" i="4" s="1"/>
  <c r="I418" i="4" s="1"/>
  <c r="I419" i="4" s="1"/>
  <c r="I420" i="4" s="1"/>
  <c r="I421" i="4" s="1"/>
  <c r="I422" i="4" s="1"/>
  <c r="I423" i="4" s="1"/>
  <c r="I424" i="4" s="1"/>
  <c r="I425" i="4" s="1"/>
  <c r="I426" i="4" s="1"/>
  <c r="I427" i="4" s="1"/>
  <c r="I428" i="4" s="1"/>
  <c r="I429" i="4" s="1"/>
  <c r="I430" i="4" s="1"/>
  <c r="I431" i="4" s="1"/>
  <c r="I432" i="4" s="1"/>
  <c r="I433" i="4" s="1"/>
  <c r="I434" i="4" s="1"/>
  <c r="I435" i="4" s="1"/>
  <c r="I436" i="4" s="1"/>
  <c r="I437" i="4" s="1"/>
  <c r="I438" i="4" s="1"/>
  <c r="I439" i="4" s="1"/>
  <c r="I440" i="4" s="1"/>
  <c r="I441" i="4" s="1"/>
  <c r="I442" i="4" s="1"/>
  <c r="I443" i="4" s="1"/>
  <c r="I444" i="4" s="1"/>
  <c r="I445" i="4" s="1"/>
  <c r="I446" i="4" s="1"/>
  <c r="I447" i="4" s="1"/>
  <c r="I448" i="4" s="1"/>
  <c r="I449" i="4" s="1"/>
  <c r="I450" i="4" s="1"/>
  <c r="I451" i="4" s="1"/>
  <c r="I452" i="4" s="1"/>
  <c r="I453" i="4" s="1"/>
  <c r="I454" i="4" s="1"/>
  <c r="I455" i="4" s="1"/>
  <c r="I456" i="4" s="1"/>
  <c r="I457" i="4" s="1"/>
  <c r="I458" i="4" s="1"/>
  <c r="I459" i="4" s="1"/>
  <c r="I460" i="4" s="1"/>
  <c r="I461" i="4" s="1"/>
  <c r="I462" i="4" s="1"/>
  <c r="I463" i="4" s="1"/>
  <c r="I464" i="4" s="1"/>
  <c r="I465" i="4" s="1"/>
  <c r="I466" i="4" s="1"/>
  <c r="I467" i="4" s="1"/>
  <c r="I468" i="4" s="1"/>
  <c r="I469" i="4" s="1"/>
  <c r="I470" i="4" s="1"/>
  <c r="I471" i="4" s="1"/>
  <c r="I472" i="4" s="1"/>
  <c r="I473" i="4" s="1"/>
  <c r="I474" i="4" s="1"/>
  <c r="I475" i="4" s="1"/>
  <c r="I476" i="4" s="1"/>
  <c r="I477" i="4" s="1"/>
  <c r="I478" i="4" s="1"/>
  <c r="I479" i="4" s="1"/>
  <c r="I480" i="4" s="1"/>
  <c r="I4" i="4"/>
  <c r="F5" i="4"/>
  <c r="F6" i="4"/>
  <c r="F7" i="4"/>
  <c r="F8" i="4"/>
  <c r="F9" i="4"/>
  <c r="F10" i="4"/>
  <c r="F11" i="4"/>
  <c r="F12" i="4"/>
  <c r="F13" i="4"/>
  <c r="F14" i="4"/>
  <c r="F15" i="4"/>
  <c r="F16" i="4"/>
  <c r="F17" i="4"/>
  <c r="F18" i="4"/>
  <c r="F19" i="4"/>
  <c r="F20" i="4"/>
  <c r="F21" i="4"/>
  <c r="F22" i="4"/>
  <c r="F23" i="4"/>
  <c r="F24" i="4"/>
  <c r="F25" i="4"/>
  <c r="F26" i="4"/>
  <c r="F27" i="4"/>
  <c r="F28" i="4"/>
  <c r="F29" i="4"/>
  <c r="F30" i="4"/>
  <c r="F31" i="4"/>
  <c r="F32" i="4"/>
  <c r="F33" i="4"/>
  <c r="F34" i="4"/>
  <c r="F35" i="4"/>
  <c r="F36" i="4"/>
  <c r="F37" i="4"/>
  <c r="F38" i="4"/>
  <c r="F39" i="4"/>
  <c r="F40" i="4"/>
  <c r="F41" i="4"/>
  <c r="F42" i="4"/>
  <c r="F43" i="4"/>
  <c r="F44" i="4"/>
  <c r="F45" i="4"/>
  <c r="F46" i="4"/>
  <c r="F47" i="4"/>
  <c r="F48" i="4"/>
  <c r="F49" i="4"/>
  <c r="F50" i="4"/>
  <c r="F51" i="4"/>
  <c r="F52" i="4"/>
  <c r="F53" i="4"/>
  <c r="F54" i="4"/>
  <c r="F55" i="4"/>
  <c r="F56" i="4"/>
  <c r="F57" i="4"/>
  <c r="F58" i="4"/>
  <c r="F59" i="4"/>
  <c r="F60" i="4"/>
  <c r="F61" i="4"/>
  <c r="F62" i="4"/>
  <c r="F63" i="4"/>
  <c r="F64" i="4"/>
  <c r="F65" i="4"/>
  <c r="F66" i="4"/>
  <c r="F67" i="4"/>
  <c r="F68" i="4"/>
  <c r="F69" i="4"/>
  <c r="F70" i="4"/>
  <c r="F71" i="4"/>
  <c r="F72" i="4"/>
  <c r="F73" i="4"/>
  <c r="F74" i="4"/>
  <c r="F75" i="4"/>
  <c r="F76" i="4"/>
  <c r="F77" i="4"/>
  <c r="F78" i="4"/>
  <c r="F79" i="4"/>
  <c r="F80" i="4"/>
  <c r="F81" i="4"/>
  <c r="F82" i="4"/>
  <c r="F83" i="4"/>
  <c r="F84" i="4"/>
  <c r="F85" i="4"/>
  <c r="F86" i="4"/>
  <c r="F87" i="4"/>
  <c r="F88" i="4"/>
  <c r="F89" i="4"/>
  <c r="F90" i="4"/>
  <c r="F91" i="4"/>
  <c r="F92" i="4"/>
  <c r="F93" i="4"/>
  <c r="F94" i="4"/>
  <c r="F95" i="4"/>
  <c r="F96" i="4"/>
  <c r="F97" i="4"/>
  <c r="F98" i="4"/>
  <c r="F99" i="4"/>
  <c r="F100" i="4"/>
  <c r="F101" i="4"/>
  <c r="F102" i="4"/>
  <c r="F103" i="4"/>
  <c r="F104" i="4"/>
  <c r="F105" i="4"/>
  <c r="F106" i="4"/>
  <c r="F107" i="4"/>
  <c r="F108" i="4"/>
  <c r="F109" i="4"/>
  <c r="F110" i="4"/>
  <c r="F111" i="4"/>
  <c r="F112" i="4"/>
  <c r="F113" i="4"/>
  <c r="F114" i="4"/>
  <c r="F115" i="4"/>
  <c r="F116" i="4"/>
  <c r="F117" i="4"/>
  <c r="F118" i="4"/>
  <c r="F119" i="4"/>
  <c r="F120" i="4"/>
  <c r="F121" i="4"/>
  <c r="F122" i="4"/>
  <c r="F123" i="4"/>
  <c r="F124" i="4"/>
  <c r="F125" i="4"/>
  <c r="F126" i="4"/>
  <c r="F127" i="4"/>
  <c r="F128" i="4"/>
  <c r="F129" i="4"/>
  <c r="F130" i="4"/>
  <c r="F131" i="4"/>
  <c r="F132" i="4"/>
  <c r="F133" i="4"/>
  <c r="F134" i="4"/>
  <c r="F135" i="4"/>
  <c r="F136" i="4"/>
  <c r="F137" i="4"/>
  <c r="F138" i="4"/>
  <c r="F139" i="4"/>
  <c r="F140" i="4"/>
  <c r="F141" i="4"/>
  <c r="F142" i="4"/>
  <c r="F143" i="4"/>
  <c r="F144" i="4"/>
  <c r="F145" i="4"/>
  <c r="F146" i="4"/>
  <c r="F147" i="4"/>
  <c r="F148" i="4"/>
  <c r="F149" i="4"/>
  <c r="F150" i="4"/>
  <c r="F151" i="4"/>
  <c r="F152" i="4"/>
  <c r="F153" i="4"/>
  <c r="F154" i="4"/>
  <c r="F155" i="4"/>
  <c r="F156" i="4"/>
  <c r="F157" i="4"/>
  <c r="F158" i="4"/>
  <c r="F159" i="4"/>
  <c r="F160" i="4"/>
  <c r="F161" i="4"/>
  <c r="F162" i="4"/>
  <c r="F163" i="4"/>
  <c r="F164" i="4"/>
  <c r="F165" i="4"/>
  <c r="F166" i="4"/>
  <c r="F167" i="4"/>
  <c r="F168" i="4"/>
  <c r="F169" i="4"/>
  <c r="F170" i="4"/>
  <c r="F171" i="4"/>
  <c r="F172" i="4"/>
  <c r="F173" i="4"/>
  <c r="F174" i="4"/>
  <c r="F175" i="4"/>
  <c r="F176" i="4"/>
  <c r="F177" i="4"/>
  <c r="F178" i="4"/>
  <c r="F179" i="4"/>
  <c r="F180" i="4"/>
  <c r="F181" i="4"/>
  <c r="F182" i="4"/>
  <c r="F183" i="4"/>
  <c r="F184" i="4"/>
  <c r="F185" i="4"/>
  <c r="F186" i="4"/>
  <c r="F187" i="4"/>
  <c r="F188" i="4"/>
  <c r="F189" i="4"/>
  <c r="F190" i="4"/>
  <c r="F191" i="4"/>
  <c r="F192" i="4"/>
  <c r="F193" i="4"/>
  <c r="F194" i="4"/>
  <c r="F195" i="4"/>
  <c r="F196" i="4"/>
  <c r="F197" i="4"/>
  <c r="F198" i="4"/>
  <c r="F199" i="4"/>
  <c r="F200" i="4"/>
  <c r="F201" i="4"/>
  <c r="F202" i="4"/>
  <c r="F203" i="4"/>
  <c r="F204" i="4"/>
  <c r="F205" i="4"/>
  <c r="F206" i="4"/>
  <c r="F207" i="4"/>
  <c r="F208" i="4"/>
  <c r="F209" i="4"/>
  <c r="F210" i="4"/>
  <c r="F211" i="4"/>
  <c r="F212" i="4"/>
  <c r="F213" i="4"/>
  <c r="F214" i="4"/>
  <c r="F215" i="4"/>
  <c r="F216" i="4"/>
  <c r="F217" i="4"/>
  <c r="F218" i="4"/>
  <c r="F219" i="4"/>
  <c r="F220" i="4"/>
  <c r="F221" i="4"/>
  <c r="F222" i="4"/>
  <c r="F223" i="4"/>
  <c r="F224" i="4"/>
  <c r="F225" i="4"/>
  <c r="F226" i="4"/>
  <c r="F227" i="4"/>
  <c r="F228" i="4"/>
  <c r="F229" i="4"/>
  <c r="F230" i="4"/>
  <c r="F231" i="4"/>
  <c r="F232" i="4"/>
  <c r="F233" i="4"/>
  <c r="F234" i="4"/>
  <c r="F235" i="4"/>
  <c r="F236" i="4"/>
  <c r="F237" i="4"/>
  <c r="F238" i="4"/>
  <c r="F239" i="4"/>
  <c r="F240" i="4"/>
  <c r="F241" i="4"/>
  <c r="F242" i="4"/>
  <c r="F243" i="4"/>
  <c r="F244" i="4"/>
  <c r="F245" i="4"/>
  <c r="F246" i="4"/>
  <c r="F247" i="4"/>
  <c r="F248" i="4"/>
  <c r="F249" i="4"/>
  <c r="F250" i="4"/>
  <c r="F251" i="4"/>
  <c r="F252" i="4"/>
  <c r="F253" i="4"/>
  <c r="F254" i="4"/>
  <c r="F255" i="4"/>
  <c r="F256" i="4"/>
  <c r="F257" i="4"/>
  <c r="F258" i="4"/>
  <c r="F259" i="4"/>
  <c r="F260" i="4"/>
  <c r="F261" i="4"/>
  <c r="F262" i="4"/>
  <c r="F263" i="4"/>
  <c r="F264" i="4"/>
  <c r="F265" i="4"/>
  <c r="F266" i="4"/>
  <c r="F267" i="4"/>
  <c r="F268" i="4"/>
  <c r="F269" i="4"/>
  <c r="F270" i="4"/>
  <c r="F271" i="4"/>
  <c r="F272" i="4"/>
  <c r="F273" i="4"/>
  <c r="F274" i="4"/>
  <c r="F275" i="4"/>
  <c r="F276" i="4"/>
  <c r="F277" i="4"/>
  <c r="F278" i="4"/>
  <c r="F279" i="4"/>
  <c r="F280" i="4"/>
  <c r="F281" i="4"/>
  <c r="F282" i="4"/>
  <c r="F283" i="4"/>
  <c r="F284" i="4"/>
  <c r="F285" i="4"/>
  <c r="F286" i="4"/>
  <c r="F287" i="4"/>
  <c r="F288" i="4"/>
  <c r="F289" i="4"/>
  <c r="F290" i="4"/>
  <c r="F291" i="4"/>
  <c r="F292" i="4"/>
  <c r="F293" i="4"/>
  <c r="F294" i="4"/>
  <c r="F295" i="4"/>
  <c r="F296" i="4"/>
  <c r="F297" i="4"/>
  <c r="F298" i="4"/>
  <c r="F299" i="4"/>
  <c r="F300" i="4"/>
  <c r="F301" i="4"/>
  <c r="F302" i="4"/>
  <c r="F303" i="4"/>
  <c r="F304" i="4"/>
  <c r="F305" i="4"/>
  <c r="F306" i="4"/>
  <c r="F307" i="4"/>
  <c r="F308" i="4"/>
  <c r="F309" i="4"/>
  <c r="F310" i="4"/>
  <c r="F311" i="4"/>
  <c r="F312" i="4"/>
  <c r="F313" i="4"/>
  <c r="F314" i="4"/>
  <c r="F315" i="4"/>
  <c r="F316" i="4"/>
  <c r="F317" i="4"/>
  <c r="F318" i="4"/>
  <c r="F319" i="4"/>
  <c r="F320" i="4"/>
  <c r="F321" i="4"/>
  <c r="F322" i="4"/>
  <c r="F323" i="4"/>
  <c r="F324" i="4"/>
  <c r="F325" i="4"/>
  <c r="F326" i="4"/>
  <c r="F327" i="4"/>
  <c r="F328" i="4"/>
  <c r="F329" i="4"/>
  <c r="F330" i="4"/>
  <c r="F331" i="4"/>
  <c r="F332" i="4"/>
  <c r="F333" i="4"/>
  <c r="F334" i="4"/>
  <c r="F335" i="4"/>
  <c r="F336" i="4"/>
  <c r="F337" i="4"/>
  <c r="F338" i="4"/>
  <c r="F339" i="4"/>
  <c r="F340" i="4"/>
  <c r="F341" i="4"/>
  <c r="F342" i="4"/>
  <c r="F343" i="4"/>
  <c r="F344" i="4"/>
  <c r="F345" i="4"/>
  <c r="F346" i="4"/>
  <c r="F347" i="4"/>
  <c r="F348" i="4"/>
  <c r="F349" i="4"/>
  <c r="F350" i="4"/>
  <c r="F351" i="4"/>
  <c r="F352" i="4"/>
  <c r="F353" i="4"/>
  <c r="F354" i="4"/>
  <c r="F355" i="4"/>
  <c r="F356" i="4"/>
  <c r="F357" i="4"/>
  <c r="F358" i="4"/>
  <c r="F359" i="4"/>
  <c r="F360" i="4"/>
  <c r="F361" i="4"/>
  <c r="F362" i="4"/>
  <c r="F363" i="4"/>
  <c r="F364" i="4"/>
  <c r="F365" i="4"/>
  <c r="F366" i="4"/>
  <c r="F367" i="4"/>
  <c r="F368" i="4"/>
  <c r="F369" i="4"/>
  <c r="F370" i="4"/>
  <c r="F371" i="4"/>
  <c r="F372" i="4"/>
  <c r="F373" i="4"/>
  <c r="F374" i="4"/>
  <c r="F375" i="4"/>
  <c r="F376" i="4"/>
  <c r="F377" i="4"/>
  <c r="F378" i="4"/>
  <c r="F379" i="4"/>
  <c r="F380" i="4"/>
  <c r="F381" i="4"/>
  <c r="F382" i="4"/>
  <c r="F383" i="4"/>
  <c r="F384" i="4"/>
  <c r="F385" i="4"/>
  <c r="F386" i="4"/>
  <c r="F387" i="4"/>
  <c r="F388" i="4"/>
  <c r="F389" i="4"/>
  <c r="F390" i="4"/>
  <c r="F391" i="4"/>
  <c r="F392" i="4"/>
  <c r="F393" i="4"/>
  <c r="F394" i="4"/>
  <c r="F395" i="4"/>
  <c r="F396" i="4"/>
  <c r="F397" i="4"/>
  <c r="F398" i="4"/>
  <c r="F399" i="4"/>
  <c r="F400" i="4"/>
  <c r="F401" i="4"/>
  <c r="F402" i="4"/>
  <c r="F403" i="4"/>
  <c r="F404" i="4"/>
  <c r="F405" i="4"/>
  <c r="F406" i="4"/>
  <c r="F407" i="4"/>
  <c r="F408" i="4"/>
  <c r="F409" i="4"/>
  <c r="F410" i="4"/>
  <c r="F411" i="4"/>
  <c r="F412" i="4"/>
  <c r="F413" i="4"/>
  <c r="F414" i="4"/>
  <c r="F415" i="4"/>
  <c r="F416" i="4"/>
  <c r="F417" i="4"/>
  <c r="F418" i="4"/>
  <c r="F419" i="4"/>
  <c r="F420" i="4"/>
  <c r="F421" i="4"/>
  <c r="F422" i="4"/>
  <c r="F423" i="4"/>
  <c r="F424" i="4"/>
  <c r="F425" i="4"/>
  <c r="F426" i="4"/>
  <c r="F427" i="4"/>
  <c r="F428" i="4"/>
  <c r="F429" i="4"/>
  <c r="F430" i="4"/>
  <c r="F431" i="4"/>
  <c r="F432" i="4"/>
  <c r="F433" i="4"/>
  <c r="F434" i="4"/>
  <c r="F435" i="4"/>
  <c r="F436" i="4"/>
  <c r="F437" i="4"/>
  <c r="F438" i="4"/>
  <c r="F439" i="4"/>
  <c r="F440" i="4"/>
  <c r="F441" i="4"/>
  <c r="F442" i="4"/>
  <c r="F443" i="4"/>
  <c r="F444" i="4"/>
  <c r="F445" i="4"/>
  <c r="F446" i="4"/>
  <c r="F447" i="4"/>
  <c r="F448" i="4"/>
  <c r="F449" i="4"/>
  <c r="F450" i="4"/>
  <c r="F451" i="4"/>
  <c r="F452" i="4"/>
  <c r="F453" i="4"/>
  <c r="F454" i="4"/>
  <c r="F455" i="4"/>
  <c r="F456" i="4"/>
  <c r="F457" i="4"/>
  <c r="F458" i="4"/>
  <c r="F459" i="4"/>
  <c r="F460" i="4"/>
  <c r="F461" i="4"/>
  <c r="F462" i="4"/>
  <c r="F463" i="4"/>
  <c r="F464" i="4"/>
  <c r="F465" i="4"/>
  <c r="F466" i="4"/>
  <c r="F467" i="4"/>
  <c r="F468" i="4"/>
  <c r="F469" i="4"/>
  <c r="F470" i="4"/>
  <c r="F471" i="4"/>
  <c r="F472" i="4"/>
  <c r="F473" i="4"/>
  <c r="F474" i="4"/>
  <c r="F475" i="4"/>
  <c r="F476" i="4"/>
  <c r="F477" i="4"/>
  <c r="F478" i="4"/>
  <c r="F479" i="4"/>
  <c r="F480" i="4"/>
  <c r="F4" i="4"/>
  <c r="G480" i="4"/>
  <c r="G479" i="4"/>
  <c r="G478" i="4"/>
  <c r="G477" i="4"/>
  <c r="G476" i="4"/>
  <c r="G475" i="4"/>
  <c r="G474" i="4"/>
  <c r="G473" i="4"/>
  <c r="G472" i="4"/>
  <c r="G471" i="4"/>
  <c r="G470" i="4"/>
  <c r="G469" i="4"/>
  <c r="G468" i="4"/>
  <c r="G467" i="4"/>
  <c r="G466" i="4"/>
  <c r="G465" i="4"/>
  <c r="G464" i="4"/>
  <c r="G463" i="4"/>
  <c r="G462" i="4"/>
  <c r="G461" i="4"/>
  <c r="G460" i="4"/>
  <c r="G459" i="4"/>
  <c r="G458" i="4"/>
  <c r="G457" i="4"/>
  <c r="G456" i="4"/>
  <c r="G455" i="4"/>
  <c r="G454" i="4"/>
  <c r="G453" i="4"/>
  <c r="G452" i="4"/>
  <c r="G451" i="4"/>
  <c r="G450" i="4"/>
  <c r="G449" i="4"/>
  <c r="G448" i="4"/>
  <c r="G447" i="4"/>
  <c r="G446" i="4"/>
  <c r="G445" i="4"/>
  <c r="G444" i="4"/>
  <c r="G443" i="4"/>
  <c r="G442" i="4"/>
  <c r="G441" i="4"/>
  <c r="G440" i="4"/>
  <c r="G439" i="4"/>
  <c r="G438" i="4"/>
  <c r="G437" i="4"/>
  <c r="G436" i="4"/>
  <c r="G435" i="4"/>
  <c r="G434" i="4"/>
  <c r="G433" i="4"/>
  <c r="G432" i="4"/>
  <c r="G431" i="4"/>
  <c r="G430" i="4"/>
  <c r="G429" i="4"/>
  <c r="G428" i="4"/>
  <c r="G427" i="4"/>
  <c r="G426" i="4"/>
  <c r="G425" i="4"/>
  <c r="G424" i="4"/>
  <c r="G423" i="4"/>
  <c r="G422" i="4"/>
  <c r="G421" i="4"/>
  <c r="G420" i="4"/>
  <c r="G419" i="4"/>
  <c r="G418" i="4"/>
  <c r="G417" i="4"/>
  <c r="G416" i="4"/>
  <c r="G415" i="4"/>
  <c r="G414" i="4"/>
  <c r="G413" i="4"/>
  <c r="G412" i="4"/>
  <c r="G411" i="4"/>
  <c r="G410" i="4"/>
  <c r="G409" i="4"/>
  <c r="G408" i="4"/>
  <c r="G407" i="4"/>
  <c r="G406" i="4"/>
  <c r="G405" i="4"/>
  <c r="G404" i="4"/>
  <c r="G403" i="4"/>
  <c r="G402" i="4"/>
  <c r="G401" i="4"/>
  <c r="G400" i="4"/>
  <c r="G399" i="4"/>
  <c r="G398" i="4"/>
  <c r="G397" i="4"/>
  <c r="G396" i="4"/>
  <c r="G395" i="4"/>
  <c r="G394" i="4"/>
  <c r="G393" i="4"/>
  <c r="G392" i="4"/>
  <c r="G391" i="4"/>
  <c r="G390" i="4"/>
  <c r="G389" i="4"/>
  <c r="G388" i="4"/>
  <c r="G387" i="4"/>
  <c r="G386" i="4"/>
  <c r="G385" i="4"/>
  <c r="G384" i="4"/>
  <c r="G383" i="4"/>
  <c r="G382" i="4"/>
  <c r="G381" i="4"/>
  <c r="G380" i="4"/>
  <c r="G379" i="4"/>
  <c r="G378" i="4"/>
  <c r="G377" i="4"/>
  <c r="G376" i="4"/>
  <c r="G375" i="4"/>
  <c r="G374" i="4"/>
  <c r="G373" i="4"/>
  <c r="G372" i="4"/>
  <c r="G371" i="4"/>
  <c r="G370" i="4"/>
  <c r="G369" i="4"/>
  <c r="G368" i="4"/>
  <c r="G367" i="4"/>
  <c r="G366" i="4"/>
  <c r="G365" i="4"/>
  <c r="G364" i="4"/>
  <c r="G363" i="4"/>
  <c r="G362" i="4"/>
  <c r="G361" i="4"/>
  <c r="G360" i="4"/>
  <c r="G359" i="4"/>
  <c r="G358" i="4"/>
  <c r="G357" i="4"/>
  <c r="G356" i="4"/>
  <c r="G355" i="4"/>
  <c r="G354" i="4"/>
  <c r="G353" i="4"/>
  <c r="G352" i="4"/>
  <c r="G351" i="4"/>
  <c r="G350" i="4"/>
  <c r="G349" i="4"/>
  <c r="G348" i="4"/>
  <c r="G347" i="4"/>
  <c r="G346" i="4"/>
  <c r="G345" i="4"/>
  <c r="G344" i="4"/>
  <c r="G343" i="4"/>
  <c r="G342" i="4"/>
  <c r="G341" i="4"/>
  <c r="G340" i="4"/>
  <c r="G339" i="4"/>
  <c r="G338" i="4"/>
  <c r="G337" i="4"/>
  <c r="G336" i="4"/>
  <c r="G335" i="4"/>
  <c r="G334" i="4"/>
  <c r="G333" i="4"/>
  <c r="G332" i="4"/>
  <c r="G331" i="4"/>
  <c r="G330" i="4"/>
  <c r="G329" i="4"/>
  <c r="G328" i="4"/>
  <c r="G327" i="4"/>
  <c r="G326" i="4"/>
  <c r="G325" i="4"/>
  <c r="G324" i="4"/>
  <c r="G323" i="4"/>
  <c r="G322" i="4"/>
  <c r="G321" i="4"/>
  <c r="G320" i="4"/>
  <c r="G319" i="4"/>
  <c r="G318" i="4"/>
  <c r="G317" i="4"/>
  <c r="G316" i="4"/>
  <c r="G315" i="4"/>
  <c r="G314" i="4"/>
  <c r="G313" i="4"/>
  <c r="G312" i="4"/>
  <c r="G311" i="4"/>
  <c r="G310" i="4"/>
  <c r="G309" i="4"/>
  <c r="G308" i="4"/>
  <c r="G307" i="4"/>
  <c r="G306" i="4"/>
  <c r="G305" i="4"/>
  <c r="G304" i="4"/>
  <c r="G303" i="4"/>
  <c r="G302" i="4"/>
  <c r="G301" i="4"/>
  <c r="G300" i="4"/>
  <c r="G299" i="4"/>
  <c r="G298" i="4"/>
  <c r="G297" i="4"/>
  <c r="G296" i="4"/>
  <c r="G295" i="4"/>
  <c r="G294" i="4"/>
  <c r="G293" i="4"/>
  <c r="G292" i="4"/>
  <c r="G291" i="4"/>
  <c r="G290" i="4"/>
  <c r="G289" i="4"/>
  <c r="G288" i="4"/>
  <c r="G287" i="4"/>
  <c r="G286" i="4"/>
  <c r="G285" i="4"/>
  <c r="G284" i="4"/>
  <c r="G283" i="4"/>
  <c r="G282" i="4"/>
  <c r="G281" i="4"/>
  <c r="G280" i="4"/>
  <c r="G279" i="4"/>
  <c r="G278" i="4"/>
  <c r="G277" i="4"/>
  <c r="G276" i="4"/>
  <c r="G275" i="4"/>
  <c r="G274" i="4"/>
  <c r="G273" i="4"/>
  <c r="G272" i="4"/>
  <c r="G271" i="4"/>
  <c r="G270" i="4"/>
  <c r="G269" i="4"/>
  <c r="G268" i="4"/>
  <c r="G267" i="4"/>
  <c r="G266" i="4"/>
  <c r="G265" i="4"/>
  <c r="G264" i="4"/>
  <c r="G263" i="4"/>
  <c r="G262" i="4"/>
  <c r="G261" i="4"/>
  <c r="G260" i="4"/>
  <c r="G259" i="4"/>
  <c r="G258" i="4"/>
  <c r="G257" i="4"/>
  <c r="G256" i="4"/>
  <c r="G255" i="4"/>
  <c r="G254" i="4"/>
  <c r="G253" i="4"/>
  <c r="G252" i="4"/>
  <c r="G251" i="4"/>
  <c r="G250" i="4"/>
  <c r="G249" i="4"/>
  <c r="G248" i="4"/>
  <c r="G247" i="4"/>
  <c r="G246" i="4"/>
  <c r="G245" i="4"/>
  <c r="G244" i="4"/>
  <c r="G243" i="4"/>
  <c r="G242" i="4"/>
  <c r="G241" i="4"/>
  <c r="G240" i="4"/>
  <c r="G239" i="4"/>
  <c r="G238" i="4"/>
  <c r="G237" i="4"/>
  <c r="G236" i="4"/>
  <c r="G235" i="4"/>
  <c r="G234" i="4"/>
  <c r="G233" i="4"/>
  <c r="G232" i="4"/>
  <c r="G231" i="4"/>
  <c r="G230" i="4"/>
  <c r="G229" i="4"/>
  <c r="G228" i="4"/>
  <c r="G227" i="4"/>
  <c r="G226" i="4"/>
  <c r="G225" i="4"/>
  <c r="G224" i="4"/>
  <c r="G223" i="4"/>
  <c r="G222" i="4"/>
  <c r="G221" i="4"/>
  <c r="G220" i="4"/>
  <c r="G219" i="4"/>
  <c r="G218" i="4"/>
  <c r="G217" i="4"/>
  <c r="G216" i="4"/>
  <c r="G215" i="4"/>
  <c r="G214" i="4"/>
  <c r="G213" i="4"/>
  <c r="G212" i="4"/>
  <c r="G211" i="4"/>
  <c r="G210" i="4"/>
  <c r="G209" i="4"/>
  <c r="G208" i="4"/>
  <c r="G207" i="4"/>
  <c r="G206" i="4"/>
  <c r="G205" i="4"/>
  <c r="G204" i="4"/>
  <c r="G203" i="4"/>
  <c r="G202" i="4"/>
  <c r="G201" i="4"/>
  <c r="G200" i="4"/>
  <c r="G199" i="4"/>
  <c r="G198" i="4"/>
  <c r="G197" i="4"/>
  <c r="G196" i="4"/>
  <c r="G195" i="4"/>
  <c r="G194" i="4"/>
  <c r="G193" i="4"/>
  <c r="G192" i="4"/>
  <c r="G191" i="4"/>
  <c r="G190" i="4"/>
  <c r="G189" i="4"/>
  <c r="G188" i="4"/>
  <c r="G187" i="4"/>
  <c r="G186" i="4"/>
  <c r="G185" i="4"/>
  <c r="G184" i="4"/>
  <c r="G183" i="4"/>
  <c r="G182" i="4"/>
  <c r="G181" i="4"/>
  <c r="G180" i="4"/>
  <c r="G179" i="4"/>
  <c r="G178" i="4"/>
  <c r="G177" i="4"/>
  <c r="G176" i="4"/>
  <c r="G175" i="4"/>
  <c r="G174" i="4"/>
  <c r="G173" i="4"/>
  <c r="G172" i="4"/>
  <c r="G171" i="4"/>
  <c r="G170" i="4"/>
  <c r="G169" i="4"/>
  <c r="G168" i="4"/>
  <c r="G167" i="4"/>
  <c r="G166" i="4"/>
  <c r="G165" i="4"/>
  <c r="G164" i="4"/>
  <c r="G163" i="4"/>
  <c r="G162" i="4"/>
  <c r="G161" i="4"/>
  <c r="G160" i="4"/>
  <c r="G159" i="4"/>
  <c r="G158" i="4"/>
  <c r="G157" i="4"/>
  <c r="G156" i="4"/>
  <c r="G155" i="4"/>
  <c r="G154" i="4"/>
  <c r="G153" i="4"/>
  <c r="G152" i="4"/>
  <c r="G151" i="4"/>
  <c r="G150" i="4"/>
  <c r="G149" i="4"/>
  <c r="G148" i="4"/>
  <c r="G147" i="4"/>
  <c r="G146" i="4"/>
  <c r="G145" i="4"/>
  <c r="G144" i="4"/>
  <c r="G143" i="4"/>
  <c r="G142" i="4"/>
  <c r="G141" i="4"/>
  <c r="G140" i="4"/>
  <c r="G139" i="4"/>
  <c r="G138" i="4"/>
  <c r="G137" i="4"/>
  <c r="G136" i="4"/>
  <c r="G135" i="4"/>
  <c r="G134" i="4"/>
  <c r="G133" i="4"/>
  <c r="G132" i="4"/>
  <c r="G131" i="4"/>
  <c r="G130" i="4"/>
  <c r="G129" i="4"/>
  <c r="G128" i="4"/>
  <c r="G127" i="4"/>
  <c r="G126" i="4"/>
  <c r="G125" i="4"/>
  <c r="G124" i="4"/>
  <c r="G123" i="4"/>
  <c r="G122" i="4"/>
  <c r="G121" i="4"/>
  <c r="G120" i="4"/>
  <c r="G119" i="4"/>
  <c r="G118" i="4"/>
  <c r="G117" i="4"/>
  <c r="G116" i="4"/>
  <c r="G115" i="4"/>
  <c r="G114" i="4"/>
  <c r="G113" i="4"/>
  <c r="G112" i="4"/>
  <c r="G111" i="4"/>
  <c r="G110" i="4"/>
  <c r="G109" i="4"/>
  <c r="G108" i="4"/>
  <c r="G107" i="4"/>
  <c r="G106" i="4"/>
  <c r="G105" i="4"/>
  <c r="G104" i="4"/>
  <c r="G103" i="4"/>
  <c r="G102" i="4"/>
  <c r="G101" i="4"/>
  <c r="G100" i="4"/>
  <c r="G99" i="4"/>
  <c r="G98" i="4"/>
  <c r="G97" i="4"/>
  <c r="G96" i="4"/>
  <c r="G95" i="4"/>
  <c r="G94" i="4"/>
  <c r="G93" i="4"/>
  <c r="G92" i="4"/>
  <c r="G91" i="4"/>
  <c r="G90" i="4"/>
  <c r="G89" i="4"/>
  <c r="G88" i="4"/>
  <c r="G87" i="4"/>
  <c r="G86" i="4"/>
  <c r="G85" i="4"/>
  <c r="G84" i="4"/>
  <c r="G83" i="4"/>
  <c r="G82" i="4"/>
  <c r="G81" i="4"/>
  <c r="G80" i="4"/>
  <c r="G79" i="4"/>
  <c r="G78" i="4"/>
  <c r="G77" i="4"/>
  <c r="G76" i="4"/>
  <c r="G75" i="4"/>
  <c r="G74" i="4"/>
  <c r="G73" i="4"/>
  <c r="G72" i="4"/>
  <c r="G71" i="4"/>
  <c r="G70" i="4"/>
  <c r="G69" i="4"/>
  <c r="G68" i="4"/>
  <c r="G67" i="4"/>
  <c r="G66" i="4"/>
  <c r="G65" i="4"/>
  <c r="G64" i="4"/>
  <c r="G63" i="4"/>
  <c r="G62" i="4"/>
  <c r="G61" i="4"/>
  <c r="G60" i="4"/>
  <c r="G59" i="4"/>
  <c r="G58" i="4"/>
  <c r="G57" i="4"/>
  <c r="G56" i="4"/>
  <c r="G55" i="4"/>
  <c r="G54" i="4"/>
  <c r="G53" i="4"/>
  <c r="G52" i="4"/>
  <c r="G51" i="4"/>
  <c r="G50" i="4"/>
  <c r="G49" i="4"/>
  <c r="G48" i="4"/>
  <c r="G47" i="4"/>
  <c r="G46" i="4"/>
  <c r="G45" i="4"/>
  <c r="G44" i="4"/>
  <c r="G43" i="4"/>
  <c r="G42" i="4"/>
  <c r="G41" i="4"/>
  <c r="G40" i="4"/>
  <c r="G39" i="4"/>
  <c r="G38" i="4"/>
  <c r="G37" i="4"/>
  <c r="G36" i="4"/>
  <c r="G35" i="4"/>
  <c r="G34" i="4"/>
  <c r="G33" i="4"/>
  <c r="G32" i="4"/>
  <c r="G31" i="4"/>
  <c r="G30" i="4"/>
  <c r="G29" i="4"/>
  <c r="G28" i="4"/>
  <c r="G27" i="4"/>
  <c r="G26" i="4"/>
  <c r="G25" i="4"/>
  <c r="G24" i="4"/>
  <c r="G23" i="4"/>
  <c r="G22" i="4"/>
  <c r="G21" i="4"/>
  <c r="G20" i="4"/>
  <c r="G19" i="4"/>
  <c r="G18" i="4"/>
  <c r="G17" i="4"/>
  <c r="G16" i="4"/>
  <c r="G15" i="4"/>
  <c r="G14" i="4"/>
  <c r="G13" i="4"/>
  <c r="G12" i="4"/>
  <c r="G11" i="4"/>
  <c r="G10" i="4"/>
  <c r="G9" i="4"/>
  <c r="G8" i="4"/>
  <c r="G7" i="4"/>
  <c r="G6" i="4"/>
  <c r="G5" i="4"/>
  <c r="D5" i="4"/>
  <c r="G4" i="4"/>
  <c r="A5" i="4"/>
  <c r="A6" i="4" s="1"/>
  <c r="A7" i="4" s="1"/>
  <c r="A8" i="4" s="1"/>
  <c r="A9" i="4" s="1"/>
  <c r="A10" i="4" s="1"/>
  <c r="A11" i="4" s="1"/>
  <c r="A12" i="4" s="1"/>
  <c r="A13" i="4" s="1"/>
  <c r="A14" i="4" s="1"/>
  <c r="A15" i="4" s="1"/>
  <c r="A16" i="4" s="1"/>
  <c r="A17" i="4" s="1"/>
  <c r="A18" i="4" s="1"/>
  <c r="A19" i="4" s="1"/>
  <c r="A20" i="4" s="1"/>
  <c r="A21" i="4" s="1"/>
  <c r="A22" i="4" s="1"/>
  <c r="A23" i="4" s="1"/>
  <c r="A24" i="4" s="1"/>
  <c r="A25" i="4" s="1"/>
  <c r="A26" i="4" s="1"/>
  <c r="A27" i="4" s="1"/>
  <c r="A28" i="4" s="1"/>
  <c r="A29" i="4" s="1"/>
  <c r="A30" i="4" s="1"/>
  <c r="A31" i="4" s="1"/>
  <c r="A32" i="4" s="1"/>
  <c r="A33" i="4" s="1"/>
  <c r="A34" i="4" s="1"/>
  <c r="A35" i="4" s="1"/>
  <c r="A36" i="4" s="1"/>
  <c r="A37" i="4" s="1"/>
  <c r="A38" i="4" s="1"/>
  <c r="A39" i="4" s="1"/>
  <c r="A40" i="4" s="1"/>
  <c r="A41" i="4" s="1"/>
  <c r="A42" i="4" s="1"/>
  <c r="A43" i="4" s="1"/>
  <c r="A44" i="4" s="1"/>
  <c r="A45" i="4" s="1"/>
  <c r="A46" i="4" s="1"/>
  <c r="A47" i="4" s="1"/>
  <c r="A48" i="4" s="1"/>
  <c r="A49" i="4" s="1"/>
  <c r="A50" i="4" s="1"/>
  <c r="A51" i="4" s="1"/>
  <c r="A52" i="4" s="1"/>
  <c r="A53" i="4" s="1"/>
  <c r="A54" i="4" s="1"/>
  <c r="A55" i="4" s="1"/>
  <c r="A56" i="4" s="1"/>
  <c r="A57" i="4" s="1"/>
  <c r="A58" i="4" s="1"/>
  <c r="A59" i="4" s="1"/>
  <c r="A60" i="4" s="1"/>
  <c r="A61" i="4" s="1"/>
  <c r="A62" i="4" s="1"/>
  <c r="A63" i="4" s="1"/>
  <c r="A64" i="4" s="1"/>
  <c r="A65" i="4" s="1"/>
  <c r="A66" i="4" s="1"/>
  <c r="A67" i="4" s="1"/>
  <c r="A68" i="4" s="1"/>
  <c r="A69" i="4" s="1"/>
  <c r="A70" i="4" s="1"/>
  <c r="A71" i="4" s="1"/>
  <c r="A72" i="4" s="1"/>
  <c r="A73" i="4" s="1"/>
  <c r="A74" i="4" s="1"/>
  <c r="A75" i="4" s="1"/>
  <c r="A76" i="4" s="1"/>
  <c r="A77" i="4" s="1"/>
  <c r="A78" i="4" s="1"/>
  <c r="A79" i="4" s="1"/>
  <c r="A80" i="4" s="1"/>
  <c r="A81" i="4" s="1"/>
  <c r="A82" i="4" s="1"/>
  <c r="A83" i="4" s="1"/>
  <c r="A84" i="4" s="1"/>
  <c r="A85" i="4" s="1"/>
  <c r="A86" i="4" s="1"/>
  <c r="A87" i="4" s="1"/>
  <c r="A88" i="4" s="1"/>
  <c r="A89" i="4" s="1"/>
  <c r="A90" i="4" s="1"/>
  <c r="A91" i="4" s="1"/>
  <c r="A92" i="4" s="1"/>
  <c r="A93" i="4" s="1"/>
  <c r="A94" i="4" s="1"/>
  <c r="A95" i="4" s="1"/>
  <c r="A96" i="4" s="1"/>
  <c r="A97" i="4" s="1"/>
  <c r="A98" i="4" s="1"/>
  <c r="A99" i="4" s="1"/>
  <c r="A100" i="4" s="1"/>
  <c r="A101" i="4" s="1"/>
  <c r="A102" i="4" s="1"/>
  <c r="A103" i="4" s="1"/>
  <c r="A104" i="4" s="1"/>
  <c r="A105" i="4" s="1"/>
  <c r="A106" i="4" s="1"/>
  <c r="A107" i="4" s="1"/>
  <c r="A108" i="4" s="1"/>
  <c r="A109" i="4" s="1"/>
  <c r="A110" i="4" s="1"/>
  <c r="A111" i="4" s="1"/>
  <c r="A112" i="4" s="1"/>
  <c r="A113" i="4" s="1"/>
  <c r="A114" i="4" s="1"/>
  <c r="A115" i="4" s="1"/>
  <c r="A116" i="4" s="1"/>
  <c r="A117" i="4" s="1"/>
  <c r="A118" i="4" s="1"/>
  <c r="A119" i="4" s="1"/>
  <c r="A120" i="4" s="1"/>
  <c r="A121" i="4" s="1"/>
  <c r="A122" i="4" s="1"/>
  <c r="A123" i="4" s="1"/>
  <c r="A124" i="4" s="1"/>
  <c r="A125" i="4" s="1"/>
  <c r="A126" i="4" s="1"/>
  <c r="A127" i="4" s="1"/>
  <c r="A128" i="4" s="1"/>
  <c r="A129" i="4" s="1"/>
  <c r="A130" i="4" s="1"/>
  <c r="A131" i="4" s="1"/>
  <c r="A132" i="4" s="1"/>
  <c r="A133" i="4" s="1"/>
  <c r="A134" i="4" s="1"/>
  <c r="A135" i="4" s="1"/>
  <c r="A136" i="4" s="1"/>
  <c r="A137" i="4" s="1"/>
  <c r="A138" i="4" s="1"/>
  <c r="A139" i="4" s="1"/>
  <c r="A140" i="4" s="1"/>
  <c r="A141" i="4" s="1"/>
  <c r="A142" i="4" s="1"/>
  <c r="A143" i="4" s="1"/>
  <c r="A144" i="4" s="1"/>
  <c r="A145" i="4" s="1"/>
  <c r="A146" i="4" s="1"/>
  <c r="A147" i="4" s="1"/>
  <c r="A148" i="4" s="1"/>
  <c r="A149" i="4" s="1"/>
  <c r="A150" i="4" s="1"/>
  <c r="A151" i="4" s="1"/>
  <c r="A152" i="4" s="1"/>
  <c r="A153" i="4" s="1"/>
  <c r="A154" i="4" s="1"/>
  <c r="A155" i="4" s="1"/>
  <c r="A156" i="4" s="1"/>
  <c r="A157" i="4" s="1"/>
  <c r="A158" i="4" s="1"/>
  <c r="A159" i="4" s="1"/>
  <c r="A160" i="4" s="1"/>
  <c r="A161" i="4" s="1"/>
  <c r="A162" i="4" s="1"/>
  <c r="A163" i="4" s="1"/>
  <c r="A164" i="4" s="1"/>
  <c r="A165" i="4" s="1"/>
  <c r="A166" i="4" s="1"/>
  <c r="A167" i="4" s="1"/>
  <c r="A168" i="4" s="1"/>
  <c r="A169" i="4" s="1"/>
  <c r="A170" i="4" s="1"/>
  <c r="A171" i="4" s="1"/>
  <c r="A172" i="4" s="1"/>
  <c r="A173" i="4" s="1"/>
  <c r="A174" i="4" s="1"/>
  <c r="A175" i="4" s="1"/>
  <c r="A176" i="4" s="1"/>
  <c r="A177" i="4" s="1"/>
  <c r="A178" i="4" s="1"/>
  <c r="A179" i="4" s="1"/>
  <c r="A180" i="4" s="1"/>
  <c r="A181" i="4" s="1"/>
  <c r="A182" i="4" s="1"/>
  <c r="A183" i="4" s="1"/>
  <c r="A184" i="4" s="1"/>
  <c r="A185" i="4" s="1"/>
  <c r="A186" i="4" s="1"/>
  <c r="A187" i="4" s="1"/>
  <c r="A188" i="4" s="1"/>
  <c r="A189" i="4" s="1"/>
  <c r="A190" i="4" s="1"/>
  <c r="A191" i="4" s="1"/>
  <c r="A192" i="4" s="1"/>
  <c r="A193" i="4" s="1"/>
  <c r="A194" i="4" s="1"/>
  <c r="A195" i="4" s="1"/>
  <c r="A196" i="4" s="1"/>
  <c r="A197" i="4" s="1"/>
  <c r="A198" i="4" s="1"/>
  <c r="A199" i="4" s="1"/>
  <c r="A200" i="4" s="1"/>
  <c r="A201" i="4" s="1"/>
  <c r="A202" i="4" s="1"/>
  <c r="A203" i="4" s="1"/>
  <c r="A204" i="4" s="1"/>
  <c r="A205" i="4" s="1"/>
  <c r="A206" i="4" s="1"/>
  <c r="A207" i="4" s="1"/>
  <c r="A208" i="4" s="1"/>
  <c r="A209" i="4" s="1"/>
  <c r="A210" i="4" s="1"/>
  <c r="A211" i="4" s="1"/>
  <c r="A212" i="4" s="1"/>
  <c r="A213" i="4" s="1"/>
  <c r="A214" i="4" s="1"/>
  <c r="A215" i="4" s="1"/>
  <c r="A216" i="4" s="1"/>
  <c r="A217" i="4" s="1"/>
  <c r="A218" i="4" s="1"/>
  <c r="A219" i="4" s="1"/>
  <c r="A220" i="4" s="1"/>
  <c r="A221" i="4" s="1"/>
  <c r="A222" i="4" s="1"/>
  <c r="A223" i="4" s="1"/>
  <c r="A224" i="4" s="1"/>
  <c r="A225" i="4" s="1"/>
  <c r="A226" i="4" s="1"/>
  <c r="A227" i="4" s="1"/>
  <c r="A228" i="4" s="1"/>
  <c r="A229" i="4" s="1"/>
  <c r="A230" i="4" s="1"/>
  <c r="A231" i="4" s="1"/>
  <c r="A232" i="4" s="1"/>
  <c r="A233" i="4" s="1"/>
  <c r="A234" i="4" s="1"/>
  <c r="A235" i="4" s="1"/>
  <c r="A236" i="4" s="1"/>
  <c r="A237" i="4" s="1"/>
  <c r="A238" i="4" s="1"/>
  <c r="A239" i="4" s="1"/>
  <c r="A240" i="4" s="1"/>
  <c r="A241" i="4" s="1"/>
  <c r="A242" i="4" s="1"/>
  <c r="A243" i="4" s="1"/>
  <c r="A244" i="4" s="1"/>
  <c r="A245" i="4" s="1"/>
  <c r="A246" i="4" s="1"/>
  <c r="A247" i="4" s="1"/>
  <c r="A248" i="4" s="1"/>
  <c r="A249" i="4" s="1"/>
  <c r="A250" i="4" s="1"/>
  <c r="A251" i="4" s="1"/>
  <c r="A252" i="4" s="1"/>
  <c r="A253" i="4" s="1"/>
  <c r="A254" i="4" s="1"/>
  <c r="A255" i="4" s="1"/>
  <c r="A256" i="4" s="1"/>
  <c r="A257" i="4" s="1"/>
  <c r="A258" i="4" s="1"/>
  <c r="A259" i="4" s="1"/>
  <c r="A260" i="4" s="1"/>
  <c r="A261" i="4" s="1"/>
  <c r="A262" i="4" s="1"/>
  <c r="A263" i="4" s="1"/>
  <c r="A264" i="4" s="1"/>
  <c r="A265" i="4" s="1"/>
  <c r="A266" i="4" s="1"/>
  <c r="A267" i="4" s="1"/>
  <c r="A268" i="4" s="1"/>
  <c r="A269" i="4" s="1"/>
  <c r="A270" i="4" s="1"/>
  <c r="A271" i="4" s="1"/>
  <c r="A272" i="4" s="1"/>
  <c r="A273" i="4" s="1"/>
  <c r="A274" i="4" s="1"/>
  <c r="A275" i="4" s="1"/>
  <c r="A276" i="4" s="1"/>
  <c r="A277" i="4" s="1"/>
  <c r="A278" i="4" s="1"/>
  <c r="A279" i="4" s="1"/>
  <c r="A280" i="4" s="1"/>
  <c r="A281" i="4" s="1"/>
  <c r="A282" i="4" s="1"/>
  <c r="A283" i="4" s="1"/>
  <c r="A284" i="4" s="1"/>
  <c r="A285" i="4" s="1"/>
  <c r="A286" i="4" s="1"/>
  <c r="A287" i="4" s="1"/>
  <c r="A288" i="4" s="1"/>
  <c r="A289" i="4" s="1"/>
  <c r="A290" i="4" s="1"/>
  <c r="A291" i="4" s="1"/>
  <c r="A292" i="4" s="1"/>
  <c r="A293" i="4" s="1"/>
  <c r="A294" i="4" s="1"/>
  <c r="A295" i="4" s="1"/>
  <c r="A296" i="4" s="1"/>
  <c r="A297" i="4" s="1"/>
  <c r="A298" i="4" s="1"/>
  <c r="A299" i="4" s="1"/>
  <c r="A300" i="4" s="1"/>
  <c r="A301" i="4" s="1"/>
  <c r="A302" i="4" s="1"/>
  <c r="A303" i="4" s="1"/>
  <c r="A304" i="4" s="1"/>
  <c r="A305" i="4" s="1"/>
  <c r="A306" i="4" s="1"/>
  <c r="A307" i="4" s="1"/>
  <c r="A308" i="4" s="1"/>
  <c r="A309" i="4" s="1"/>
  <c r="A310" i="4" s="1"/>
  <c r="A311" i="4" s="1"/>
  <c r="A312" i="4" s="1"/>
  <c r="A313" i="4" s="1"/>
  <c r="A314" i="4" s="1"/>
  <c r="A315" i="4" s="1"/>
  <c r="A316" i="4" s="1"/>
  <c r="A317" i="4" s="1"/>
  <c r="A318" i="4" s="1"/>
  <c r="A319" i="4" s="1"/>
  <c r="A320" i="4" s="1"/>
  <c r="A321" i="4" s="1"/>
  <c r="A322" i="4" s="1"/>
  <c r="A323" i="4" s="1"/>
  <c r="A324" i="4" s="1"/>
  <c r="A325" i="4" s="1"/>
  <c r="A326" i="4" s="1"/>
  <c r="A327" i="4" s="1"/>
  <c r="A328" i="4" s="1"/>
  <c r="A329" i="4" s="1"/>
  <c r="A330" i="4" s="1"/>
  <c r="A331" i="4" s="1"/>
  <c r="A332" i="4" s="1"/>
  <c r="A333" i="4" s="1"/>
  <c r="A334" i="4" s="1"/>
  <c r="A335" i="4" s="1"/>
  <c r="A336" i="4" s="1"/>
  <c r="A337" i="4" s="1"/>
  <c r="A338" i="4" s="1"/>
  <c r="A339" i="4" s="1"/>
  <c r="A340" i="4" s="1"/>
  <c r="A341" i="4" s="1"/>
  <c r="A342" i="4" s="1"/>
  <c r="A343" i="4" s="1"/>
  <c r="A344" i="4" s="1"/>
  <c r="A345" i="4" s="1"/>
  <c r="A346" i="4" s="1"/>
  <c r="A347" i="4" s="1"/>
  <c r="A348" i="4" s="1"/>
  <c r="A349" i="4" s="1"/>
  <c r="A350" i="4" s="1"/>
  <c r="A351" i="4" s="1"/>
  <c r="A352" i="4" s="1"/>
  <c r="A353" i="4" s="1"/>
  <c r="A354" i="4" s="1"/>
  <c r="A355" i="4" s="1"/>
  <c r="A356" i="4" s="1"/>
  <c r="A357" i="4" s="1"/>
  <c r="A358" i="4" s="1"/>
  <c r="A359" i="4" s="1"/>
  <c r="A360" i="4" s="1"/>
  <c r="A361" i="4" s="1"/>
  <c r="A362" i="4" s="1"/>
  <c r="A363" i="4" s="1"/>
  <c r="A364" i="4" s="1"/>
  <c r="A365" i="4" s="1"/>
  <c r="A366" i="4" s="1"/>
  <c r="A367" i="4" s="1"/>
  <c r="A368" i="4" s="1"/>
  <c r="A369" i="4" s="1"/>
  <c r="A370" i="4" s="1"/>
  <c r="A371" i="4" s="1"/>
  <c r="A372" i="4" s="1"/>
  <c r="A373" i="4" s="1"/>
  <c r="A374" i="4" s="1"/>
  <c r="A375" i="4" s="1"/>
  <c r="A376" i="4" s="1"/>
  <c r="A377" i="4" s="1"/>
  <c r="A378" i="4" s="1"/>
  <c r="A379" i="4" s="1"/>
  <c r="A380" i="4" s="1"/>
  <c r="A381" i="4" s="1"/>
  <c r="A382" i="4" s="1"/>
  <c r="A383" i="4" s="1"/>
  <c r="A384" i="4" s="1"/>
  <c r="A385" i="4" s="1"/>
  <c r="A386" i="4" s="1"/>
  <c r="A387" i="4" s="1"/>
  <c r="A388" i="4" s="1"/>
  <c r="A389" i="4" s="1"/>
  <c r="A390" i="4" s="1"/>
  <c r="A391" i="4" s="1"/>
  <c r="A392" i="4" s="1"/>
  <c r="A393" i="4" s="1"/>
  <c r="A394" i="4" s="1"/>
  <c r="A395" i="4" s="1"/>
  <c r="A396" i="4" s="1"/>
  <c r="A397" i="4" s="1"/>
  <c r="A398" i="4" s="1"/>
  <c r="A399" i="4" s="1"/>
  <c r="A400" i="4" s="1"/>
  <c r="A401" i="4" s="1"/>
  <c r="A402" i="4" s="1"/>
  <c r="A403" i="4" s="1"/>
  <c r="A404" i="4" s="1"/>
  <c r="A405" i="4" s="1"/>
  <c r="A406" i="4" s="1"/>
  <c r="A407" i="4" s="1"/>
  <c r="A408" i="4" s="1"/>
  <c r="A409" i="4" s="1"/>
  <c r="A410" i="4" s="1"/>
  <c r="A411" i="4" s="1"/>
  <c r="A412" i="4" s="1"/>
  <c r="A413" i="4" s="1"/>
  <c r="A414" i="4" s="1"/>
  <c r="A415" i="4" s="1"/>
  <c r="A416" i="4" s="1"/>
  <c r="A417" i="4" s="1"/>
  <c r="A418" i="4" s="1"/>
  <c r="A419" i="4" s="1"/>
  <c r="A420" i="4" s="1"/>
  <c r="A421" i="4" s="1"/>
  <c r="A422" i="4" s="1"/>
  <c r="A423" i="4" s="1"/>
  <c r="A424" i="4" s="1"/>
  <c r="A425" i="4" s="1"/>
  <c r="A426" i="4" s="1"/>
  <c r="A427" i="4" s="1"/>
  <c r="A428" i="4" s="1"/>
  <c r="A429" i="4" s="1"/>
  <c r="A430" i="4" s="1"/>
  <c r="A431" i="4" s="1"/>
  <c r="A432" i="4" s="1"/>
  <c r="A433" i="4" s="1"/>
  <c r="A434" i="4" s="1"/>
  <c r="A435" i="4" s="1"/>
  <c r="A436" i="4" s="1"/>
  <c r="A437" i="4" s="1"/>
  <c r="A438" i="4" s="1"/>
  <c r="A439" i="4" s="1"/>
  <c r="A440" i="4" s="1"/>
  <c r="A441" i="4" s="1"/>
  <c r="A442" i="4" s="1"/>
  <c r="A443" i="4" s="1"/>
  <c r="A444" i="4" s="1"/>
  <c r="A445" i="4" s="1"/>
  <c r="A446" i="4" s="1"/>
  <c r="A447" i="4" s="1"/>
  <c r="A448" i="4" s="1"/>
  <c r="A449" i="4" s="1"/>
  <c r="A450" i="4" s="1"/>
  <c r="A451" i="4" s="1"/>
  <c r="A452" i="4" s="1"/>
  <c r="A453" i="4" s="1"/>
  <c r="A454" i="4" s="1"/>
  <c r="A455" i="4" s="1"/>
  <c r="A456" i="4" s="1"/>
  <c r="A457" i="4" s="1"/>
  <c r="A458" i="4" s="1"/>
  <c r="A459" i="4" s="1"/>
  <c r="A460" i="4" s="1"/>
  <c r="A461" i="4" s="1"/>
  <c r="A462" i="4" s="1"/>
  <c r="A463" i="4" s="1"/>
  <c r="A464" i="4" s="1"/>
  <c r="A465" i="4" s="1"/>
  <c r="A466" i="4" s="1"/>
  <c r="A467" i="4" s="1"/>
  <c r="A468" i="4" s="1"/>
  <c r="A469" i="4" s="1"/>
  <c r="A470" i="4" s="1"/>
  <c r="A471" i="4" s="1"/>
  <c r="A472" i="4" s="1"/>
  <c r="A473" i="4" s="1"/>
  <c r="A474" i="4" s="1"/>
  <c r="A475" i="4" s="1"/>
  <c r="A476" i="4" s="1"/>
  <c r="A477" i="4" s="1"/>
  <c r="A478" i="4" s="1"/>
  <c r="A479" i="4" s="1"/>
  <c r="A480" i="4" s="1"/>
  <c r="A481" i="4" s="1"/>
  <c r="A482" i="4" s="1"/>
  <c r="A483" i="4" s="1"/>
  <c r="A484" i="4" s="1"/>
  <c r="A485" i="4" s="1"/>
  <c r="A486" i="4" s="1"/>
  <c r="A487" i="4" s="1"/>
  <c r="A488" i="4" s="1"/>
  <c r="A489" i="4" s="1"/>
  <c r="A490" i="4" s="1"/>
  <c r="A491" i="4" s="1"/>
  <c r="A492" i="4" s="1"/>
  <c r="A493" i="4" s="1"/>
  <c r="A494" i="4" s="1"/>
  <c r="A495" i="4" s="1"/>
  <c r="A496" i="4" s="1"/>
  <c r="A497" i="4" s="1"/>
  <c r="A498" i="4" s="1"/>
  <c r="A499" i="4" s="1"/>
  <c r="A500" i="4" s="1"/>
  <c r="A501" i="4" s="1"/>
  <c r="A502" i="4" s="1"/>
  <c r="A503" i="4" s="1"/>
  <c r="A504" i="4" s="1"/>
  <c r="A505" i="4" s="1"/>
  <c r="A506" i="4" s="1"/>
  <c r="A507" i="4" s="1"/>
  <c r="A508" i="4" s="1"/>
  <c r="A509" i="4" s="1"/>
  <c r="A510" i="4" s="1"/>
  <c r="A511" i="4" s="1"/>
  <c r="A512" i="4" s="1"/>
  <c r="A513" i="4" s="1"/>
  <c r="A514" i="4" s="1"/>
  <c r="A515" i="4" s="1"/>
  <c r="A516" i="4" s="1"/>
  <c r="A517" i="4" s="1"/>
  <c r="A518" i="4" s="1"/>
  <c r="A519" i="4" s="1"/>
  <c r="A520" i="4" s="1"/>
  <c r="A521" i="4" s="1"/>
  <c r="A522" i="4" s="1"/>
  <c r="A523" i="4" s="1"/>
  <c r="A524" i="4" s="1"/>
  <c r="A525" i="4" s="1"/>
  <c r="A526" i="4" s="1"/>
  <c r="A527" i="4" s="1"/>
  <c r="A528" i="4" s="1"/>
  <c r="A529" i="4" s="1"/>
  <c r="A530" i="4" s="1"/>
  <c r="A531" i="4" s="1"/>
  <c r="A532" i="4" s="1"/>
  <c r="A533" i="4" s="1"/>
  <c r="A534" i="4" s="1"/>
  <c r="A535" i="4" s="1"/>
  <c r="A536" i="4" s="1"/>
  <c r="A537" i="4" s="1"/>
  <c r="A538" i="4" s="1"/>
  <c r="A539" i="4" s="1"/>
  <c r="A540" i="4" s="1"/>
  <c r="A541" i="4" s="1"/>
  <c r="A542" i="4" s="1"/>
  <c r="A543" i="4" s="1"/>
  <c r="A544" i="4" s="1"/>
  <c r="A545" i="4" s="1"/>
  <c r="A546" i="4" s="1"/>
  <c r="A547" i="4" s="1"/>
  <c r="A548" i="4" s="1"/>
  <c r="A549" i="4" s="1"/>
  <c r="A550" i="4" s="1"/>
  <c r="A551" i="4" s="1"/>
  <c r="A552" i="4" s="1"/>
  <c r="A553" i="4" s="1"/>
  <c r="A554" i="4" s="1"/>
  <c r="A555" i="4" s="1"/>
  <c r="A556" i="4" s="1"/>
  <c r="A557" i="4" s="1"/>
  <c r="A558" i="4" s="1"/>
  <c r="A559" i="4" s="1"/>
  <c r="A560" i="4" s="1"/>
  <c r="A561" i="4" s="1"/>
  <c r="A562" i="4" s="1"/>
  <c r="A563" i="4" s="1"/>
  <c r="A564" i="4" s="1"/>
  <c r="A565" i="4" s="1"/>
  <c r="A566" i="4" s="1"/>
  <c r="A567" i="4" s="1"/>
  <c r="A568" i="4" s="1"/>
  <c r="A569" i="4" s="1"/>
  <c r="A570" i="4" s="1"/>
  <c r="A571" i="4" s="1"/>
  <c r="A572" i="4" s="1"/>
  <c r="A573" i="4" s="1"/>
  <c r="A574" i="4" s="1"/>
  <c r="A575" i="4" s="1"/>
  <c r="A576" i="4" s="1"/>
  <c r="A577" i="4" s="1"/>
  <c r="A578" i="4" s="1"/>
  <c r="A579" i="4" s="1"/>
  <c r="A580" i="4" s="1"/>
  <c r="A581" i="4" s="1"/>
  <c r="A582" i="4" s="1"/>
  <c r="A583" i="4" s="1"/>
  <c r="A584" i="4" s="1"/>
  <c r="A585" i="4" s="1"/>
  <c r="A586" i="4" s="1"/>
  <c r="A587" i="4" s="1"/>
  <c r="A588" i="4" s="1"/>
  <c r="A589" i="4" s="1"/>
  <c r="A590" i="4" s="1"/>
  <c r="A591" i="4" s="1"/>
  <c r="A592" i="4" s="1"/>
  <c r="A593" i="4" s="1"/>
  <c r="A594" i="4" s="1"/>
  <c r="A595" i="4" s="1"/>
  <c r="A596" i="4" s="1"/>
  <c r="A597" i="4" s="1"/>
  <c r="A598" i="4" s="1"/>
  <c r="A599" i="4" s="1"/>
  <c r="A600" i="4" s="1"/>
  <c r="A601" i="4" s="1"/>
  <c r="A602" i="4" s="1"/>
  <c r="A603" i="4" s="1"/>
  <c r="A604" i="4" s="1"/>
  <c r="A605" i="4" s="1"/>
  <c r="A606" i="4" s="1"/>
  <c r="A607" i="4" s="1"/>
  <c r="A608" i="4" s="1"/>
  <c r="A609" i="4" s="1"/>
  <c r="A610" i="4" s="1"/>
  <c r="A611" i="4" s="1"/>
  <c r="A612" i="4" s="1"/>
  <c r="A613" i="4" s="1"/>
  <c r="A614" i="4" s="1"/>
  <c r="A615" i="4" s="1"/>
  <c r="A616" i="4" s="1"/>
  <c r="A617" i="4" s="1"/>
  <c r="A618" i="4" s="1"/>
  <c r="A619" i="4" s="1"/>
  <c r="A620" i="4" s="1"/>
  <c r="A621" i="4" s="1"/>
  <c r="A622" i="4" s="1"/>
  <c r="A623" i="4" s="1"/>
  <c r="A624" i="4" s="1"/>
  <c r="A625" i="4" s="1"/>
  <c r="A626" i="4" s="1"/>
  <c r="K26" i="3"/>
  <c r="K25" i="3"/>
  <c r="K24" i="3"/>
  <c r="K23" i="3"/>
  <c r="K22" i="3"/>
  <c r="K21" i="3"/>
  <c r="K20" i="3"/>
  <c r="K19" i="3"/>
  <c r="K18" i="3"/>
  <c r="K17" i="3"/>
  <c r="K16" i="3"/>
  <c r="K15" i="3"/>
  <c r="K14" i="3"/>
  <c r="K13" i="3"/>
  <c r="K12" i="3"/>
  <c r="K11" i="3"/>
  <c r="K10" i="3"/>
  <c r="K9" i="3"/>
  <c r="K8" i="3"/>
  <c r="K7" i="3"/>
  <c r="K6" i="3"/>
  <c r="K5" i="3"/>
  <c r="K4" i="3"/>
  <c r="K3" i="3"/>
  <c r="J26" i="3"/>
  <c r="J25" i="3"/>
  <c r="J24" i="3"/>
  <c r="J23" i="3"/>
  <c r="J22" i="3"/>
  <c r="J21" i="3"/>
  <c r="J20" i="3"/>
  <c r="J19" i="3"/>
  <c r="J18" i="3"/>
  <c r="J17" i="3"/>
  <c r="J16" i="3"/>
  <c r="J15" i="3"/>
  <c r="J14" i="3"/>
  <c r="J13" i="3"/>
  <c r="J12" i="3"/>
  <c r="J11" i="3"/>
  <c r="J10" i="3"/>
  <c r="J9" i="3"/>
  <c r="J8" i="3"/>
  <c r="J7" i="3"/>
  <c r="J6" i="3"/>
  <c r="J5" i="3"/>
  <c r="J4" i="3"/>
  <c r="J3" i="3"/>
  <c r="A3" i="3"/>
  <c r="A4" i="3" s="1"/>
  <c r="A5" i="3" s="1"/>
  <c r="A6" i="3" s="1"/>
  <c r="A7" i="3" s="1"/>
  <c r="A8" i="3" s="1"/>
  <c r="A9" i="3" s="1"/>
  <c r="A10" i="3" s="1"/>
  <c r="A11" i="3" s="1"/>
  <c r="A12" i="3" s="1"/>
  <c r="A13" i="3" s="1"/>
  <c r="A14" i="3" s="1"/>
  <c r="A15" i="3" s="1"/>
  <c r="A16" i="3" s="1"/>
  <c r="A17" i="3" s="1"/>
  <c r="A18" i="3" s="1"/>
  <c r="A19" i="3" s="1"/>
  <c r="A20" i="3" s="1"/>
  <c r="A21" i="3" s="1"/>
  <c r="A22" i="3" s="1"/>
  <c r="A23" i="3" s="1"/>
  <c r="A24" i="3" s="1"/>
  <c r="A25" i="3" s="1"/>
  <c r="A26" i="3" s="1"/>
  <c r="A27" i="3" s="1"/>
  <c r="A28" i="3" s="1"/>
  <c r="A29" i="3" s="1"/>
  <c r="A30" i="3" s="1"/>
  <c r="A31" i="3" s="1"/>
  <c r="A32" i="3" s="1"/>
  <c r="A33" i="3" s="1"/>
  <c r="A34" i="3" s="1"/>
  <c r="A35" i="3" s="1"/>
  <c r="A36" i="3" s="1"/>
  <c r="A37" i="3" s="1"/>
  <c r="A38" i="3" s="1"/>
  <c r="A39" i="3" s="1"/>
  <c r="A40" i="3" s="1"/>
  <c r="A41" i="3" s="1"/>
  <c r="A42" i="3" s="1"/>
  <c r="A43" i="3" s="1"/>
  <c r="A44" i="3" s="1"/>
  <c r="A45" i="3" s="1"/>
  <c r="A46" i="3" s="1"/>
  <c r="A47" i="3" s="1"/>
  <c r="A48" i="3" s="1"/>
  <c r="A49" i="3" s="1"/>
  <c r="A50" i="3" s="1"/>
  <c r="A51" i="3" s="1"/>
  <c r="A52" i="3" s="1"/>
  <c r="A53" i="3" s="1"/>
  <c r="A54" i="3" s="1"/>
  <c r="A55" i="3" s="1"/>
  <c r="A56" i="3" s="1"/>
  <c r="A57" i="3" s="1"/>
  <c r="A58" i="3" s="1"/>
  <c r="A59" i="3" s="1"/>
  <c r="A60" i="3" s="1"/>
  <c r="A61" i="3" s="1"/>
  <c r="A62" i="3" s="1"/>
  <c r="A63" i="3" s="1"/>
  <c r="A64" i="3" s="1"/>
  <c r="A65" i="3" s="1"/>
  <c r="A66" i="3" s="1"/>
  <c r="A67" i="3" s="1"/>
  <c r="A68" i="3" s="1"/>
  <c r="A69" i="3" s="1"/>
  <c r="A70" i="3" s="1"/>
  <c r="A71" i="3" s="1"/>
  <c r="A72" i="3" s="1"/>
  <c r="A73" i="3" s="1"/>
  <c r="A74" i="3" s="1"/>
  <c r="A75" i="3" s="1"/>
  <c r="A76" i="3" s="1"/>
  <c r="A77" i="3" s="1"/>
  <c r="A78" i="3" s="1"/>
  <c r="A79" i="3" s="1"/>
  <c r="A80" i="3" s="1"/>
  <c r="A81" i="3" s="1"/>
  <c r="A82" i="3" s="1"/>
  <c r="A83" i="3" s="1"/>
  <c r="A84" i="3" s="1"/>
  <c r="A85" i="3" s="1"/>
  <c r="A86" i="3" s="1"/>
  <c r="A87" i="3" s="1"/>
  <c r="A88" i="3" s="1"/>
  <c r="A89" i="3" s="1"/>
  <c r="A90" i="3" s="1"/>
  <c r="A91" i="3" s="1"/>
  <c r="A92" i="3" s="1"/>
  <c r="A93" i="3" s="1"/>
  <c r="A94" i="3" s="1"/>
  <c r="A95" i="3" s="1"/>
  <c r="A96" i="3" s="1"/>
  <c r="A97" i="3" s="1"/>
  <c r="A98" i="3" s="1"/>
  <c r="A99" i="3" s="1"/>
  <c r="A100" i="3" s="1"/>
  <c r="A101" i="3" s="1"/>
  <c r="A102" i="3" s="1"/>
  <c r="A103" i="3" s="1"/>
  <c r="A104" i="3" s="1"/>
  <c r="A105" i="3" s="1"/>
  <c r="A106" i="3" s="1"/>
  <c r="A107" i="3" s="1"/>
  <c r="A108" i="3" s="1"/>
  <c r="A109" i="3" s="1"/>
  <c r="A110" i="3" s="1"/>
  <c r="A111" i="3" s="1"/>
  <c r="A112" i="3" s="1"/>
  <c r="A113" i="3" s="1"/>
  <c r="A114" i="3" s="1"/>
  <c r="A115" i="3" s="1"/>
  <c r="A116" i="3" s="1"/>
  <c r="A117" i="3" s="1"/>
  <c r="A118" i="3" s="1"/>
  <c r="A119" i="3" s="1"/>
  <c r="A120" i="3" s="1"/>
  <c r="A121" i="3" s="1"/>
  <c r="A122" i="3" s="1"/>
  <c r="A123" i="3" s="1"/>
  <c r="A124" i="3" s="1"/>
  <c r="A125" i="3" s="1"/>
  <c r="A126" i="3" s="1"/>
  <c r="A127" i="3" s="1"/>
  <c r="A128" i="3" s="1"/>
  <c r="A129" i="3" s="1"/>
  <c r="A130" i="3" s="1"/>
  <c r="A131" i="3" s="1"/>
  <c r="A132" i="3" s="1"/>
  <c r="A133" i="3" s="1"/>
  <c r="A134" i="3" s="1"/>
  <c r="A135" i="3" s="1"/>
  <c r="A136" i="3" s="1"/>
  <c r="A137" i="3" s="1"/>
  <c r="A138" i="3" s="1"/>
  <c r="A139" i="3" s="1"/>
  <c r="A140" i="3" s="1"/>
  <c r="A141" i="3" s="1"/>
  <c r="A142" i="3" s="1"/>
  <c r="A143" i="3" s="1"/>
  <c r="A144" i="3" s="1"/>
  <c r="A145" i="3" s="1"/>
  <c r="A146" i="3" s="1"/>
  <c r="A147" i="3" s="1"/>
  <c r="A148" i="3" s="1"/>
  <c r="A149" i="3" s="1"/>
  <c r="A150" i="3" s="1"/>
  <c r="A151" i="3" s="1"/>
  <c r="A152" i="3" s="1"/>
  <c r="A153" i="3" s="1"/>
  <c r="A154" i="3" s="1"/>
  <c r="A155" i="3" s="1"/>
  <c r="A156" i="3" s="1"/>
  <c r="A157" i="3" s="1"/>
  <c r="A158" i="3" s="1"/>
  <c r="A159" i="3" s="1"/>
  <c r="A160" i="3" s="1"/>
  <c r="A161" i="3" s="1"/>
  <c r="A162" i="3" s="1"/>
  <c r="A163" i="3" s="1"/>
  <c r="A164" i="3" s="1"/>
  <c r="A165" i="3" s="1"/>
  <c r="A166" i="3" s="1"/>
  <c r="A167" i="3" s="1"/>
  <c r="A168" i="3" s="1"/>
  <c r="A169" i="3" s="1"/>
  <c r="A170" i="3" s="1"/>
  <c r="A171" i="3" s="1"/>
  <c r="A172" i="3" s="1"/>
  <c r="A173" i="3" s="1"/>
  <c r="A174" i="3" s="1"/>
  <c r="A175" i="3" s="1"/>
  <c r="A176" i="3" s="1"/>
  <c r="A177" i="3" s="1"/>
  <c r="A178" i="3" s="1"/>
  <c r="A179" i="3" s="1"/>
  <c r="A180" i="3" s="1"/>
  <c r="A181" i="3" s="1"/>
  <c r="A182" i="3" s="1"/>
  <c r="A183" i="3" s="1"/>
  <c r="A184" i="3" s="1"/>
  <c r="A185" i="3" s="1"/>
  <c r="A186" i="3" s="1"/>
  <c r="A187" i="3" s="1"/>
  <c r="A188" i="3" s="1"/>
  <c r="A189" i="3" s="1"/>
  <c r="A190" i="3" s="1"/>
  <c r="A191" i="3" s="1"/>
  <c r="A192" i="3" s="1"/>
  <c r="A193" i="3" s="1"/>
  <c r="A194" i="3" s="1"/>
  <c r="A195" i="3" s="1"/>
  <c r="A196" i="3" s="1"/>
  <c r="A197" i="3" s="1"/>
  <c r="A198" i="3" s="1"/>
  <c r="A199" i="3" s="1"/>
  <c r="A200" i="3" s="1"/>
  <c r="A201" i="3" s="1"/>
  <c r="A202" i="3" s="1"/>
  <c r="A203" i="3" s="1"/>
  <c r="A204" i="3" s="1"/>
  <c r="A205" i="3" s="1"/>
  <c r="A206" i="3" s="1"/>
  <c r="A207" i="3" s="1"/>
  <c r="A208" i="3" s="1"/>
  <c r="A209" i="3" s="1"/>
  <c r="A210" i="3" s="1"/>
  <c r="A211" i="3" s="1"/>
  <c r="A212" i="3" s="1"/>
  <c r="A213" i="3" s="1"/>
  <c r="A214" i="3" s="1"/>
  <c r="A215" i="3" s="1"/>
  <c r="A216" i="3" s="1"/>
  <c r="A217" i="3" s="1"/>
  <c r="A218" i="3" s="1"/>
  <c r="A219" i="3" s="1"/>
  <c r="A220" i="3" s="1"/>
  <c r="A221" i="3" s="1"/>
  <c r="A222" i="3" s="1"/>
  <c r="A223" i="3" s="1"/>
  <c r="A224" i="3" s="1"/>
  <c r="A225" i="3" s="1"/>
  <c r="A226" i="3" s="1"/>
  <c r="A227" i="3" s="1"/>
  <c r="A228" i="3" s="1"/>
  <c r="A229" i="3" s="1"/>
  <c r="A230" i="3" s="1"/>
  <c r="A231" i="3" s="1"/>
  <c r="A232" i="3" s="1"/>
  <c r="A233" i="3" s="1"/>
  <c r="A234" i="3" s="1"/>
  <c r="A235" i="3" s="1"/>
  <c r="A236" i="3" s="1"/>
  <c r="A237" i="3" s="1"/>
  <c r="A238" i="3" s="1"/>
  <c r="A239" i="3" s="1"/>
  <c r="A240" i="3" s="1"/>
  <c r="A241" i="3" s="1"/>
  <c r="A242" i="3" s="1"/>
  <c r="A243" i="3" s="1"/>
  <c r="A244" i="3" s="1"/>
  <c r="A245" i="3" s="1"/>
  <c r="A246" i="3" s="1"/>
  <c r="A247" i="3" s="1"/>
  <c r="A248" i="3" s="1"/>
  <c r="A249" i="3" s="1"/>
  <c r="A250" i="3" s="1"/>
  <c r="A251" i="3" s="1"/>
  <c r="A252" i="3" s="1"/>
  <c r="A253" i="3" s="1"/>
  <c r="A254" i="3" s="1"/>
  <c r="A255" i="3" s="1"/>
  <c r="A256" i="3" s="1"/>
  <c r="A257" i="3" s="1"/>
  <c r="A258" i="3" s="1"/>
  <c r="A259" i="3" s="1"/>
  <c r="A260" i="3" s="1"/>
  <c r="A261" i="3" s="1"/>
  <c r="A262" i="3" s="1"/>
  <c r="A263" i="3" s="1"/>
  <c r="A264" i="3" s="1"/>
  <c r="A265" i="3" s="1"/>
  <c r="A266" i="3" s="1"/>
  <c r="A267" i="3" s="1"/>
  <c r="A268" i="3" s="1"/>
  <c r="A269" i="3" s="1"/>
  <c r="A270" i="3" s="1"/>
  <c r="A271" i="3" s="1"/>
  <c r="A272" i="3" s="1"/>
  <c r="A273" i="3" s="1"/>
  <c r="A274" i="3" s="1"/>
  <c r="A275" i="3" s="1"/>
  <c r="A276" i="3" s="1"/>
  <c r="A277" i="3" s="1"/>
  <c r="A278" i="3" s="1"/>
  <c r="A279" i="3" s="1"/>
  <c r="A280" i="3" s="1"/>
  <c r="A281" i="3" s="1"/>
  <c r="A282" i="3" s="1"/>
  <c r="A283" i="3" s="1"/>
  <c r="A284" i="3" s="1"/>
  <c r="A285" i="3" s="1"/>
  <c r="A286" i="3" s="1"/>
  <c r="A287" i="3" s="1"/>
  <c r="A288" i="3" s="1"/>
  <c r="A289" i="3" s="1"/>
  <c r="A290" i="3" s="1"/>
  <c r="A291" i="3" s="1"/>
  <c r="A292" i="3" s="1"/>
  <c r="A293" i="3" s="1"/>
  <c r="A294" i="3" s="1"/>
  <c r="A295" i="3" s="1"/>
  <c r="A296" i="3" s="1"/>
  <c r="A297" i="3" s="1"/>
  <c r="A298" i="3" s="1"/>
  <c r="A299" i="3" s="1"/>
  <c r="A300" i="3" s="1"/>
  <c r="A301" i="3" s="1"/>
  <c r="A302" i="3" s="1"/>
  <c r="A303" i="3" s="1"/>
  <c r="A304" i="3" s="1"/>
  <c r="A305" i="3" s="1"/>
  <c r="A306" i="3" s="1"/>
  <c r="A307" i="3" s="1"/>
  <c r="A308" i="3" s="1"/>
  <c r="A309" i="3" s="1"/>
  <c r="A310" i="3" s="1"/>
  <c r="A311" i="3" s="1"/>
  <c r="A312" i="3" s="1"/>
  <c r="A313" i="3" s="1"/>
  <c r="A314" i="3" s="1"/>
  <c r="A315" i="3" s="1"/>
  <c r="A316" i="3" s="1"/>
  <c r="A317" i="3" s="1"/>
  <c r="A318" i="3" s="1"/>
  <c r="A319" i="3" s="1"/>
  <c r="A320" i="3" s="1"/>
  <c r="A321" i="3" s="1"/>
  <c r="A322" i="3" s="1"/>
  <c r="A323" i="3" s="1"/>
  <c r="A324" i="3" s="1"/>
  <c r="A325" i="3" s="1"/>
  <c r="A326" i="3" s="1"/>
  <c r="A327" i="3" s="1"/>
  <c r="A328" i="3" s="1"/>
  <c r="A329" i="3" s="1"/>
  <c r="A330" i="3" s="1"/>
  <c r="A331" i="3" s="1"/>
  <c r="A332" i="3" s="1"/>
  <c r="A333" i="3" s="1"/>
  <c r="A334" i="3" s="1"/>
  <c r="A335" i="3" s="1"/>
  <c r="A336" i="3" s="1"/>
  <c r="A337" i="3" s="1"/>
  <c r="A338" i="3" s="1"/>
  <c r="A339" i="3" s="1"/>
  <c r="A340" i="3" s="1"/>
  <c r="A341" i="3" s="1"/>
  <c r="A342" i="3" s="1"/>
  <c r="A343" i="3" s="1"/>
  <c r="A344" i="3" s="1"/>
  <c r="A345" i="3" s="1"/>
  <c r="A346" i="3" s="1"/>
  <c r="A347" i="3" s="1"/>
  <c r="A348" i="3" s="1"/>
  <c r="A349" i="3" s="1"/>
  <c r="A350" i="3" s="1"/>
  <c r="A351" i="3" s="1"/>
  <c r="A352" i="3" s="1"/>
  <c r="A353" i="3" s="1"/>
  <c r="A354" i="3" s="1"/>
  <c r="A355" i="3" s="1"/>
  <c r="A356" i="3" s="1"/>
  <c r="A357" i="3" s="1"/>
  <c r="A358" i="3" s="1"/>
  <c r="A359" i="3" s="1"/>
  <c r="A360" i="3" s="1"/>
  <c r="A361" i="3" s="1"/>
  <c r="A362" i="3" s="1"/>
  <c r="A363" i="3" s="1"/>
  <c r="A364" i="3" s="1"/>
  <c r="A365" i="3" s="1"/>
  <c r="A366" i="3" s="1"/>
  <c r="A367" i="3" s="1"/>
  <c r="A368" i="3" s="1"/>
  <c r="A369" i="3" s="1"/>
  <c r="A370" i="3" s="1"/>
  <c r="A371" i="3" s="1"/>
  <c r="A372" i="3" s="1"/>
  <c r="A373" i="3" s="1"/>
  <c r="A374" i="3" s="1"/>
  <c r="A375" i="3" s="1"/>
  <c r="A376" i="3" s="1"/>
  <c r="A377" i="3" s="1"/>
  <c r="A378" i="3" s="1"/>
  <c r="A379" i="3" s="1"/>
  <c r="A380" i="3" s="1"/>
  <c r="A381" i="3" s="1"/>
  <c r="A382" i="3" s="1"/>
  <c r="A383" i="3" s="1"/>
  <c r="A384" i="3" s="1"/>
  <c r="A385" i="3" s="1"/>
  <c r="A386" i="3" s="1"/>
  <c r="A387" i="3" s="1"/>
  <c r="A388" i="3" s="1"/>
  <c r="A389" i="3" s="1"/>
  <c r="A390" i="3" s="1"/>
  <c r="A391" i="3" s="1"/>
  <c r="A392" i="3" s="1"/>
  <c r="A393" i="3" s="1"/>
  <c r="A394" i="3" s="1"/>
  <c r="A395" i="3" s="1"/>
  <c r="A396" i="3" s="1"/>
  <c r="A397" i="3" s="1"/>
  <c r="A398" i="3" s="1"/>
  <c r="A399" i="3" s="1"/>
  <c r="A400" i="3" s="1"/>
  <c r="A401" i="3" s="1"/>
  <c r="A402" i="3" s="1"/>
  <c r="A403" i="3" s="1"/>
  <c r="A404" i="3" s="1"/>
  <c r="A405" i="3" s="1"/>
  <c r="A406" i="3" s="1"/>
  <c r="A407" i="3" s="1"/>
  <c r="A408" i="3" s="1"/>
  <c r="A409" i="3" s="1"/>
  <c r="A410" i="3" s="1"/>
  <c r="A411" i="3" s="1"/>
  <c r="A412" i="3" s="1"/>
  <c r="A413" i="3" s="1"/>
  <c r="A414" i="3" s="1"/>
  <c r="A415" i="3" s="1"/>
  <c r="A416" i="3" s="1"/>
  <c r="A417" i="3" s="1"/>
  <c r="A418" i="3" s="1"/>
  <c r="A419" i="3" s="1"/>
  <c r="A420" i="3" s="1"/>
  <c r="A421" i="3" s="1"/>
  <c r="A422" i="3" s="1"/>
  <c r="A423" i="3" s="1"/>
  <c r="A424" i="3" s="1"/>
  <c r="A425" i="3" s="1"/>
  <c r="A426" i="3" s="1"/>
  <c r="A427" i="3" s="1"/>
  <c r="A428" i="3" s="1"/>
  <c r="A429" i="3" s="1"/>
  <c r="A430" i="3" s="1"/>
  <c r="A431" i="3" s="1"/>
  <c r="A432" i="3" s="1"/>
  <c r="A433" i="3" s="1"/>
  <c r="A434" i="3" s="1"/>
  <c r="A435" i="3" s="1"/>
  <c r="A436" i="3" s="1"/>
  <c r="A437" i="3" s="1"/>
  <c r="A438" i="3" s="1"/>
  <c r="A439" i="3" s="1"/>
  <c r="A440" i="3" s="1"/>
  <c r="A441" i="3" s="1"/>
  <c r="A442" i="3" s="1"/>
  <c r="A443" i="3" s="1"/>
  <c r="A444" i="3" s="1"/>
  <c r="A445" i="3" s="1"/>
  <c r="A446" i="3" s="1"/>
  <c r="A447" i="3" s="1"/>
  <c r="A448" i="3" s="1"/>
  <c r="A449" i="3" s="1"/>
  <c r="A450" i="3" s="1"/>
  <c r="A451" i="3" s="1"/>
  <c r="A452" i="3" s="1"/>
  <c r="A453" i="3" s="1"/>
  <c r="A454" i="3" s="1"/>
  <c r="A455" i="3" s="1"/>
  <c r="A456" i="3" s="1"/>
  <c r="A457" i="3" s="1"/>
  <c r="A458" i="3" s="1"/>
  <c r="A459" i="3" s="1"/>
  <c r="A460" i="3" s="1"/>
  <c r="A461" i="3" s="1"/>
  <c r="A462" i="3" s="1"/>
  <c r="A463" i="3" s="1"/>
  <c r="A464" i="3" s="1"/>
  <c r="A465" i="3" s="1"/>
  <c r="A466" i="3" s="1"/>
  <c r="A467" i="3" s="1"/>
  <c r="A468" i="3" s="1"/>
  <c r="A469" i="3" s="1"/>
  <c r="A470" i="3" s="1"/>
  <c r="A471" i="3" s="1"/>
  <c r="A472" i="3" s="1"/>
  <c r="A473" i="3" s="1"/>
  <c r="A474" i="3" s="1"/>
  <c r="A475" i="3" s="1"/>
  <c r="A476" i="3" s="1"/>
  <c r="A477" i="3" s="1"/>
  <c r="A478" i="3" s="1"/>
  <c r="A479" i="3" s="1"/>
  <c r="A480" i="3" s="1"/>
  <c r="A481" i="3" s="1"/>
  <c r="A482" i="3" s="1"/>
  <c r="A483" i="3" s="1"/>
  <c r="A484" i="3" s="1"/>
  <c r="A485" i="3" s="1"/>
  <c r="A486" i="3" s="1"/>
  <c r="A487" i="3" s="1"/>
  <c r="A488" i="3" s="1"/>
  <c r="A489" i="3" s="1"/>
  <c r="A490" i="3" s="1"/>
  <c r="A491" i="3" s="1"/>
  <c r="A492" i="3" s="1"/>
  <c r="A493" i="3" s="1"/>
  <c r="A494" i="3" s="1"/>
  <c r="A495" i="3" s="1"/>
  <c r="A496" i="3" s="1"/>
  <c r="A497" i="3" s="1"/>
  <c r="A498" i="3" s="1"/>
  <c r="A499" i="3" s="1"/>
  <c r="A500" i="3" s="1"/>
  <c r="A501" i="3" s="1"/>
  <c r="A502" i="3" s="1"/>
  <c r="A503" i="3" s="1"/>
  <c r="A504" i="3" s="1"/>
  <c r="A505" i="3" s="1"/>
  <c r="A506" i="3" s="1"/>
  <c r="A507" i="3" s="1"/>
  <c r="A508" i="3" s="1"/>
  <c r="A509" i="3" s="1"/>
  <c r="A510" i="3" s="1"/>
  <c r="A511" i="3" s="1"/>
  <c r="A512" i="3" s="1"/>
  <c r="A513" i="3" s="1"/>
  <c r="A514" i="3" s="1"/>
  <c r="A515" i="3" s="1"/>
  <c r="A516" i="3" s="1"/>
  <c r="A517" i="3" s="1"/>
  <c r="A518" i="3" s="1"/>
  <c r="A519" i="3" s="1"/>
  <c r="A520" i="3" s="1"/>
  <c r="A521" i="3" s="1"/>
  <c r="A522" i="3" s="1"/>
  <c r="A523" i="3" s="1"/>
  <c r="A524" i="3" s="1"/>
  <c r="A525" i="3" s="1"/>
  <c r="A526" i="3" s="1"/>
  <c r="A527" i="3" s="1"/>
  <c r="A528" i="3" s="1"/>
  <c r="A529" i="3" s="1"/>
  <c r="A530" i="3" s="1"/>
  <c r="A531" i="3" s="1"/>
  <c r="A532" i="3" s="1"/>
  <c r="A533" i="3" s="1"/>
  <c r="A534" i="3" s="1"/>
  <c r="A535" i="3" s="1"/>
  <c r="A536" i="3" s="1"/>
  <c r="A537" i="3" s="1"/>
  <c r="A538" i="3" s="1"/>
  <c r="A539" i="3" s="1"/>
  <c r="A540" i="3" s="1"/>
  <c r="A541" i="3" s="1"/>
  <c r="A542" i="3" s="1"/>
  <c r="A543" i="3" s="1"/>
  <c r="A544" i="3" s="1"/>
  <c r="A545" i="3" s="1"/>
  <c r="A546" i="3" s="1"/>
  <c r="A547" i="3" s="1"/>
  <c r="A548" i="3" s="1"/>
  <c r="A549" i="3" s="1"/>
  <c r="A550" i="3" s="1"/>
  <c r="A551" i="3" s="1"/>
  <c r="A552" i="3" s="1"/>
  <c r="A553" i="3" s="1"/>
  <c r="A554" i="3" s="1"/>
  <c r="A555" i="3" s="1"/>
  <c r="A556" i="3" s="1"/>
  <c r="A557" i="3" s="1"/>
  <c r="A558" i="3" s="1"/>
  <c r="A559" i="3" s="1"/>
  <c r="A560" i="3" s="1"/>
  <c r="A561" i="3" s="1"/>
  <c r="A562" i="3" s="1"/>
  <c r="A563" i="3" s="1"/>
  <c r="A564" i="3" s="1"/>
  <c r="A565" i="3" s="1"/>
  <c r="A566" i="3" s="1"/>
  <c r="A567" i="3" s="1"/>
  <c r="A568" i="3" s="1"/>
  <c r="A569" i="3" s="1"/>
  <c r="A570" i="3" s="1"/>
  <c r="A571" i="3" s="1"/>
  <c r="A572" i="3" s="1"/>
  <c r="A573" i="3" s="1"/>
  <c r="A574" i="3" s="1"/>
  <c r="A575" i="3" s="1"/>
  <c r="A576" i="3" s="1"/>
  <c r="A577" i="3" s="1"/>
  <c r="A578" i="3" s="1"/>
  <c r="A579" i="3" s="1"/>
  <c r="A580" i="3" s="1"/>
  <c r="A581" i="3" s="1"/>
  <c r="A582" i="3" s="1"/>
  <c r="A583" i="3" s="1"/>
  <c r="A584" i="3" s="1"/>
  <c r="A585" i="3" s="1"/>
  <c r="A586" i="3" s="1"/>
  <c r="A587" i="3" s="1"/>
  <c r="A588" i="3" s="1"/>
  <c r="A589" i="3" s="1"/>
  <c r="A590" i="3" s="1"/>
  <c r="A591" i="3" s="1"/>
  <c r="A592" i="3" s="1"/>
  <c r="A593" i="3" s="1"/>
  <c r="A594" i="3" s="1"/>
  <c r="A595" i="3" s="1"/>
  <c r="A596" i="3" s="1"/>
  <c r="A597" i="3" s="1"/>
  <c r="A598" i="3" s="1"/>
  <c r="A599" i="3" s="1"/>
  <c r="A600" i="3" s="1"/>
  <c r="A601" i="3" s="1"/>
  <c r="A602" i="3" s="1"/>
  <c r="A603" i="3" s="1"/>
  <c r="A604" i="3" s="1"/>
  <c r="A605" i="3" s="1"/>
  <c r="A606" i="3" s="1"/>
  <c r="A607" i="3" s="1"/>
  <c r="A608" i="3" s="1"/>
  <c r="A609" i="3" s="1"/>
  <c r="A610" i="3" s="1"/>
  <c r="A611" i="3" s="1"/>
  <c r="A612" i="3" s="1"/>
  <c r="A613" i="3" s="1"/>
  <c r="A614" i="3" s="1"/>
  <c r="A615" i="3" s="1"/>
  <c r="A616" i="3" s="1"/>
  <c r="A617" i="3" s="1"/>
  <c r="A618" i="3" s="1"/>
  <c r="A619" i="3" s="1"/>
  <c r="A620" i="3" s="1"/>
  <c r="A621" i="3" s="1"/>
  <c r="A622" i="3" s="1"/>
  <c r="A623" i="3" s="1"/>
  <c r="A624" i="3" s="1"/>
  <c r="A3" i="2"/>
  <c r="A4" i="2" s="1"/>
  <c r="A5" i="2" s="1"/>
  <c r="A6" i="2" s="1"/>
  <c r="A7" i="2" s="1"/>
  <c r="A8" i="2" s="1"/>
  <c r="A9" i="2" s="1"/>
  <c r="A10" i="2" s="1"/>
  <c r="A11" i="2" s="1"/>
  <c r="A12" i="2" s="1"/>
  <c r="A13" i="2" s="1"/>
  <c r="A14" i="2" s="1"/>
  <c r="A15" i="2" s="1"/>
  <c r="A16" i="2" s="1"/>
  <c r="A17" i="2" s="1"/>
  <c r="A18" i="2" s="1"/>
  <c r="A19" i="2" s="1"/>
  <c r="A20" i="2" s="1"/>
  <c r="A21" i="2" s="1"/>
  <c r="A22" i="2" s="1"/>
  <c r="A23" i="2" s="1"/>
  <c r="A24" i="2" s="1"/>
  <c r="A25" i="2" s="1"/>
  <c r="A26" i="2" s="1"/>
  <c r="A27" i="2" s="1"/>
  <c r="A28" i="2" s="1"/>
  <c r="A29" i="2" s="1"/>
  <c r="A30" i="2" s="1"/>
  <c r="A31" i="2" s="1"/>
  <c r="D6" i="4" l="1"/>
  <c r="D7" i="4" s="1"/>
  <c r="D8" i="4" s="1"/>
  <c r="D9" i="4" s="1"/>
  <c r="D10" i="4" s="1"/>
  <c r="D11" i="4" s="1"/>
  <c r="D12" i="4" s="1"/>
  <c r="D13" i="4" s="1"/>
  <c r="D14" i="4" s="1"/>
  <c r="D15" i="4" s="1"/>
  <c r="D16" i="4" s="1"/>
  <c r="D17" i="4" s="1"/>
  <c r="D18" i="4" s="1"/>
  <c r="D19" i="4" s="1"/>
  <c r="D20" i="4" s="1"/>
  <c r="D21" i="4" s="1"/>
  <c r="D22" i="4" s="1"/>
  <c r="D23" i="4" s="1"/>
  <c r="D24" i="4" s="1"/>
  <c r="D25" i="4" s="1"/>
  <c r="D26" i="4" s="1"/>
  <c r="D27" i="4" s="1"/>
  <c r="D28" i="4" s="1"/>
  <c r="D29" i="4" s="1"/>
  <c r="D30" i="4" s="1"/>
  <c r="D31" i="4" s="1"/>
  <c r="D32" i="4" s="1"/>
  <c r="D33" i="4" s="1"/>
  <c r="D34" i="4" s="1"/>
  <c r="D35" i="4" s="1"/>
  <c r="D36" i="4" s="1"/>
  <c r="D37" i="4" s="1"/>
  <c r="D38" i="4" s="1"/>
  <c r="D39" i="4" s="1"/>
  <c r="D40" i="4" s="1"/>
  <c r="D41" i="4" s="1"/>
  <c r="D42" i="4" s="1"/>
  <c r="D43" i="4" s="1"/>
  <c r="D44" i="4" s="1"/>
  <c r="D45" i="4" s="1"/>
  <c r="D46" i="4" s="1"/>
  <c r="D47" i="4" s="1"/>
  <c r="D48" i="4" s="1"/>
  <c r="D49" i="4" s="1"/>
  <c r="D50" i="4" s="1"/>
  <c r="D51" i="4" s="1"/>
  <c r="D52" i="4" s="1"/>
  <c r="D53" i="4" s="1"/>
  <c r="D54" i="4" s="1"/>
  <c r="D55" i="4" s="1"/>
  <c r="D56" i="4" s="1"/>
  <c r="D57" i="4" s="1"/>
  <c r="D58" i="4" s="1"/>
  <c r="D59" i="4" s="1"/>
  <c r="D60" i="4" s="1"/>
  <c r="D61" i="4" s="1"/>
  <c r="D62" i="4" s="1"/>
  <c r="D63" i="4" s="1"/>
  <c r="D64" i="4" s="1"/>
  <c r="D65" i="4" s="1"/>
  <c r="D66" i="4" s="1"/>
  <c r="D67" i="4" s="1"/>
  <c r="D68" i="4" s="1"/>
  <c r="D69" i="4" s="1"/>
  <c r="D70" i="4" s="1"/>
  <c r="D71" i="4" s="1"/>
  <c r="D72" i="4" s="1"/>
  <c r="D73" i="4" s="1"/>
  <c r="D74" i="4" s="1"/>
  <c r="D75" i="4" s="1"/>
  <c r="D76" i="4" s="1"/>
  <c r="D77" i="4" s="1"/>
  <c r="D78" i="4" s="1"/>
  <c r="D79" i="4" s="1"/>
  <c r="D80" i="4" s="1"/>
  <c r="D81" i="4" s="1"/>
  <c r="D82" i="4" s="1"/>
  <c r="D83" i="4" s="1"/>
  <c r="D84" i="4" s="1"/>
  <c r="D85" i="4" s="1"/>
  <c r="D86" i="4" s="1"/>
  <c r="D87" i="4" s="1"/>
  <c r="D88" i="4" s="1"/>
  <c r="D89" i="4" s="1"/>
  <c r="D90" i="4" s="1"/>
  <c r="D91" i="4" s="1"/>
  <c r="D92" i="4" s="1"/>
  <c r="D93" i="4" s="1"/>
  <c r="D94" i="4" s="1"/>
  <c r="D95" i="4" s="1"/>
  <c r="D96" i="4" s="1"/>
  <c r="D97" i="4" s="1"/>
  <c r="D98" i="4" s="1"/>
  <c r="D99" i="4" s="1"/>
  <c r="D100" i="4" s="1"/>
  <c r="D101" i="4" s="1"/>
  <c r="D102" i="4" s="1"/>
  <c r="D103" i="4" s="1"/>
  <c r="D104" i="4" s="1"/>
  <c r="D105" i="4" s="1"/>
  <c r="D106" i="4" s="1"/>
  <c r="D107" i="4" s="1"/>
  <c r="D108" i="4" s="1"/>
  <c r="D109" i="4" s="1"/>
  <c r="D110" i="4" s="1"/>
  <c r="D111" i="4" s="1"/>
  <c r="D112" i="4" s="1"/>
  <c r="D113" i="4" s="1"/>
  <c r="D114" i="4" s="1"/>
  <c r="D115" i="4" s="1"/>
  <c r="D116" i="4" s="1"/>
  <c r="D117" i="4" s="1"/>
  <c r="D118" i="4" s="1"/>
  <c r="D119" i="4" s="1"/>
  <c r="D120" i="4" s="1"/>
  <c r="D121" i="4" s="1"/>
  <c r="D122" i="4" s="1"/>
  <c r="D123" i="4" s="1"/>
  <c r="D124" i="4" s="1"/>
  <c r="D125" i="4" s="1"/>
  <c r="D126" i="4" s="1"/>
  <c r="D127" i="4" s="1"/>
  <c r="D128" i="4" s="1"/>
  <c r="D129" i="4" s="1"/>
  <c r="D130" i="4" s="1"/>
  <c r="D131" i="4" s="1"/>
  <c r="D132" i="4" s="1"/>
  <c r="D133" i="4" s="1"/>
  <c r="D134" i="4" s="1"/>
  <c r="D135" i="4" s="1"/>
  <c r="D136" i="4" s="1"/>
  <c r="D137" i="4" s="1"/>
  <c r="D138" i="4" s="1"/>
  <c r="D139" i="4" s="1"/>
  <c r="D140" i="4" s="1"/>
  <c r="D141" i="4" s="1"/>
  <c r="D142" i="4" s="1"/>
  <c r="D143" i="4" s="1"/>
  <c r="D144" i="4" s="1"/>
  <c r="D145" i="4" s="1"/>
  <c r="D146" i="4" s="1"/>
  <c r="D147" i="4" s="1"/>
  <c r="D148" i="4" s="1"/>
  <c r="D149" i="4" s="1"/>
  <c r="D150" i="4" s="1"/>
  <c r="D151" i="4" s="1"/>
  <c r="D152" i="4" s="1"/>
  <c r="D153" i="4" s="1"/>
  <c r="D154" i="4" s="1"/>
  <c r="D155" i="4" s="1"/>
  <c r="D156" i="4" s="1"/>
  <c r="D157" i="4" s="1"/>
  <c r="D158" i="4" s="1"/>
  <c r="D159" i="4" s="1"/>
  <c r="D160" i="4" s="1"/>
  <c r="D161" i="4" s="1"/>
  <c r="D162" i="4" s="1"/>
  <c r="D163" i="4" s="1"/>
  <c r="D164" i="4" s="1"/>
  <c r="D165" i="4" s="1"/>
  <c r="D166" i="4" s="1"/>
  <c r="D167" i="4" s="1"/>
  <c r="D168" i="4" s="1"/>
  <c r="D169" i="4" s="1"/>
  <c r="D170" i="4" s="1"/>
  <c r="D171" i="4" s="1"/>
  <c r="D172" i="4" s="1"/>
  <c r="D173" i="4" s="1"/>
  <c r="D174" i="4" s="1"/>
  <c r="D175" i="4" s="1"/>
  <c r="D176" i="4" s="1"/>
  <c r="D177" i="4" s="1"/>
  <c r="D178" i="4" s="1"/>
  <c r="D179" i="4" s="1"/>
  <c r="D180" i="4" s="1"/>
  <c r="D181" i="4" s="1"/>
  <c r="D182" i="4" s="1"/>
  <c r="D183" i="4" s="1"/>
  <c r="D184" i="4" s="1"/>
  <c r="D185" i="4" s="1"/>
  <c r="D186" i="4" s="1"/>
  <c r="D187" i="4" s="1"/>
  <c r="D188" i="4" s="1"/>
  <c r="D189" i="4" s="1"/>
  <c r="D190" i="4" s="1"/>
  <c r="D191" i="4" s="1"/>
  <c r="D192" i="4" s="1"/>
  <c r="D193" i="4" s="1"/>
  <c r="D194" i="4" s="1"/>
  <c r="D195" i="4" s="1"/>
  <c r="D196" i="4" s="1"/>
  <c r="D197" i="4" s="1"/>
  <c r="D198" i="4" s="1"/>
  <c r="D199" i="4" s="1"/>
  <c r="D200" i="4" s="1"/>
  <c r="D201" i="4" s="1"/>
  <c r="D202" i="4" s="1"/>
  <c r="D203" i="4" s="1"/>
  <c r="D204" i="4" s="1"/>
  <c r="D205" i="4" s="1"/>
  <c r="D206" i="4" s="1"/>
  <c r="D207" i="4" s="1"/>
  <c r="D208" i="4" s="1"/>
  <c r="D209" i="4" s="1"/>
  <c r="D210" i="4" s="1"/>
  <c r="D211" i="4" s="1"/>
  <c r="D212" i="4" s="1"/>
  <c r="D213" i="4" s="1"/>
  <c r="D214" i="4" s="1"/>
  <c r="D215" i="4" s="1"/>
  <c r="D216" i="4" s="1"/>
  <c r="D217" i="4" s="1"/>
  <c r="D218" i="4" s="1"/>
  <c r="D219" i="4" s="1"/>
  <c r="D220" i="4" s="1"/>
  <c r="D221" i="4" s="1"/>
  <c r="D222" i="4" s="1"/>
  <c r="D223" i="4" s="1"/>
  <c r="D224" i="4" s="1"/>
  <c r="D225" i="4" s="1"/>
  <c r="D226" i="4" s="1"/>
  <c r="D227" i="4" s="1"/>
  <c r="D228" i="4" s="1"/>
  <c r="D229" i="4" s="1"/>
  <c r="D230" i="4" s="1"/>
  <c r="D231" i="4" s="1"/>
  <c r="D232" i="4" s="1"/>
  <c r="D233" i="4" s="1"/>
  <c r="D234" i="4" s="1"/>
  <c r="D235" i="4" s="1"/>
  <c r="D236" i="4" s="1"/>
  <c r="D237" i="4" s="1"/>
  <c r="D238" i="4" s="1"/>
  <c r="D239" i="4" s="1"/>
  <c r="D240" i="4" s="1"/>
  <c r="D241" i="4" s="1"/>
  <c r="D242" i="4" s="1"/>
  <c r="D243" i="4" s="1"/>
  <c r="D244" i="4" s="1"/>
  <c r="D245" i="4" s="1"/>
  <c r="D246" i="4" s="1"/>
  <c r="D247" i="4" s="1"/>
  <c r="D248" i="4" s="1"/>
  <c r="D249" i="4" s="1"/>
  <c r="D250" i="4" s="1"/>
  <c r="D251" i="4" s="1"/>
  <c r="D252" i="4" s="1"/>
  <c r="D253" i="4" s="1"/>
  <c r="D254" i="4" s="1"/>
  <c r="D255" i="4" s="1"/>
  <c r="D256" i="4" s="1"/>
  <c r="D257" i="4" s="1"/>
  <c r="D258" i="4" s="1"/>
  <c r="D259" i="4" s="1"/>
  <c r="D260" i="4" s="1"/>
  <c r="D261" i="4" s="1"/>
  <c r="D262" i="4" s="1"/>
  <c r="D263" i="4" s="1"/>
  <c r="D264" i="4" s="1"/>
  <c r="D265" i="4" s="1"/>
  <c r="D266" i="4" s="1"/>
  <c r="D267" i="4" s="1"/>
  <c r="D268" i="4" s="1"/>
  <c r="D269" i="4" s="1"/>
  <c r="D270" i="4" s="1"/>
  <c r="D271" i="4" s="1"/>
  <c r="D272" i="4" s="1"/>
  <c r="D273" i="4" s="1"/>
  <c r="D274" i="4" s="1"/>
  <c r="D275" i="4" s="1"/>
  <c r="D276" i="4" s="1"/>
  <c r="D277" i="4" s="1"/>
  <c r="D278" i="4" s="1"/>
  <c r="D279" i="4" s="1"/>
  <c r="D280" i="4" s="1"/>
  <c r="D281" i="4" s="1"/>
  <c r="D282" i="4" s="1"/>
  <c r="D283" i="4" s="1"/>
  <c r="D284" i="4" s="1"/>
  <c r="D285" i="4" s="1"/>
  <c r="D286" i="4" s="1"/>
  <c r="D287" i="4" s="1"/>
  <c r="D288" i="4" s="1"/>
  <c r="D289" i="4" s="1"/>
  <c r="D290" i="4" s="1"/>
  <c r="D291" i="4" s="1"/>
  <c r="D292" i="4" s="1"/>
  <c r="D293" i="4" s="1"/>
  <c r="D294" i="4" s="1"/>
  <c r="D295" i="4" s="1"/>
  <c r="D296" i="4" s="1"/>
  <c r="D297" i="4" s="1"/>
  <c r="D298" i="4" s="1"/>
  <c r="D299" i="4" s="1"/>
  <c r="D300" i="4" s="1"/>
  <c r="D301" i="4" s="1"/>
  <c r="D302" i="4" s="1"/>
  <c r="D303" i="4" s="1"/>
  <c r="D304" i="4" s="1"/>
  <c r="D305" i="4" s="1"/>
  <c r="D306" i="4" s="1"/>
  <c r="D307" i="4" s="1"/>
  <c r="D308" i="4" s="1"/>
  <c r="D309" i="4" s="1"/>
  <c r="D310" i="4" s="1"/>
  <c r="D311" i="4" s="1"/>
  <c r="D312" i="4" s="1"/>
  <c r="D313" i="4" s="1"/>
  <c r="D314" i="4" s="1"/>
  <c r="D315" i="4" s="1"/>
  <c r="D316" i="4" s="1"/>
  <c r="D317" i="4" s="1"/>
  <c r="D318" i="4" s="1"/>
  <c r="D319" i="4" s="1"/>
  <c r="D320" i="4" s="1"/>
  <c r="D321" i="4" s="1"/>
  <c r="D322" i="4" s="1"/>
  <c r="D323" i="4" s="1"/>
  <c r="D324" i="4" s="1"/>
  <c r="D325" i="4" s="1"/>
  <c r="D326" i="4" s="1"/>
  <c r="D327" i="4" s="1"/>
  <c r="D328" i="4" s="1"/>
  <c r="D329" i="4" s="1"/>
  <c r="D330" i="4" s="1"/>
  <c r="D331" i="4" s="1"/>
  <c r="D332" i="4" s="1"/>
  <c r="D333" i="4" s="1"/>
  <c r="D334" i="4" s="1"/>
  <c r="D335" i="4" s="1"/>
  <c r="D336" i="4" s="1"/>
  <c r="D337" i="4" s="1"/>
  <c r="D338" i="4" s="1"/>
  <c r="D339" i="4" s="1"/>
  <c r="D340" i="4" s="1"/>
  <c r="D341" i="4" s="1"/>
  <c r="D342" i="4" s="1"/>
  <c r="D343" i="4" s="1"/>
  <c r="D344" i="4" s="1"/>
  <c r="D345" i="4" s="1"/>
  <c r="D346" i="4" s="1"/>
  <c r="D347" i="4" s="1"/>
  <c r="D348" i="4" s="1"/>
  <c r="D349" i="4" s="1"/>
  <c r="D350" i="4" s="1"/>
  <c r="D351" i="4" s="1"/>
  <c r="D352" i="4" s="1"/>
  <c r="D353" i="4" s="1"/>
  <c r="D354" i="4" s="1"/>
  <c r="D355" i="4" s="1"/>
  <c r="D356" i="4" s="1"/>
  <c r="D357" i="4" s="1"/>
  <c r="D358" i="4" s="1"/>
  <c r="D359" i="4" s="1"/>
  <c r="D360" i="4" s="1"/>
  <c r="D361" i="4" s="1"/>
  <c r="D362" i="4" s="1"/>
  <c r="D363" i="4" s="1"/>
  <c r="D364" i="4" s="1"/>
  <c r="D365" i="4" s="1"/>
  <c r="D366" i="4" s="1"/>
  <c r="D367" i="4" s="1"/>
  <c r="D368" i="4" s="1"/>
  <c r="D369" i="4" s="1"/>
  <c r="D370" i="4" s="1"/>
  <c r="D371" i="4" s="1"/>
  <c r="D372" i="4" s="1"/>
  <c r="D373" i="4" s="1"/>
  <c r="D374" i="4" s="1"/>
  <c r="D375" i="4" s="1"/>
  <c r="D376" i="4" s="1"/>
  <c r="D377" i="4" s="1"/>
  <c r="D378" i="4" s="1"/>
  <c r="D379" i="4" s="1"/>
  <c r="D380" i="4" s="1"/>
  <c r="D381" i="4" s="1"/>
  <c r="D382" i="4" s="1"/>
  <c r="D383" i="4" s="1"/>
  <c r="D384" i="4" s="1"/>
  <c r="D385" i="4" s="1"/>
  <c r="D386" i="4" s="1"/>
  <c r="D387" i="4" s="1"/>
  <c r="D388" i="4" s="1"/>
  <c r="D389" i="4" s="1"/>
  <c r="D390" i="4" s="1"/>
  <c r="D391" i="4" s="1"/>
  <c r="D392" i="4" s="1"/>
  <c r="D393" i="4" s="1"/>
  <c r="D394" i="4" s="1"/>
  <c r="D395" i="4" s="1"/>
  <c r="D396" i="4" s="1"/>
  <c r="D397" i="4" s="1"/>
  <c r="D398" i="4" s="1"/>
  <c r="D399" i="4" s="1"/>
  <c r="D400" i="4" s="1"/>
  <c r="D401" i="4" s="1"/>
  <c r="D402" i="4" s="1"/>
  <c r="D403" i="4" s="1"/>
  <c r="D404" i="4" s="1"/>
  <c r="D405" i="4" s="1"/>
  <c r="D406" i="4" s="1"/>
  <c r="D407" i="4" s="1"/>
  <c r="D408" i="4" s="1"/>
  <c r="D409" i="4" s="1"/>
  <c r="D410" i="4" s="1"/>
  <c r="D411" i="4" s="1"/>
  <c r="D412" i="4" s="1"/>
  <c r="D413" i="4" s="1"/>
  <c r="D414" i="4" s="1"/>
  <c r="D415" i="4" s="1"/>
  <c r="D416" i="4" s="1"/>
  <c r="D417" i="4" s="1"/>
  <c r="D418" i="4" s="1"/>
  <c r="D419" i="4" s="1"/>
  <c r="D420" i="4" s="1"/>
  <c r="D421" i="4" s="1"/>
  <c r="D422" i="4" s="1"/>
  <c r="D423" i="4" s="1"/>
  <c r="D424" i="4" s="1"/>
  <c r="D425" i="4" s="1"/>
  <c r="D426" i="4" s="1"/>
  <c r="D427" i="4" s="1"/>
  <c r="D428" i="4" s="1"/>
  <c r="D429" i="4" s="1"/>
  <c r="D430" i="4" s="1"/>
  <c r="D431" i="4" s="1"/>
  <c r="D432" i="4" s="1"/>
  <c r="D433" i="4" s="1"/>
  <c r="D434" i="4" s="1"/>
  <c r="D435" i="4" s="1"/>
  <c r="D436" i="4" s="1"/>
  <c r="D437" i="4" s="1"/>
  <c r="D438" i="4" s="1"/>
  <c r="D439" i="4" s="1"/>
  <c r="D440" i="4" s="1"/>
  <c r="D441" i="4" s="1"/>
  <c r="D442" i="4" s="1"/>
  <c r="D443" i="4" s="1"/>
  <c r="D444" i="4" s="1"/>
  <c r="D445" i="4" s="1"/>
  <c r="D446" i="4" s="1"/>
  <c r="D447" i="4" s="1"/>
  <c r="D448" i="4" s="1"/>
  <c r="D449" i="4" s="1"/>
  <c r="D450" i="4" s="1"/>
  <c r="D451" i="4" s="1"/>
  <c r="D452" i="4" s="1"/>
  <c r="D453" i="4" s="1"/>
  <c r="D454" i="4" s="1"/>
  <c r="D455" i="4" s="1"/>
  <c r="D456" i="4" s="1"/>
  <c r="D457" i="4" s="1"/>
  <c r="D458" i="4" s="1"/>
  <c r="D459" i="4" s="1"/>
  <c r="D460" i="4" s="1"/>
  <c r="D461" i="4" s="1"/>
  <c r="D462" i="4" s="1"/>
  <c r="D463" i="4" s="1"/>
  <c r="D464" i="4" s="1"/>
  <c r="D465" i="4" s="1"/>
  <c r="D466" i="4" s="1"/>
  <c r="D467" i="4" s="1"/>
  <c r="D468" i="4" s="1"/>
  <c r="D469" i="4" s="1"/>
  <c r="D470" i="4" s="1"/>
  <c r="D471" i="4" s="1"/>
  <c r="D472" i="4" s="1"/>
  <c r="D473" i="4" s="1"/>
  <c r="D474" i="4" s="1"/>
  <c r="D475" i="4" s="1"/>
  <c r="D476" i="4" l="1"/>
  <c r="D477" i="4" l="1"/>
  <c r="D478" i="4" l="1"/>
  <c r="D479" i="4" l="1"/>
  <c r="D480" i="4" l="1"/>
  <c r="I5" i="4"/>
</calcChain>
</file>

<file path=xl/sharedStrings.xml><?xml version="1.0" encoding="utf-8"?>
<sst xmlns="http://schemas.openxmlformats.org/spreadsheetml/2006/main" count="14375" uniqueCount="6001">
  <si>
    <t>("Labor Market " OR "Employment market" OR "Job market" OR "Workforce market" OR  "Occupational market" OR "Human capital market" OR "Employment sector")  (Topic) AND ("Skill gap*" OR "reskilling" OR "upskilling" OR "In-demand skill*" OR "Workforce skill*" OR "Soft skill*" OR "Technical skill*" OR "Future skill*" OR "Industry 4.0 skill*" OR "Industry 4.0 competencies" OR "Workplace skill*" OR "Emerging skill*")  (Topic) and 1975-2024 (Publication Years)</t>
  </si>
  <si>
    <t xml:space="preserve">Timespan: 1975-2024. </t>
  </si>
  <si>
    <t>Results found</t>
  </si>
  <si>
    <t>Sum of the Times Cited</t>
  </si>
  <si>
    <t>Average Citations per Item</t>
  </si>
  <si>
    <t>h-index</t>
  </si>
  <si>
    <t>Title</t>
  </si>
  <si>
    <t>Authors</t>
  </si>
  <si>
    <t>Corporate Authors</t>
  </si>
  <si>
    <t>Editors</t>
  </si>
  <si>
    <t>Book Editors</t>
  </si>
  <si>
    <t>Source Title</t>
  </si>
  <si>
    <t>Publication Date</t>
  </si>
  <si>
    <t>Publication Year</t>
  </si>
  <si>
    <t>Volume</t>
  </si>
  <si>
    <t>Issue</t>
  </si>
  <si>
    <t>Part Number</t>
  </si>
  <si>
    <t>Supplement</t>
  </si>
  <si>
    <t>Special Issue</t>
  </si>
  <si>
    <t>Beginning Page</t>
  </si>
  <si>
    <t>Ending Page</t>
  </si>
  <si>
    <t>Article Number</t>
  </si>
  <si>
    <t>DOI</t>
  </si>
  <si>
    <t>Conference Title</t>
  </si>
  <si>
    <t>Conference Date</t>
  </si>
  <si>
    <t>Total Citations</t>
  </si>
  <si>
    <t>Average per Year</t>
  </si>
  <si>
    <t>Hard evidence on soft skills</t>
  </si>
  <si>
    <t>Heckman, Jaws J.; Kautz, Tim</t>
  </si>
  <si>
    <t/>
  </si>
  <si>
    <t>LABOUR ECONOMICS</t>
  </si>
  <si>
    <t>AUG 2012</t>
  </si>
  <si>
    <t>SI</t>
  </si>
  <si>
    <t>10.1016/j.labeco.2012.05.014</t>
  </si>
  <si>
    <t>Annual Meeting of the European-Association-of-Labour-Economists/Adam Smith Lecture</t>
  </si>
  <si>
    <t>SEP, 2011</t>
  </si>
  <si>
    <t>The role of premarket factors in black-white wage differences</t>
  </si>
  <si>
    <t>Neal, DA; Johnson, WR</t>
  </si>
  <si>
    <t>JOURNAL OF POLITICAL ECONOMY</t>
  </si>
  <si>
    <t>OCT 1996</t>
  </si>
  <si>
    <t>10.1086/262045</t>
  </si>
  <si>
    <t>Big Data Investment, Skills, and Firm Value</t>
  </si>
  <si>
    <t>Tambe, Prasanna</t>
  </si>
  <si>
    <t>MANAGEMENT SCIENCE</t>
  </si>
  <si>
    <t>JUN 2014</t>
  </si>
  <si>
    <t>10.1287/mnsc.2014.1899</t>
  </si>
  <si>
    <t>An exploratory study of factors affecting undergraduate employability</t>
  </si>
  <si>
    <t>Finch, David J.; Hamilton, Leah K.; Baldwin, Riley; Zehner, Mark</t>
  </si>
  <si>
    <t>EDUCATION AND TRAINING</t>
  </si>
  <si>
    <t>+</t>
  </si>
  <si>
    <t>10.1108/ET-07-2012-0077</t>
  </si>
  <si>
    <t>SKILL GAPS, SKILL SHORTAGES, AND SKILL MISMATCHES: EVIDENCE AND ARGUMENTS FOR THE UNITED STATES</t>
  </si>
  <si>
    <t>Cappelli, Peter H.</t>
  </si>
  <si>
    <t>ILR REVIEW</t>
  </si>
  <si>
    <t>MAR 2015</t>
  </si>
  <si>
    <t>10.1177/0019793914564961</t>
  </si>
  <si>
    <t>Estimating Industry 4.0 impact on job profiles and skills using text mining</t>
  </si>
  <si>
    <t>Fareri, S.; Fantoni, G.; Chiarello, F.; Coli, E.; Binda, A.</t>
  </si>
  <si>
    <t>COMPUTERS IN INDUSTRY</t>
  </si>
  <si>
    <t>JUN 2020</t>
  </si>
  <si>
    <t>10.1016/j.compind.2020.103222</t>
  </si>
  <si>
    <t>Active learning in engineering education. A review of fundamentals, best practices and experiences</t>
  </si>
  <si>
    <t>Hernandez-de-Menendez, Marcela; Vallejo Guevara, Antonio; Tudon Martinez, Juan Carlos; Hernandez Alcantara, Diana; Morales-Menendez, Ruben</t>
  </si>
  <si>
    <t>INTERNATIONAL JOURNAL OF INTERACTIVE DESIGN AND MANUFACTURING - IJIDEM</t>
  </si>
  <si>
    <t>SEP 2019</t>
  </si>
  <si>
    <t>10.1007/s12008-019-00557-8</t>
  </si>
  <si>
    <t>SKILLS MISMATCH: CONCEPTS, MEASUREMENT AND POLICY APPROACHES</t>
  </si>
  <si>
    <t>McGuinness, Seamus; Pouliakas, Konstantinos; Redmond, Paul</t>
  </si>
  <si>
    <t>JOURNAL OF ECONOMIC SURVEYS</t>
  </si>
  <si>
    <t>SEP 2018</t>
  </si>
  <si>
    <t>10.1111/joes.12254</t>
  </si>
  <si>
    <t>Four field-related educational resources and their impact on labor, consumption, and sociopolitical orientation</t>
  </si>
  <si>
    <t>van de Werfhorst, HG; Kraaykamp, G</t>
  </si>
  <si>
    <t>SOCIOLOGY OF EDUCATION</t>
  </si>
  <si>
    <t>OCT 2001</t>
  </si>
  <si>
    <t>10.2307/2673137</t>
  </si>
  <si>
    <t>Employability: a contemporary review for higher education stakeholders</t>
  </si>
  <si>
    <t>Small, Lynlea; Shacklock, Kate; Marchant, Teresa</t>
  </si>
  <si>
    <t>JOURNAL OF VOCATIONAL EDUCATION AND TRAINING</t>
  </si>
  <si>
    <t>10.1080/13636820.2017.1394355</t>
  </si>
  <si>
    <t>Mapping of Crowdsourcing in Health: Systematic Review</t>
  </si>
  <si>
    <t>Crequit, Perrine; Mansouri, Ghizlene; Benchoufi, Mehdi; Vivot, Alexandre; Ravaud, Philippe</t>
  </si>
  <si>
    <t>JOURNAL OF MEDICAL INTERNET RESEARCH</t>
  </si>
  <si>
    <t>MAY 2018</t>
  </si>
  <si>
    <t>e187</t>
  </si>
  <si>
    <t>10.2196/jmir.9330</t>
  </si>
  <si>
    <t>Is it better to invest in hard or soft skills?</t>
  </si>
  <si>
    <t>Balcar, Jiri</t>
  </si>
  <si>
    <t>ECONOMIC AND LABOUR RELATIONS REVIEW</t>
  </si>
  <si>
    <t>DEC 2016</t>
  </si>
  <si>
    <t>10.1177/1035304616674613</t>
  </si>
  <si>
    <t>Graduate readiness for the employment market of the 4th industrial revolution The development of soft employability skills</t>
  </si>
  <si>
    <t>Teng, Weili; Ma, Chenwei; Pahlevansharif, Saeed; Turner, Jason James</t>
  </si>
  <si>
    <t>10.1108/ET-07-2018-0154</t>
  </si>
  <si>
    <t>Skill discrepancies between research, education, and jobs reveal the critical need to supply soft skills for the data economy</t>
  </si>
  <si>
    <t>Boerner, Katy; Scrivner, Olga; Gallant, Mike; Ma, Shutian; Liu, Xiaozhong; Chewning, Keith; Wu, Lingfei; Evans, James A.</t>
  </si>
  <si>
    <t>PROCEEDINGS OF THE NATIONAL ACADEMY OF SCIENCES OF THE UNITED STATES OF AMERICA</t>
  </si>
  <si>
    <t>DEC 11 2018</t>
  </si>
  <si>
    <t>10.1073/pnas.1804247115</t>
  </si>
  <si>
    <t>Labor Market Flexibility and Inequality: The Changing Skill-Based Temporary Employment and Unemployment Risks in Europe</t>
  </si>
  <si>
    <t>Gebel, Michael; Giesecke, Johannes</t>
  </si>
  <si>
    <t>SOCIAL FORCES</t>
  </si>
  <si>
    <t>SEP 2011</t>
  </si>
  <si>
    <t>10.1093/sf/90.1.17</t>
  </si>
  <si>
    <t>Labor market discrimination and racial differences in premarket factors</t>
  </si>
  <si>
    <t>Carneiro, P; Heckman, JJ; Masterov, DV</t>
  </si>
  <si>
    <t>JOURNAL OF LAW &amp; ECONOMICS</t>
  </si>
  <si>
    <t>APR 2005</t>
  </si>
  <si>
    <t>10.1086/426878</t>
  </si>
  <si>
    <t>The economic returns to field of study and competencies among higher education graduates in Ireland</t>
  </si>
  <si>
    <t>Kelly, Elish; O'Connell, Philip J.; Smyth, Emer</t>
  </si>
  <si>
    <t>ECONOMICS OF EDUCATION REVIEW</t>
  </si>
  <si>
    <t>AUG 2010</t>
  </si>
  <si>
    <t>10.1016/j.econedurev.2009.11.001</t>
  </si>
  <si>
    <t>Graduate Student's Guide to Necessary Skills for Nonacademic Conservation Careers</t>
  </si>
  <si>
    <t>Blickley, Jessica L.; Deiner, Kristy; Garbach, Kelly; Lacher, Iara; Meek, Mariah H.; Porensky, Lauren M.; Wilkerson, Marit L.; Winford, Eric M.; Schwartz, Mark W.</t>
  </si>
  <si>
    <t>CONSERVATION BIOLOGY</t>
  </si>
  <si>
    <t>FEB 2013</t>
  </si>
  <si>
    <t>10.1111/j.1523-1739.2012.01956.x</t>
  </si>
  <si>
    <t>Skills on the Move: Rethinking the Relationship Between Human Capital and Immigrant Economic Mobility</t>
  </si>
  <si>
    <t>Hagan, Jacqueline; Lowe, Nichola; Quingla, Christian</t>
  </si>
  <si>
    <t>WORK AND OCCUPATIONS</t>
  </si>
  <si>
    <t>MAY 2011</t>
  </si>
  <si>
    <t>10.1177/0730888410397918</t>
  </si>
  <si>
    <t>AI meets labor market: Exploring the link between automation and skills</t>
  </si>
  <si>
    <t>Colombo, Emilio; Mercorio, Fabio; Mezzanzanica, Mario</t>
  </si>
  <si>
    <t>INFORMATION ECONOMICS AND POLICY</t>
  </si>
  <si>
    <t>JUN 2019</t>
  </si>
  <si>
    <t>10.1016/j.infoecopol.2019.05.003</t>
  </si>
  <si>
    <t>Immigrants and the labor market</t>
  </si>
  <si>
    <t>Smith, JP</t>
  </si>
  <si>
    <t>JOURNAL OF LABOR ECONOMICS</t>
  </si>
  <si>
    <t>APR 2006</t>
  </si>
  <si>
    <t>10.1086/499971</t>
  </si>
  <si>
    <t>9th Annual Meeting of the Society-of-Labor-Economists</t>
  </si>
  <si>
    <t>MAY, 2004</t>
  </si>
  <si>
    <t>Discrimination, Complexity, and the Public/Private Sector Question</t>
  </si>
  <si>
    <t>Byron, Reginald A.</t>
  </si>
  <si>
    <t>NOV 2010</t>
  </si>
  <si>
    <t>10.1177/0730888410380152</t>
  </si>
  <si>
    <t>African American Men and the Experience of Employment Discrimination</t>
  </si>
  <si>
    <t>Mong, Sherry N.; Roscigno, Vincent J.</t>
  </si>
  <si>
    <t>QUALITATIVE SOCIOLOGY</t>
  </si>
  <si>
    <t>MAR 2010</t>
  </si>
  <si>
    <t>10.1007/s11133-009-9142-4</t>
  </si>
  <si>
    <t>Educational upgrading, structural change and the task composition of jobs in Europe</t>
  </si>
  <si>
    <t>Hardy, Wojciech; Keister, Roma; Lewandowski, Piotr</t>
  </si>
  <si>
    <t>ECONOMICS OF TRANSITION</t>
  </si>
  <si>
    <t>APR 2018</t>
  </si>
  <si>
    <t>10.1111/ecot.12145</t>
  </si>
  <si>
    <t>Assessing the suitability of student interactions from Moodle data logs as predictors of cross-curricular competencies</t>
  </si>
  <si>
    <t>Iglesias-Pradas, Santiago; Ruiz-de-Azcarate, Carmen; Agudo-Peregrina, Angel F.</t>
  </si>
  <si>
    <t>COMPUTERS IN HUMAN BEHAVIOR</t>
  </si>
  <si>
    <t>JUN 2015</t>
  </si>
  <si>
    <t>10.1016/j.chb.2014.09.065</t>
  </si>
  <si>
    <t>Balancing skills in the digital transformation era: The future of jobs and the role of higher education</t>
  </si>
  <si>
    <t>Goulart, Vera G.; Liboni, Lara Bartocci; Cezarino, Luciana Oranges</t>
  </si>
  <si>
    <t>INDUSTRY AND HIGHER EDUCATION</t>
  </si>
  <si>
    <t>APR 2022</t>
  </si>
  <si>
    <t>10.1177/09504222211029796</t>
  </si>
  <si>
    <t>MORE THAN JUST GOOD GRADES: CANDIDATES' PERCEPTIONS ABOUT THE SKILLS AND ATTRIBUTES EMPLOYERS SEEK IN NEW GRADUATES</t>
  </si>
  <si>
    <t>Salas Velasco, Manuel</t>
  </si>
  <si>
    <t>JOURNAL OF BUSINESS ECONOMICS AND MANAGEMENT</t>
  </si>
  <si>
    <t>JUN 2012</t>
  </si>
  <si>
    <t>10.3846/16111699.2011.620150</t>
  </si>
  <si>
    <t>Development and Initial Validation of a Perceived Future Employability Scale for Young Adults</t>
  </si>
  <si>
    <t>Gunawan, William; Creed, Peter A.; Glendon, A. Ian</t>
  </si>
  <si>
    <t>JOURNAL OF CAREER ASSESSMENT</t>
  </si>
  <si>
    <t>NOV 2019</t>
  </si>
  <si>
    <t>10.1177/1069072718788645</t>
  </si>
  <si>
    <t>A dynamic capabilities view of employability Exploring the drivers of competitive advantage for university graduates</t>
  </si>
  <si>
    <t>Finch, David J.; Peacock, Melanie; Levallet, Nadege; Foster, William</t>
  </si>
  <si>
    <t>10.1108/ET-02-2015-0013</t>
  </si>
  <si>
    <t>SKILL: A System for Skill Identification and Normalization</t>
  </si>
  <si>
    <t>Zhao, Meng; Javed, Faizan; Jacob, Ferosh; McNair, Matt</t>
  </si>
  <si>
    <t>PROCEEDINGS OF THE TWENTY-NINTH AAAI CONFERENCE ON ARTIFICIAL INTELLIGENCE</t>
  </si>
  <si>
    <t>29th Association-for-the-Advancement-of-Artificial-Intelligence (AAAI) Conference on Artificial Intelligence</t>
  </si>
  <si>
    <t>JAN 25-30, 2015</t>
  </si>
  <si>
    <t>Soft skills, hard skills: What matters most? Evidence from job postings</t>
  </si>
  <si>
    <t>Lyu, Wenjing; Liu, Jin</t>
  </si>
  <si>
    <t>APPLIED ENERGY</t>
  </si>
  <si>
    <t>OCT 15 2021</t>
  </si>
  <si>
    <t>10.1016/j.apenergy.2021.117307</t>
  </si>
  <si>
    <t>Graduates employability skills: A review of literature against market demand</t>
  </si>
  <si>
    <t>Osmani, Mohamad; Weerakkody, Vishanth; Hindi, Nitham; Eldabi, Tillal</t>
  </si>
  <si>
    <t>JOURNAL OF EDUCATION FOR BUSINESS</t>
  </si>
  <si>
    <t>OCT 3 2019</t>
  </si>
  <si>
    <t>10.1080/08832323.2018.1545629</t>
  </si>
  <si>
    <t>Clashing institutional interests in skills between government and industry: An analysis of demand for technical and soft skills of graduates in the UK</t>
  </si>
  <si>
    <t>Cacciolatti, Luca; Lee, Soo Hee; Molinero, Cecilio Mar</t>
  </si>
  <si>
    <t>TECHNOLOGICAL FORECASTING AND SOCIAL CHANGE</t>
  </si>
  <si>
    <t>JUN 2017</t>
  </si>
  <si>
    <t>10.1016/j.techfore.2017.03.024</t>
  </si>
  <si>
    <t>An ontology-based model for competence management</t>
  </si>
  <si>
    <t>Miranda, Sergio; Orciuoli, Francesco; Loia, Vincenzo; Sampson, Demetrios</t>
  </si>
  <si>
    <t>DATA &amp; KNOWLEDGE ENGINEERING</t>
  </si>
  <si>
    <t>JAN 2017</t>
  </si>
  <si>
    <t>10.1016/j.datak.2016.12.001</t>
  </si>
  <si>
    <t>Generation Z: Fitting Project Management Soft Skills Competencies-A Mixed-Method Approach</t>
  </si>
  <si>
    <t>Magano, Jose; Silva, Claudia; Figueiredo, Claudia; Vitoria, Andreia; Nogueira, Teresa; Pimenta Dinis, Maria Alzira</t>
  </si>
  <si>
    <t>EDUCATION SCIENCES</t>
  </si>
  <si>
    <t>JUL 2020</t>
  </si>
  <si>
    <t>10.3390/educsci10070187</t>
  </si>
  <si>
    <t>Employers' and employment counselors' perceptions of desirable skills for entry-level positions for adolescents: how does it differ for youth with disabilities?</t>
  </si>
  <si>
    <t>Lindsay, Sally; Adams, Tracey; Sanford, Robyn; McDougall, Carolyn; Kingsnorth, Shauna; Menna-Dack, Dolly</t>
  </si>
  <si>
    <t>DISABILITY &amp; SOCIETY</t>
  </si>
  <si>
    <t>10.1080/09687599.2013.874330</t>
  </si>
  <si>
    <t>Skills and Vacancy Analysis with Data Mining</t>
  </si>
  <si>
    <t>Wowczko, Izabela A.</t>
  </si>
  <si>
    <t>INFORMATICS-BASEL</t>
  </si>
  <si>
    <t>DEC 2015</t>
  </si>
  <si>
    <t>10.3390/informatics2040031</t>
  </si>
  <si>
    <t>The role of employers opinions about skills and productivity of older workers: example of Poland</t>
  </si>
  <si>
    <t>Turek, Konrad; Perek-Bialas, Jolanta</t>
  </si>
  <si>
    <t>EMPLOYEE RELATIONS</t>
  </si>
  <si>
    <t>10.1108/ER-04-2013-0039</t>
  </si>
  <si>
    <t>The acquisition of teamwork skills in university students through extra-curricular activities</t>
  </si>
  <si>
    <t>de Prada Creo, Elena; Mareque, Mercedes; Portela-Pino, Iago</t>
  </si>
  <si>
    <t>JAN 27 2021</t>
  </si>
  <si>
    <t>10.1108/ET-07-2020-0185</t>
  </si>
  <si>
    <t>Emerging trends in data analytics and knowledge management job market: extending KSA framework</t>
  </si>
  <si>
    <t>Chang, Hsia-Ching; Wang, Chen-Ya; Hawamdeh, Suliman</t>
  </si>
  <si>
    <t>JOURNAL OF KNOWLEDGE MANAGEMENT</t>
  </si>
  <si>
    <t>10.1108/JKM-02-2018-0088</t>
  </si>
  <si>
    <t>Hiring as cultural gatekeeping into occupational communities: implications for higher education and student employability</t>
  </si>
  <si>
    <t>Hora, Matthew T.</t>
  </si>
  <si>
    <t>HIGHER EDUCATION</t>
  </si>
  <si>
    <t>FEB 2020</t>
  </si>
  <si>
    <t>10.1007/s10734-019-00411-6</t>
  </si>
  <si>
    <t>Barriers to Employment among Unemployed Drug Users: Age Predicts Severity</t>
  </si>
  <si>
    <t>Sigurdsson, Sigurdur Oli; Ring, Brandon M.; O'Reilly, Kristen; Silverman, Kenneth</t>
  </si>
  <si>
    <t>AMERICAN JOURNAL OF DRUG AND ALCOHOL ABUSE</t>
  </si>
  <si>
    <t>NOV 2012</t>
  </si>
  <si>
    <t>10.3109/00952990.2011.643976</t>
  </si>
  <si>
    <t>Data science skills and domain knowledge requirements in the manufacturing industry: A gap analysis</t>
  </si>
  <si>
    <t>Li, Guoyan; Yuan, Chenxi; Kamarthi, Sagar; Moghaddam, Mohsen; Jin, Xiaoning</t>
  </si>
  <si>
    <t>JOURNAL OF MANUFACTURING SYSTEMS</t>
  </si>
  <si>
    <t>JUL 2021</t>
  </si>
  <si>
    <t>10.1016/j.jmsy.2021.07.007</t>
  </si>
  <si>
    <t>New Skills, New Jobs: Return Migration, Skill Transfers, and Business Formation in Mexico</t>
  </si>
  <si>
    <t>Hagan, Jacqueline Maria; Wassink, Joshua</t>
  </si>
  <si>
    <t>SOCIAL PROBLEMS</t>
  </si>
  <si>
    <t>NOV 2016</t>
  </si>
  <si>
    <t>10.1093/socpro/spw021</t>
  </si>
  <si>
    <t>Walk the talk: soft skills' assessment of graduates</t>
  </si>
  <si>
    <t>Succi, Chiara; Wieandt, Michaela</t>
  </si>
  <si>
    <t>EUROPEAN JOURNAL OF MANAGEMENT AND BUSINESS ECONOMICS</t>
  </si>
  <si>
    <t>JUL 8 2019</t>
  </si>
  <si>
    <t>10.1108/EJMBE-01-2019-0011</t>
  </si>
  <si>
    <t>Economic status and social attitudes of migrant workers in China</t>
  </si>
  <si>
    <t>Li, Peilin; Li, Wei</t>
  </si>
  <si>
    <t>CHINA &amp; WORLD ECONOMY</t>
  </si>
  <si>
    <t>JUL-AUG 2007</t>
  </si>
  <si>
    <t>10.1111/j.1749-124X.2007.00072.x</t>
  </si>
  <si>
    <t>Working to place family at the center of life: Dual-earner and single-parent strategies</t>
  </si>
  <si>
    <t>Hertz, R</t>
  </si>
  <si>
    <t>ANNALS OF THE AMERICAN ACADEMY OF POLITICAL AND SOCIAL SCIENCE</t>
  </si>
  <si>
    <t>MAR 1999</t>
  </si>
  <si>
    <t>10.1177/0002716299562001002</t>
  </si>
  <si>
    <t>Large-Scale Occupational Skills Normalization for Online Recruitment</t>
  </si>
  <si>
    <t>Javed, Faizan; Phuong Hoang; Mahoney, Thomas; McNair, Matt</t>
  </si>
  <si>
    <t>THIRTY-FIRST AAAI CONFERENCE ON ARTIFICIAL INTELLIGENCE</t>
  </si>
  <si>
    <t>31st AAAI Conference on Artificial Intelligence</t>
  </si>
  <si>
    <t>FEB 04-09, 2017</t>
  </si>
  <si>
    <t>Employer Voices, Employer Demands, and Implications for Public Skills Development Policy Connecting the Labor and Education Sectors</t>
  </si>
  <si>
    <t>Cunningham, Wendy V.; Villasenor, Paula</t>
  </si>
  <si>
    <t>WORLD BANK RESEARCH OBSERVER</t>
  </si>
  <si>
    <t>FEB 2016</t>
  </si>
  <si>
    <t>10.1093/wbro/lkv019</t>
  </si>
  <si>
    <t>Competence Assessment in Higher Education: A Dynamic Approach</t>
  </si>
  <si>
    <t>Achcaoucaou, Fariza; Guitart-Tarres, Laura; Miravitlles-Matamoros, Paloma; Nunez-Carballosa, Ana; Bernardo, Merce; Bikfalvi, Andrea</t>
  </si>
  <si>
    <t>HUMAN FACTORS AND ERGONOMICS IN MANUFACTURING &amp; SERVICE INDUSTRIES</t>
  </si>
  <si>
    <t>JUL-AUG 2014</t>
  </si>
  <si>
    <t>10.1002/hfm.20394</t>
  </si>
  <si>
    <t>Fostering Graduate Employability: Rethinking Tanzania's University Practices</t>
  </si>
  <si>
    <t>Mgaiwa, Samson John</t>
  </si>
  <si>
    <t>SAGE OPEN</t>
  </si>
  <si>
    <t>APR 2021</t>
  </si>
  <si>
    <t>10.1177/21582440211006709</t>
  </si>
  <si>
    <t>IT education and workforce participation: A new era for women in Kenya?</t>
  </si>
  <si>
    <t>Mbarika, Victor W. A.; Payton, Fay Cobb; Kvasny, Lynette; Amadi, Atieno</t>
  </si>
  <si>
    <t>INFORMATION SOCIETY</t>
  </si>
  <si>
    <t>JAN-FEB 2007</t>
  </si>
  <si>
    <t>10.1080/01972240601057213</t>
  </si>
  <si>
    <t>COVID-19 and the future of work in the hospitality industry</t>
  </si>
  <si>
    <t>Huang, Arthur; Velasco, Efren De la Mora; Marsh, Jessica; Workman, Hannah</t>
  </si>
  <si>
    <t>INTERNATIONAL JOURNAL OF HOSPITALITY MANAGEMENT</t>
  </si>
  <si>
    <t>AUG 2021</t>
  </si>
  <si>
    <t>10.1016/j.ijhm.2021.102986</t>
  </si>
  <si>
    <t>Education, Skills, and Wage Gaps in Canada and the United States</t>
  </si>
  <si>
    <t>Smith, William C.; Fernandez, Frank</t>
  </si>
  <si>
    <t>INTERNATIONAL MIGRATION</t>
  </si>
  <si>
    <t>10.1111/imig.12328</t>
  </si>
  <si>
    <t>Skill gaps in the workplace: measurement, determinants and impacts</t>
  </si>
  <si>
    <t>McGuinness, Seamus; Ortiz, Luis</t>
  </si>
  <si>
    <t>INDUSTRIAL RELATIONS JOURNAL</t>
  </si>
  <si>
    <t>MAY 2016</t>
  </si>
  <si>
    <t>10.1111/irj.12136</t>
  </si>
  <si>
    <t>A view of the global conservation job market and how to succeed in it</t>
  </si>
  <si>
    <t>Lucas, Jane; Gora, Evan; Alonso, Alfonso</t>
  </si>
  <si>
    <t>DEC 2017</t>
  </si>
  <si>
    <t>10.1111/cobi.12949</t>
  </si>
  <si>
    <t>What the Job Market Wants from Requirements Engineers? An Empirical Analysis of Online Job Ads from the Netherlands</t>
  </si>
  <si>
    <t>Daneva, Maya; Wang, Chong; Hoener, Patrick</t>
  </si>
  <si>
    <t>11TH ACM/IEEE INTERNATIONAL SYMPOSIUM ON EMPIRICAL SOFTWARE ENGINEERING AND MEASUREMENT (ESEM 2017)</t>
  </si>
  <si>
    <t>10.1109/ESEM.2017.60</t>
  </si>
  <si>
    <t>11th ACM/IEEE International Symposium on Empirical Software Engineering and Measurement (ESEM)</t>
  </si>
  <si>
    <t>NOV 09-10, 2017</t>
  </si>
  <si>
    <t>Development and evaluation of the team work skill in university contexts. Are virtual environments effective?</t>
  </si>
  <si>
    <t>Garcia Garcia, Mercedes; Biencinto Lopez, Chantal; Carpintero Molina, Elvira; Exposito Casas, Eva; Ruiz Morales, Yovanni A.</t>
  </si>
  <si>
    <t>INTERNATIONAL JOURNAL OF EDUCATIONAL TECHNOLOGY IN HIGHER EDUCATION</t>
  </si>
  <si>
    <t>FEB 9 2016</t>
  </si>
  <si>
    <t>10.1186/s41239-016-0014-1</t>
  </si>
  <si>
    <t>Employment Difficulties Experienced by Employed Homeless People: Labor Market Factors That Contribute to and Maintain Homelessness</t>
  </si>
  <si>
    <t>Shier, Micheal L.; Jones, Marion E.; Graham, John R.</t>
  </si>
  <si>
    <t>JOURNAL OF POVERTY</t>
  </si>
  <si>
    <t>10.1080/10875549.2012.640522</t>
  </si>
  <si>
    <t>The development of green skills across firms in the institutional context of Thailand</t>
  </si>
  <si>
    <t>Napathorn, Chaturong</t>
  </si>
  <si>
    <t>ASIA-PACIFIC JOURNAL OF BUSINESS ADMINISTRATION</t>
  </si>
  <si>
    <t>NOV 22 2022</t>
  </si>
  <si>
    <t>10.1108/APJBA-10-2020-0370</t>
  </si>
  <si>
    <t>Information technology and employment: The impact of job tasks and worker skills</t>
  </si>
  <si>
    <t>Peng, Gang; Wang, Ying; Han, Guohong</t>
  </si>
  <si>
    <t>JOURNAL OF INDUSTRIAL RELATIONS</t>
  </si>
  <si>
    <t>10.1177/0022185617741924</t>
  </si>
  <si>
    <t>Professors' and Students' Perception of the Advantages and Disadvantages of Project Based Learning</t>
  </si>
  <si>
    <t>Mihic, Matej; Zavrski, Ivica</t>
  </si>
  <si>
    <t>INTERNATIONAL JOURNAL OF ENGINEERING EDUCATION</t>
  </si>
  <si>
    <t>A</t>
  </si>
  <si>
    <t>Generic skills in accounting education in a developing country Exploratory evidence from Sri Lanka</t>
  </si>
  <si>
    <t>Abayadeera, Nadana; Watty, Kim</t>
  </si>
  <si>
    <t>ASIAN REVIEW OF ACCOUNTING</t>
  </si>
  <si>
    <t>10.1108/ARA-03-2014-0039</t>
  </si>
  <si>
    <t>White hiring agents' organizational practices and out-group hiring</t>
  </si>
  <si>
    <t>Kmec, Julie A.</t>
  </si>
  <si>
    <t>SOCIAL SCIENCE RESEARCH</t>
  </si>
  <si>
    <t>SEP 2006</t>
  </si>
  <si>
    <t>10.1016/j.ssresearch.2005.06.001</t>
  </si>
  <si>
    <t>Bridging the skill gap between the acquired university curriculum and the requirements of the job market: A data-driven analysis of scientific literature</t>
  </si>
  <si>
    <t>Aljohani, Naif Radi; Aslam, Ahtisham; Khadidos, Alaa O.; Hassan, Saeed-Ul</t>
  </si>
  <si>
    <t>JOURNAL OF INNOVATION &amp; KNOWLEDGE</t>
  </si>
  <si>
    <t>JUL-SEP 2022</t>
  </si>
  <si>
    <t>10.1016/j.jik.2022.100190</t>
  </si>
  <si>
    <t>Graduate employability and higher education's contributions to human resource development in sport business before and after COVID-19</t>
  </si>
  <si>
    <t>Sato, Shintaro; Kang, Tae-Ahn; Daigo, Ebe; Matsuoka, Hirotaka; Harada, Munehiko</t>
  </si>
  <si>
    <t>JOURNAL OF HOSPITALITY LEISURE SPORT &amp; TOURISM EDUCATION</t>
  </si>
  <si>
    <t>JUN 2021</t>
  </si>
  <si>
    <t>10.1016/j.jhlste.2021.100306</t>
  </si>
  <si>
    <t>Job Polarisation and Earnings Inequality in Australia</t>
  </si>
  <si>
    <t>Coelli, Michael; Borland, Jeff</t>
  </si>
  <si>
    <t>ECONOMIC RECORD</t>
  </si>
  <si>
    <t>MAR 2016</t>
  </si>
  <si>
    <t>10.1111/1475-4932.12225</t>
  </si>
  <si>
    <t>Graduate Employability of Business Students</t>
  </si>
  <si>
    <t>Mainga, Wise; Murphy-Braynen, Marlo B.; Moxey, Remelda; Quddus, Syed Abdul</t>
  </si>
  <si>
    <t>ADMINISTRATIVE SCIENCES</t>
  </si>
  <si>
    <t>SEP 2022</t>
  </si>
  <si>
    <t>10.3390/admsci12030072</t>
  </si>
  <si>
    <t>The labour market for the port of the future. A case study for the port of Antwerp</t>
  </si>
  <si>
    <t>Esser, Anton; Sys, Christa; Vanelslander, Thierry; Verhetsel, Ann</t>
  </si>
  <si>
    <t>CASE STUDIES ON TRANSPORT POLICY</t>
  </si>
  <si>
    <t>10.1016/j.cstp.2019.10.007</t>
  </si>
  <si>
    <t>Soft skills for sustainable employment of business graduates of Bangladesh</t>
  </si>
  <si>
    <t>Nusrat, Mansura; Sultana, Nafia</t>
  </si>
  <si>
    <t>HIGHER EDUCATION SKILLS AND WORK-BASED LEARNING</t>
  </si>
  <si>
    <t>AUG 12 2019</t>
  </si>
  <si>
    <t>10.1108/HESWBL-01-2018-0002</t>
  </si>
  <si>
    <t>Relationship between employability and graduates' skill</t>
  </si>
  <si>
    <t>Rahmat, Masura; Ahmad, Kamsuriah; Idris, Sufian; Zainal, Noor Faridatul Ainun</t>
  </si>
  <si>
    <t>Rahmat, RAAOK; Osman, K; Ghazali, NA</t>
  </si>
  <si>
    <t>UNIVERSITI KEBANGSAAN MALAYSIA TEACHING AND LEARNING CONGRESS 2011, VOL I</t>
  </si>
  <si>
    <t>10.1016/j.sbspro.2012.09.318</t>
  </si>
  <si>
    <t>Universiti-Kebangsaan-Malaysia Teaching and Learning Congress</t>
  </si>
  <si>
    <t>DEC 17-20, 2011</t>
  </si>
  <si>
    <t>Soft Skills for Entry-Level Engineers: What Employers Want</t>
  </si>
  <si>
    <t>Hirudayaraj, Malar; Baker, Rose; Baker, Francie; Eastman, Mike</t>
  </si>
  <si>
    <t>OCT 2021</t>
  </si>
  <si>
    <t>10.3390/educsci11100641</t>
  </si>
  <si>
    <t>Missing Women in Tech: The Labor Market for Highly Skilled Software Engineers</t>
  </si>
  <si>
    <t>Murciano-Goroff, Raviv</t>
  </si>
  <si>
    <t>MAY 2022</t>
  </si>
  <si>
    <t>10.1287/mnsc.2021.4077</t>
  </si>
  <si>
    <t>Fostering development of soft skills in ICT curricula: a case of a transition economy</t>
  </si>
  <si>
    <t>Stal, Janusz; Paliwoda-Pekosz, Grazyna</t>
  </si>
  <si>
    <t>INFORMATION TECHNOLOGY FOR DEVELOPMENT</t>
  </si>
  <si>
    <t>APR 3 2019</t>
  </si>
  <si>
    <t>10.1080/02681102.2018.1454879</t>
  </si>
  <si>
    <t>Industrial Automation in China's Workshop of the World</t>
  </si>
  <si>
    <t>Sharif, Naubahar; Huang, Yu</t>
  </si>
  <si>
    <t>CHINA JOURNAL</t>
  </si>
  <si>
    <t>JAN 1 2019</t>
  </si>
  <si>
    <t>10.1086/699471</t>
  </si>
  <si>
    <t>Resident Perception of Technical Skills Education and Preparation for Independent Practice</t>
  </si>
  <si>
    <t>Odell, David D.; Macke, Ryan A.; Tchantchaleishvili, Vakhtang; Loor, Gabriel; Nelson, Jennifer S.; LaPar, Damien J.; LaZar, John F.; Wei, Benjamin; DeNino, Walter F.; Berfield, Kathleen; Stein, William; Youssef, Samuel J.; Nguyen, Tom C.</t>
  </si>
  <si>
    <t>ANNALS OF THORACIC SURGERY</t>
  </si>
  <si>
    <t>10.1016/j.athoracsur.2015.05.135</t>
  </si>
  <si>
    <t>50th Annual Meeting of the Society-of-Thoracic-Surgeons (STS)</t>
  </si>
  <si>
    <t>JAN 25-30, 2014</t>
  </si>
  <si>
    <t>Disparity between College Preparation and Career Demands for Graduating Engineers</t>
  </si>
  <si>
    <t>Baytiyeh, Hoda</t>
  </si>
  <si>
    <t>Training scenarios and professional competencies in initial teacher training</t>
  </si>
  <si>
    <t>Carmen Sarceda-Gorgoso, Ma; Luisa Rodicio-Garcia, Maria</t>
  </si>
  <si>
    <t>REVISTA COMPLUTENSE DE EDUCACION</t>
  </si>
  <si>
    <t>10.5209/RCED.52160</t>
  </si>
  <si>
    <t>Exploration of Participation in Student Software Engineering Teams</t>
  </si>
  <si>
    <t>Marshall, Linda; Pieterse, Vreda; Thompson, Lisa; Venter, Dina M.</t>
  </si>
  <si>
    <t>ACM TRANSACTIONS ON COMPUTING EDUCATION</t>
  </si>
  <si>
    <t>10.1145/2791396</t>
  </si>
  <si>
    <t>The Ethnic Employment and Income Gap in Sweden: Is Skill or Labor Market Discrimination the Explanation?</t>
  </si>
  <si>
    <t>Nordin, Martin; Rooth, Dan-Olof</t>
  </si>
  <si>
    <t>SCANDINAVIAN JOURNAL OF ECONOMICS</t>
  </si>
  <si>
    <t>10.1111/j.1467-9442.2009.01573.x</t>
  </si>
  <si>
    <t>Demand-Aware Career Path Recommendations: A Reinforcement Learning Approach</t>
  </si>
  <si>
    <t>Kokkodis, Marios; Ipeirotis, Panagiotis G.</t>
  </si>
  <si>
    <t>10.1287/mnsc.2020.3727</t>
  </si>
  <si>
    <t>Measuring Career Preparedness Among Adolescents: Development and Validation of the Career Resources Questionnaire-Adolescent Version</t>
  </si>
  <si>
    <t>Marciniak, Julian; Hirschi, Andreas; Johnston, Claire S.; Haenggli, Madeleine</t>
  </si>
  <si>
    <t>FEB 2021</t>
  </si>
  <si>
    <t>10.1177/1069072720943838</t>
  </si>
  <si>
    <t>Demographic change and the European income distribution</t>
  </si>
  <si>
    <t>Dolls, Mathias; Doorley, Karina; Paulus, Alari; Schneider, Hilmar; Sommer, Eric</t>
  </si>
  <si>
    <t>JOURNAL OF ECONOMIC INEQUALITY</t>
  </si>
  <si>
    <t>10.1007/s10888-019-09411-z</t>
  </si>
  <si>
    <t>Enterprise education Towards a framework for effective engagement with the learners of today</t>
  </si>
  <si>
    <t>Turner, Jason; Mulholland, Gary</t>
  </si>
  <si>
    <t>JOURNAL OF MANAGEMENT DEVELOPMENT</t>
  </si>
  <si>
    <t>10.1108/JMD-09-2016-0176</t>
  </si>
  <si>
    <t>The Earnings and Employment Outcomes of the 2005 Cohort of Canadian Postsecondary Graduates with Disabilities</t>
  </si>
  <si>
    <t>Zarifa, David; Walters, David; Seward, Brad</t>
  </si>
  <si>
    <t>CANADIAN REVIEW OF SOCIOLOGY-REVUE CANADIENNE DE SOCIOLOGIE</t>
  </si>
  <si>
    <t>NOV 2015</t>
  </si>
  <si>
    <t>10.1111/cars.12082</t>
  </si>
  <si>
    <t>Identifying Base Competencies as Prerequisites for Software Engineering Education</t>
  </si>
  <si>
    <t>Thurner, Veronika; Boettcher, Axel; Kaemper, Andreas</t>
  </si>
  <si>
    <t>2014 IEEE GLOBAL ENGINEERING EDUCATION CONFERENCE (EDUCON)</t>
  </si>
  <si>
    <t>IEEE Global Engineering Education Conference</t>
  </si>
  <si>
    <t>APR 03-05, 2014</t>
  </si>
  <si>
    <t>Using or abusing? Scrutinising employer demand for temporary sponsored skilled migrants in the Australian hospitality industry</t>
  </si>
  <si>
    <t>Wright, Chris F.; Knox, Angela; Constantin, Andreea</t>
  </si>
  <si>
    <t>ECONOMIC AND INDUSTRIAL DEMOCRACY</t>
  </si>
  <si>
    <t>NOV 2021</t>
  </si>
  <si>
    <t>10.1177/0143831X18823693</t>
  </si>
  <si>
    <t>Exploring Student Perceptions of Their Readiness for Project Work: Utilizing Social Cognitive Career Theory</t>
  </si>
  <si>
    <t>Burga, Ruben; Leblanc, Joshua; Rezania, Davar</t>
  </si>
  <si>
    <t>PROJECT MANAGEMENT JOURNAL</t>
  </si>
  <si>
    <t>APR 2020</t>
  </si>
  <si>
    <t>10.1177/8756972819896697</t>
  </si>
  <si>
    <t>Labor Market Disparities Between African Americans and Afro Caribbeans: Reexamining the Role of Immigrant Selectivity</t>
  </si>
  <si>
    <t>Ifatunji, Mosi Adesina</t>
  </si>
  <si>
    <t>SOCIOLOGICAL FORUM</t>
  </si>
  <si>
    <t>SEP 2017</t>
  </si>
  <si>
    <t>10.1111/socf.12347</t>
  </si>
  <si>
    <t>Importance of Skills Development for Ensuring Graduates Employability: The Case of Bangladesh</t>
  </si>
  <si>
    <t>Alam, Md Jahangir; Ogawa, Keiichi; Bin Islam, Sheikh Rashid</t>
  </si>
  <si>
    <t>SOCIAL SCIENCES-BASEL</t>
  </si>
  <si>
    <t>AUG 2022</t>
  </si>
  <si>
    <t>10.3390/socsci11080360</t>
  </si>
  <si>
    <t>Employability prediction: a survey of current approaches, research challenges and applications</t>
  </si>
  <si>
    <t>Mezhoudi, Nesrine; Alghamdi, Rawan; Aljunaid, Rim; Krichna, Gomathi; Dustegor, Dilek</t>
  </si>
  <si>
    <t>JOURNAL OF AMBIENT INTELLIGENCE AND HUMANIZED COMPUTING</t>
  </si>
  <si>
    <t>10.1007/s12652-021-03276-9</t>
  </si>
  <si>
    <t>Medical informatics labor market analysis using web crawling, web scraping, and text mining</t>
  </si>
  <si>
    <t>Schedlbauer, Jurgen; Raptis, Georgios; Ludwig, Bernd</t>
  </si>
  <si>
    <t>INTERNATIONAL JOURNAL OF MEDICAL INFORMATICS</t>
  </si>
  <si>
    <t>10.1016/j.ijmedinf.2021.104453</t>
  </si>
  <si>
    <t>Time takes us all? A two-wave observational study of age and time effects on sustainable employability</t>
  </si>
  <si>
    <t>Fleuren, Bram P., I; van Amelsvoort, Ludovic G. P. M.; de Grip, Andries; Zijlstra, Fred R. H.; Kant, Ijmert</t>
  </si>
  <si>
    <t>SCANDINAVIAN JOURNAL OF WORK ENVIRONMENT &amp; HEALTH</t>
  </si>
  <si>
    <t>10.5271/sjweh.3741</t>
  </si>
  <si>
    <t>MIGRATION, SKILL FORMATION, AND THE WAGE STRUCTURE</t>
  </si>
  <si>
    <t>Behrens, Kristian; Sato, Yasuhiro</t>
  </si>
  <si>
    <t>JOURNAL OF REGIONAL SCIENCE</t>
  </si>
  <si>
    <t>FEB 2011</t>
  </si>
  <si>
    <t>10.1111/j.1467-9787.2010.00682.x</t>
  </si>
  <si>
    <t>Petroleum revenues in Gulf Cooperation Council, countries and their labor market paradox</t>
  </si>
  <si>
    <t>Chemingui, Mohamed Abdelbasset; Roe, Terry</t>
  </si>
  <si>
    <t>JOURNAL OF POLICY MODELING</t>
  </si>
  <si>
    <t>MAY-JUN 2008</t>
  </si>
  <si>
    <t>10.1016/j.jpolmod.2007.09.005</t>
  </si>
  <si>
    <t>How vocational education made women better off but left men behind</t>
  </si>
  <si>
    <t>Acevedo, Paloma; Cruces, Guillermo; Gertler, Paul; Martinez, Sebastian</t>
  </si>
  <si>
    <t>AUG 2020</t>
  </si>
  <si>
    <t>10.1016/j.labeco.2020.101824</t>
  </si>
  <si>
    <t>Towards Identifying the Soft Skills Needed in Curricula: Finnish and Italian Students' Self-Evaluations Indicate Differences between Groups</t>
  </si>
  <si>
    <t>Caggiano, Valeria; Schleutker, Kai; Petrone, Loredana; Gonzalez-Bernal, Jeronimo</t>
  </si>
  <si>
    <t>SUSTAINABILITY</t>
  </si>
  <si>
    <t>MAY 2020</t>
  </si>
  <si>
    <t>10.3390/su12104031</t>
  </si>
  <si>
    <t>Race, ageism and the slide from privileged occupations</t>
  </si>
  <si>
    <t>Wilson, George; Roscigno, Vincent J.</t>
  </si>
  <si>
    <t>JAN 2018</t>
  </si>
  <si>
    <t>10.1016/j.ssresearch.2017.09.009</t>
  </si>
  <si>
    <t>Evaluating the Relevance of the Chemistry Curriculum to the Workplace: Keeping Tertiary Education Relevant</t>
  </si>
  <si>
    <t>Yasin, Nur Yaisyah Bte Md; Yueying, Ong</t>
  </si>
  <si>
    <t>JOURNAL OF CHEMICAL EDUCATION</t>
  </si>
  <si>
    <t>OCT 2017</t>
  </si>
  <si>
    <t>10.1021/acs.jchemed.7b00296</t>
  </si>
  <si>
    <t>Adequacy of core knowledge and soft skills in the performance of professional employees of real estate firms in Nigeria</t>
  </si>
  <si>
    <t>Oladokun, Sunday Olarinre; Gbadegesin, Job Taiwo</t>
  </si>
  <si>
    <t>PROPERTY MANAGEMENT</t>
  </si>
  <si>
    <t>10.1108/PM-02-2016-0008</t>
  </si>
  <si>
    <t>The Return to Caring Skills: Gender, Class, and Occupational Wages in the US</t>
  </si>
  <si>
    <t>Pietrykowski, Bruce</t>
  </si>
  <si>
    <t>FEMINIST ECONOMICS</t>
  </si>
  <si>
    <t>10.1080/13545701.2016.1257142</t>
  </si>
  <si>
    <t>Business employability for late millennials: exploring the perceptions of generation Z students and generation X faculty</t>
  </si>
  <si>
    <t>Kyrousi, Antigone G.; Tzoumaka, Eugenia; Leivadi, Stella</t>
  </si>
  <si>
    <t>MANAGEMENT RESEARCH REVIEW</t>
  </si>
  <si>
    <t>MAY 6 2022</t>
  </si>
  <si>
    <t>10.1108/MRR-04-2021-0328</t>
  </si>
  <si>
    <t>Skills for a Working Future: How to Bring about Professional Success from the Educational Setting</t>
  </si>
  <si>
    <t>Garcia-Perez, Laura; Garcia-Garnica, Marina; Olmedo-Moreno, Eva Maria</t>
  </si>
  <si>
    <t>JAN 2021</t>
  </si>
  <si>
    <t>10.3390/educsci11010027</t>
  </si>
  <si>
    <t>Differences of Gender in Oral and Written Communication Apprehension of University Students</t>
  </si>
  <si>
    <t>Loureiro, Marlene; Loureiro, Norberto; Silva, Rui</t>
  </si>
  <si>
    <t>DEC 2020</t>
  </si>
  <si>
    <t>10.3390/educsci10120379</t>
  </si>
  <si>
    <t>Building a soft skill taxonomy from job openings</t>
  </si>
  <si>
    <t>Khaouja, Imane; Mezzour, Ghita; Carley, Kathleen M.; Kassou, Ismail</t>
  </si>
  <si>
    <t>SOCIAL NETWORK ANALYSIS AND MINING</t>
  </si>
  <si>
    <t>AUG 7 2019</t>
  </si>
  <si>
    <t>10.1007/s13278-019-0583-9</t>
  </si>
  <si>
    <t>Learning to Be Employable or Being Employable to Learn: The Reciprocal Relation Between Perceived Employability and Work-Related Learning</t>
  </si>
  <si>
    <t>Houben, Ellen; De Cuyper, Nele; Kyndt, Eva; Forrier, Anneleen</t>
  </si>
  <si>
    <t>JOURNAL OF CAREER DEVELOPMENT</t>
  </si>
  <si>
    <t>10.1177/0894845319867431</t>
  </si>
  <si>
    <t>University-industry teaching collaborations: a case study of the MSc in Structural Integrity co-produced by Brunel University London and The Welding Institute</t>
  </si>
  <si>
    <t>Samuel, Gabrielle; Donovan, Claire; Lee, Jeung</t>
  </si>
  <si>
    <t>STUDIES IN HIGHER EDUCATION</t>
  </si>
  <si>
    <t>10.1080/03075079.2016.1199542</t>
  </si>
  <si>
    <t>IS SKILL MISMATCH IMPEDING US ECONOMIC RECOVERY?</t>
  </si>
  <si>
    <t>Abraham, Katharine G.</t>
  </si>
  <si>
    <t>10.1177/0019793914564962</t>
  </si>
  <si>
    <t>Social preferences, skill segregation, and wage dynamics</t>
  </si>
  <si>
    <t>Cabrales, Antonio; Calvo-Armengol, Antoni; Pavoni, Nicola</t>
  </si>
  <si>
    <t>REVIEW OF ECONOMIC STUDIES</t>
  </si>
  <si>
    <t>JAN 2008</t>
  </si>
  <si>
    <t>10.1111/j.1467-937X.2007.00460.x</t>
  </si>
  <si>
    <t>The Impact of the Industry 4.0 Concept on Slovak Business Sustainability within the Issue of the Pandemic Outbreak</t>
  </si>
  <si>
    <t>Grencikova, Adriana; Kordos, Marcel; Bartek, Jozef; Berkovic, Vladislav</t>
  </si>
  <si>
    <t>MAY 2021</t>
  </si>
  <si>
    <t>10.3390/su13094975</t>
  </si>
  <si>
    <t>INFORMATION TECHNOLOGY ASYMMETRY AND GAPS BETWEEN HIGHER EDUCATION INSTITUTIONS AND INDUSTRY</t>
  </si>
  <si>
    <t>Sahin, Yasar Guneri; Celikkan, Ufuk</t>
  </si>
  <si>
    <t>JOURNAL OF INFORMATION TECHNOLOGY EDUCATION-RESEARCH</t>
  </si>
  <si>
    <t>10.28945/4553</t>
  </si>
  <si>
    <t>Developing Students' Intercultural Competence During the Professional Oriented Course in English as a Foreign Language</t>
  </si>
  <si>
    <t>Tsareva, Ekaterina; Gulnaz, Fakhretdinova; Murtazina, Elina</t>
  </si>
  <si>
    <t>Cardoso, A; Alves, GR; Restivo, MT</t>
  </si>
  <si>
    <t>PROCEEDINGS OF THE 2020 IEEE GLOBAL ENGINEERING EDUCATION CONFERENCE (EDUCON 2020)</t>
  </si>
  <si>
    <t>IEEE Global Engineering Education Conference (IEEE EDUCON)</t>
  </si>
  <si>
    <t>APR 27-30, 2020</t>
  </si>
  <si>
    <t>Adaptability of the workforce in Europe - changing skills in the digital era</t>
  </si>
  <si>
    <t>Jandric, Maja; Randelovic, Sasa</t>
  </si>
  <si>
    <t>ZBORNIK RADOVA EKONOMSKOG FAKULTETA U RIJECI-PROCEEDINGS OF RIJEKA FACULTY OF ECONOMICS</t>
  </si>
  <si>
    <t>10.18045/zbefri.2018.2.757</t>
  </si>
  <si>
    <t>The surprisingly exclusive nature of medium- and low-skilled jobs Evidence from a Slovak job portal</t>
  </si>
  <si>
    <t>Beblavy, Miroslav; Kurekova, Lucia Mytna; Haita, Corina</t>
  </si>
  <si>
    <t>PERSONNEL REVIEW</t>
  </si>
  <si>
    <t>10.1108/PR-12-2014-0276</t>
  </si>
  <si>
    <t>Networks to Nerdistan: The role of labor market intermediaries in the entry-level IT labor market</t>
  </si>
  <si>
    <t>Chapple, Karen</t>
  </si>
  <si>
    <t>INTERNATIONAL JOURNAL OF URBAN AND REGIONAL RESEARCH</t>
  </si>
  <si>
    <t>10.1111/j.1468-2427.2006.00674.x</t>
  </si>
  <si>
    <t>Multilevel comprehension for labor market inclusion: a qualitative study on experts' perspectives on Industry 4.0 competences</t>
  </si>
  <si>
    <t>Tommasi, Francesco; Perini, Marco; Sartori, Riccardo</t>
  </si>
  <si>
    <t>APR 20 2022</t>
  </si>
  <si>
    <t>10.1108/ET-04-2021-0146</t>
  </si>
  <si>
    <t>The contribution of MOOCs to upskilling the labor force</t>
  </si>
  <si>
    <t>Goglio, Valentina; Bertolini, Sonia</t>
  </si>
  <si>
    <t>JOURNAL OF WORKPLACE LEARNING</t>
  </si>
  <si>
    <t>JUL 28 2021</t>
  </si>
  <si>
    <t>10.1108/JWL-10-2020-0159</t>
  </si>
  <si>
    <t>Development of Engineering Students Competencies Based on Cognitive Technologies in Conditions of Industry 4.0</t>
  </si>
  <si>
    <t>Mingaleva, Zhanna A.; Vukovic, Nataliia A.</t>
  </si>
  <si>
    <t>INTERNATIONAL JOURNAL OF COGNITIVE RESEARCH IN SCIENCE ENGINEERING AND EDUCATION-IJCRSEE</t>
  </si>
  <si>
    <t>10.23947/2334-8496-2020-8-SI-93-101</t>
  </si>
  <si>
    <t>Immigrants' Chances of Being Hired at Times of Skill Shortages: Results from a Factorial Survey Experiment Among German Employers</t>
  </si>
  <si>
    <t>Mergener, Alexandra; Maier, Tobias</t>
  </si>
  <si>
    <t>JOURNAL OF INTERNATIONAL MIGRATION AND INTEGRATION</t>
  </si>
  <si>
    <t>FEB 2019</t>
  </si>
  <si>
    <t>10.1007/s12134-018-0598-5</t>
  </si>
  <si>
    <t>Reducing Information Asymmetries in the Youth Labor Market of Jordan with Psychometrics and Skill Based Tests</t>
  </si>
  <si>
    <t>Groh, Matthew; McKenzie, David; Vishwanath, Tara</t>
  </si>
  <si>
    <t>WORLD BANK ECONOMIC REVIEW</t>
  </si>
  <si>
    <t>S106</t>
  </si>
  <si>
    <t>S117</t>
  </si>
  <si>
    <t>10.1093/wber/lhv005</t>
  </si>
  <si>
    <t>25th Annual Bank Conference on Development Economics (ABCDE)</t>
  </si>
  <si>
    <t>JUN 02-03, 2014</t>
  </si>
  <si>
    <t>Analysis of Employees' Competencies in the Context of Industry 4.0</t>
  </si>
  <si>
    <t>Kowal, Barbara; Wlodarz, Daria; Brzychczy, Edyta; Klepka, Andrzej</t>
  </si>
  <si>
    <t>ENERGIES</t>
  </si>
  <si>
    <t>OCT 2022</t>
  </si>
  <si>
    <t>10.3390/en15197142</t>
  </si>
  <si>
    <t>Labor Market Soft Skills in the Context of Digitalization of the Economy</t>
  </si>
  <si>
    <t>Schislyaeva, Elena Rostislavovna; Saychenko, Olga Anatolievna</t>
  </si>
  <si>
    <t>MAR 2022</t>
  </si>
  <si>
    <t>10.3390/socsci11030091</t>
  </si>
  <si>
    <t>AACSB international accreditation as a catalyst for soft skills in business schools</t>
  </si>
  <si>
    <t>Batista, Mariane Pires; Romani-Dias, Marcello</t>
  </si>
  <si>
    <t>MAY 19 2022</t>
  </si>
  <si>
    <t>10.1080/08832323.2021.1924105</t>
  </si>
  <si>
    <t>Tenant selection in the private rental sector of Paris and Geneva</t>
  </si>
  <si>
    <t>Bonnet, Francois; Pollard, Julie</t>
  </si>
  <si>
    <t>HOUSING STUDIES</t>
  </si>
  <si>
    <t>OCT 28 2021</t>
  </si>
  <si>
    <t>10.1080/02673037.2020.1769565</t>
  </si>
  <si>
    <t>Leading toward new horizons with soft skills</t>
  </si>
  <si>
    <t>AbuJbara, Nida'a K.; Worley, Jody A.</t>
  </si>
  <si>
    <t>ON THE HORIZON</t>
  </si>
  <si>
    <t>10.1108/OTH-10-2017-0085</t>
  </si>
  <si>
    <t>Learning by Doing: Employer Expectations of Planning Studio Education</t>
  </si>
  <si>
    <t>Pojani, Dorina; Johnson, Laurel; Darchen, Sebastien; Yang, Katie</t>
  </si>
  <si>
    <t>URBAN POLICY AND RESEARCH</t>
  </si>
  <si>
    <t>10.1080/08111146.2016.1221814</t>
  </si>
  <si>
    <t>Perceptions and Practices: Employers, Educators, and Students on GIS Internships</t>
  </si>
  <si>
    <t>Craig, Thomas R.; Wikle, Thomas A.</t>
  </si>
  <si>
    <t>TRANSACTIONS IN GIS</t>
  </si>
  <si>
    <t>10.1111/tgis.12201</t>
  </si>
  <si>
    <t>Hard and soft skill needs: higher education and the Fintech sector</t>
  </si>
  <si>
    <t>Doherty, Oran; Stephens, Simon</t>
  </si>
  <si>
    <t>JOURNAL OF EDUCATION AND WORK</t>
  </si>
  <si>
    <t>APR 3 2023</t>
  </si>
  <si>
    <t>10.1080/13639080.2023.2174954</t>
  </si>
  <si>
    <t>SKILLSPAN: Hard and Soft Skill Extraction from English Job Postings</t>
  </si>
  <si>
    <t>Zhang, Mike; Jensen, Kristian Norgaard; Sonniks, Sif Dam; Plank, Barbara</t>
  </si>
  <si>
    <t>NAACL 2022: THE 2022 CONFERENCE OF THE NORTH AMERICAN CHAPTER OF THE ASSOCIATION FOR COMPUTATIONAL LINGUISTICS: HUMAN LANGUAGE TECHNOLOGIES</t>
  </si>
  <si>
    <t>Conference of the North-American-Chapter-of-the-Association-for-Computational-Linguistics (NAAACL) - Human Language Technologies</t>
  </si>
  <si>
    <t>JUL 10-15, 2022</t>
  </si>
  <si>
    <t>Current and future aspects of the digital transformation in the European Steel Industry</t>
  </si>
  <si>
    <t>Branca, Teresa Annunziata; Fornai, Barbara; Colla, Valentina; Murri, Maria Maddalena; Streppa, Eliana; Schroeder, Antonius Johannes</t>
  </si>
  <si>
    <t>MATERIAUX &amp; TECHNIQUES</t>
  </si>
  <si>
    <t>APR 26 2021</t>
  </si>
  <si>
    <t>5-6</t>
  </si>
  <si>
    <t>10.1051/mattech/2021010</t>
  </si>
  <si>
    <t>Filling in the gaps in higher education quality An analysis of Italian students' value expectations and perceptions</t>
  </si>
  <si>
    <t>Cavallone, Mauro; Manna, Rosalba; Palumbo, Rocco</t>
  </si>
  <si>
    <t>INTERNATIONAL JOURNAL OF EDUCATIONAL MANAGEMENT</t>
  </si>
  <si>
    <t>JAN 6 2020</t>
  </si>
  <si>
    <t>10.1108/IJEM-06-2019-0189</t>
  </si>
  <si>
    <t>Reconsidering College Student Employability: A Cultural Analysis of Educator and Employer Conceptions of Workplace Skills</t>
  </si>
  <si>
    <t>Benbow, Ross J.; Hora, Matthew T.</t>
  </si>
  <si>
    <t>HARVARD EDUCATIONAL REVIEW</t>
  </si>
  <si>
    <t>WIN 2018</t>
  </si>
  <si>
    <t>10.17763/1943-5045-88.4.483</t>
  </si>
  <si>
    <t>SOFT SKILLS, HARD SKILLS, AND THE BLACK/WHITE WAGE GAP</t>
  </si>
  <si>
    <t>Fan, C. Simon; Wei, Xiangdong; Zhang, Junsen</t>
  </si>
  <si>
    <t>ECONOMIC INQUIRY</t>
  </si>
  <si>
    <t>APR 2017</t>
  </si>
  <si>
    <t>10.1111/ecin.12406</t>
  </si>
  <si>
    <t>Improving soft skills and communication in response to youth unemployment</t>
  </si>
  <si>
    <t>Kaburise, Phyllis</t>
  </si>
  <si>
    <t>INTERNATIONAL JOURNAL OF AFRICAN RENAISSANCE STUDIES</t>
  </si>
  <si>
    <t>10.1080/18186874.2016.1248061</t>
  </si>
  <si>
    <t>Quantifying Skill Relevance to Job Titles</t>
  </si>
  <si>
    <t>Zhou, Wenjun; Zhu, Yun; Javed, Faizan; Rahman, Mahmudur; Balaji, Janani; McNair, Matt</t>
  </si>
  <si>
    <t>Joshi, J; Karypis, G; Liu, L; Hu, X; Ak, R; Xia, Y; Xu, W; Sato, AH; Rachuri, S; Ungar, L; Yu, PS; Govindaraju, R; Suzumura, T</t>
  </si>
  <si>
    <t>2016 IEEE INTERNATIONAL CONFERENCE ON BIG DATA (BIG DATA)</t>
  </si>
  <si>
    <t>4th IEEE International Conference on Big Data (Big Data)</t>
  </si>
  <si>
    <t>DEC 05-08, 2016</t>
  </si>
  <si>
    <t>Attracting and Retaining Globally Mobile Skilled Migrants: Policy Challenges based on Australian Research</t>
  </si>
  <si>
    <t>Khoo, Siew-Ean</t>
  </si>
  <si>
    <t>APR 2014</t>
  </si>
  <si>
    <t>10.1111/imig.12103</t>
  </si>
  <si>
    <t>The problem of 'human capital': Gender, place and immigrant household strategies of reskilling in Vancouver</t>
  </si>
  <si>
    <t>Creese, Gillian; Dyck, Isabel; McLaren, Arlene Tiger</t>
  </si>
  <si>
    <t>Kraler, A; Kofman, E; Kohli, M; Schmoll, C</t>
  </si>
  <si>
    <t>GENDER, GENERATIONS AND THE FAMILY IN INTERNATIONAL MIGRATION</t>
  </si>
  <si>
    <t>Gender, Generations and the Family in International Migration Conference</t>
  </si>
  <si>
    <t>JUN 14-16, 2007</t>
  </si>
  <si>
    <t>Economic and labor market trends</t>
  </si>
  <si>
    <t>Nightingale, DS; Fix, M</t>
  </si>
  <si>
    <t>FUTURE OF CHILDREN</t>
  </si>
  <si>
    <t>SUM 2004</t>
  </si>
  <si>
    <t>CHANGES IN THE SKILLS OF THE WORKFORCE FOR FUTURE DEVELOPMENT OF THE LABOR MARKET IN THE SLOVAK REPUBLIC</t>
  </si>
  <si>
    <t>Horvathova, Andrea; Hrnciar, Michal; Rievajova, Eva</t>
  </si>
  <si>
    <t>ENTREPRENEURSHIP AND SUSTAINABILITY ISSUES</t>
  </si>
  <si>
    <t>JUN 2022</t>
  </si>
  <si>
    <t>10.9770/jesi.2022.9.4(11)</t>
  </si>
  <si>
    <t>Transversal Competences and Employability of University Students: Converging towards Service-Learning</t>
  </si>
  <si>
    <t>Santos Rego, Miguel A.; Saez-Gambin, Daniel; Luis Gonzalez-Geraldo, Jose; Garcia-Romero, David</t>
  </si>
  <si>
    <t>10.3390/educsci12040265</t>
  </si>
  <si>
    <t>Exploring the effects of learning abilities, technology and market changes on the need for future skills</t>
  </si>
  <si>
    <t>Gouda, Hanan</t>
  </si>
  <si>
    <t>OCT 12 2022</t>
  </si>
  <si>
    <t>10.1108/HESWBL-10-2021-0200</t>
  </si>
  <si>
    <t>Data Science Skills and Graduate Certificates: A Quantitative Text Analysis</t>
  </si>
  <si>
    <t>Jiang, Haoqiang; Chen, Catherine</t>
  </si>
  <si>
    <t>JOURNAL OF COMPUTER INFORMATION SYSTEMS</t>
  </si>
  <si>
    <t>MAY 4 2022</t>
  </si>
  <si>
    <t>10.1080/08874417.2020.1852628</t>
  </si>
  <si>
    <t>Skills Sets for Workforce in the 4th Industrial Revolution: Expectation from Authorities and Industrial Players</t>
  </si>
  <si>
    <t>Saari, Aizuddin; Rasul, Mohamad Sattar; Yasin, Ruhizan Mohamad; Abd Rauf, Rose Amnah; Ashari, Zool Hilmi Mohamed; Pranita, Diaz</t>
  </si>
  <si>
    <t>JOURNAL OF TECHNICAL EDUCATION AND TRAINING</t>
  </si>
  <si>
    <t>10.30880/jtet.2021.13.02.001</t>
  </si>
  <si>
    <t>DIGITAL TRANSFORMATION IN THE SOCIO-LABOR SPHERE: NEW CHALLENGES AND OPPORTUNITIES</t>
  </si>
  <si>
    <t>Lebedeva, Liudmila F.</t>
  </si>
  <si>
    <t>MIROVAYA EKONOMIKA I MEZHDUNARODNYE OTNOSHENIYA</t>
  </si>
  <si>
    <t>DEC 2019</t>
  </si>
  <si>
    <t>10.20542/0131-2227-2019-63-12-42-49</t>
  </si>
  <si>
    <t>Marketised Educational Desire and the Impetus for Self-improvement: The Shifting and Reproduced Meanings of Higher Education in Contemporary China</t>
  </si>
  <si>
    <t>Hizi, Gil</t>
  </si>
  <si>
    <t>ASIAN STUDIES REVIEW</t>
  </si>
  <si>
    <t>JUL 3 2019</t>
  </si>
  <si>
    <t>10.1080/10357823.2019.1630365</t>
  </si>
  <si>
    <t>Practical and Theoretical Grounds of a Student's Autonomous Learning Activities in Professional Education</t>
  </si>
  <si>
    <t>Bukhteeva, Elena; Kalney, Olga; Shishov, Sergey; Rabadanova, Raziyat; Polozhentseva, Irina</t>
  </si>
  <si>
    <t>AMAZONIA INVESTIGA</t>
  </si>
  <si>
    <t>MAY-JUN 2019</t>
  </si>
  <si>
    <t>Salient employability skills for youth with intellectual and developmental disabilities in Singapore: the perspectives of job developers</t>
  </si>
  <si>
    <t>Scheef, Andrew R.; Walker, Zachary M.; Barrio, Brenda L.</t>
  </si>
  <si>
    <t>INTERNATIONAL JOURNAL OF DEVELOPMENTAL DISABILITIES</t>
  </si>
  <si>
    <t>10.1080/20473869.2017.1335479</t>
  </si>
  <si>
    <t>The influence of training programs on career aspirations: evidence from a cross-sectional study of nursing students in India</t>
  </si>
  <si>
    <t>Seth, Katyayni</t>
  </si>
  <si>
    <t>HUMAN RESOURCES FOR HEALTH</t>
  </si>
  <si>
    <t>MAY 10 2016</t>
  </si>
  <si>
    <t>10.1186/s12960-016-0116-9</t>
  </si>
  <si>
    <t>Structural Unemployment in the Western Balkans: Challenges for Skills Anticipation and Matching Policies</t>
  </si>
  <si>
    <t>Bartlett, Will</t>
  </si>
  <si>
    <t>EUROPEAN PLANNING STUDIES</t>
  </si>
  <si>
    <t>JUN 1 2013</t>
  </si>
  <si>
    <t>10.1080/09654313.2012.722933</t>
  </si>
  <si>
    <t>The relationship between student employment, employability-building activities and graduate outcomes</t>
  </si>
  <si>
    <t>Jackson, Denise</t>
  </si>
  <si>
    <t>JOURNAL OF FURTHER AND HIGHER EDUCATION</t>
  </si>
  <si>
    <t>JAN 2 2024</t>
  </si>
  <si>
    <t>10.1080/0309877X.2023.2253426</t>
  </si>
  <si>
    <t>Returns to On-the-Job Soft Skills Training</t>
  </si>
  <si>
    <t>Adhvaryu, Achyuta; Kala, Namrata; Nyshadham, Anant</t>
  </si>
  <si>
    <t>AUG 1 2023</t>
  </si>
  <si>
    <t>10.1086/724320</t>
  </si>
  <si>
    <t>The effects of controlled self-learning on the improvement of soft and cognitive skills of engineering students: A focused analysis</t>
  </si>
  <si>
    <t>Barhoumi, El Manaa</t>
  </si>
  <si>
    <t>LEARNING AND MOTIVATION</t>
  </si>
  <si>
    <t>AUG 2023</t>
  </si>
  <si>
    <t>10.1016/j.lmot.2023.101915</t>
  </si>
  <si>
    <t>Impact of using authentic online learning environments on students' perceived employability</t>
  </si>
  <si>
    <t>Martinez-Arguelles, Maria-Jesus; Plana-Erta, Dolors; Fito-Bertran, Angels</t>
  </si>
  <si>
    <t>ETR&amp;D-EDUCATIONAL TECHNOLOGY RESEARCH AND DEVELOPMENT</t>
  </si>
  <si>
    <t>APR 2023</t>
  </si>
  <si>
    <t>10.1007/s11423-022-10171-3</t>
  </si>
  <si>
    <t>Soft and hard skills identification: insights from IT job advertisements in the CIS region</t>
  </si>
  <si>
    <t>Ternikov, Andrei</t>
  </si>
  <si>
    <t>PEERJ COMPUTER SCIENCE</t>
  </si>
  <si>
    <t>APR 5 2022</t>
  </si>
  <si>
    <t>e946</t>
  </si>
  <si>
    <t>10.7717/peerj-cs.946</t>
  </si>
  <si>
    <t>Education 4.0 Technologies, Industry 4.0 Skills and the Teaching of English in Malaysian Tertiary Education</t>
  </si>
  <si>
    <t>Adnan, Airil Haimi Mohd; Abd Karim, Rafidah; Tahir, Mohd Haniff Mohd; Kamal, Nurul Nadiah Mustafa; Yusof, Ahmad Muhyiddin</t>
  </si>
  <si>
    <t>ARAB WORLD ENGLISH JOURNAL</t>
  </si>
  <si>
    <t>10.24093/awej/vol10no4.24</t>
  </si>
  <si>
    <t>The conditional effect of technological change on collective bargaining coverage</t>
  </si>
  <si>
    <t>Meyer, Brett; Biegert, Thomas</t>
  </si>
  <si>
    <t>RESEARCH &amp; POLITICS</t>
  </si>
  <si>
    <t>FEB 7 2019</t>
  </si>
  <si>
    <t>10.1177/2053168018823957</t>
  </si>
  <si>
    <t>A phenomenological study of business graduates' employment experiences in the changing economy</t>
  </si>
  <si>
    <t>Campbell, Throy Alexander</t>
  </si>
  <si>
    <t>JOURNAL FOR LABOUR MARKET RESEARCH</t>
  </si>
  <si>
    <t>DEC 2018</t>
  </si>
  <si>
    <t>10.1186/s12651-018-0238-8</t>
  </si>
  <si>
    <t>IMPACT OF THE GLOBALIZATION ON THE YOUNG PEOPLE'S LEVEL OF EDUCATION</t>
  </si>
  <si>
    <t>Gogolova, Martina</t>
  </si>
  <si>
    <t>Kliestik, T</t>
  </si>
  <si>
    <t>GLOBALIZATION AND ITS SOCIO-ECONOMIC CONSEQUENCES, 16TH INTERNATIONAL SCIENTIFIC CONFERENCE PROCEEDINGS, PTS I-V</t>
  </si>
  <si>
    <t>16th International Scientific Conference on Globalization and its Socio-Economic Consequences</t>
  </si>
  <si>
    <t>OCT 05-06, 2016</t>
  </si>
  <si>
    <t>SOFT SKILLS ACQUISITION THROUGH ESP CLASSES AT TECHNICAL UNIVERSITY</t>
  </si>
  <si>
    <t>Lavrysh, Yuliana</t>
  </si>
  <si>
    <t>JOURNAL OF TEACHING ENGLISH FOR SPECIFIC AND ACADEMIC PURPOSES</t>
  </si>
  <si>
    <t>10.22190/JTESAP1603517L</t>
  </si>
  <si>
    <t>Rapid Improvement of Students' Soft-skills Based on an Agile-process Approach</t>
  </si>
  <si>
    <t>Valentin, Eduardo; Hughes Carvalho, Jose Reginaldo; Barreto, Raimundo</t>
  </si>
  <si>
    <t>FRONTIERS IN EDUCATION CONFERENCE (FIE), 2015</t>
  </si>
  <si>
    <t>45th Annual Frontiers in Education Conference (FIE)</t>
  </si>
  <si>
    <t>OCT 21-24, 2015</t>
  </si>
  <si>
    <t>Optimal partition of a large labor force into working pairs</t>
  </si>
  <si>
    <t>McCann, Robert J.; Trokhimtchouk, Maxim</t>
  </si>
  <si>
    <t>ECONOMIC THEORY</t>
  </si>
  <si>
    <t>FEB 2010</t>
  </si>
  <si>
    <t>10.1007/s00199-008-0420-2</t>
  </si>
  <si>
    <t>Technical skill bias as a response of firms to unemployment: A matching model with applicant ranking and endogenous skill requirements</t>
  </si>
  <si>
    <t>Gavrel, Frederic</t>
  </si>
  <si>
    <t>JUN 2009</t>
  </si>
  <si>
    <t>10.1016/j.labeco.2008.11.003</t>
  </si>
  <si>
    <t>Training in the Dilbert economy</t>
  </si>
  <si>
    <t>Carnevale, AP; Desrochers, D</t>
  </si>
  <si>
    <t>TRAINING &amp; DEVELOPMENT</t>
  </si>
  <si>
    <t>DEC 1999</t>
  </si>
  <si>
    <t>Implementing a combined individual placement and support and vocational peer work program in integrated youth mental health settings</t>
  </si>
  <si>
    <t>Simmons, Magenta B.; Chinnery, Gina; Whitson, Sarah; Bostock, Sarah; Braybrook, Joshua; Hamilton, Matthew; Killackey, Eoin; Brushe, Mary</t>
  </si>
  <si>
    <t>EARLY INTERVENTION IN PSYCHIATRY</t>
  </si>
  <si>
    <t>10.1111/eip.13387</t>
  </si>
  <si>
    <t>Different degrees of skill obsolescence across hard and soft skills and the role of lifelong learning for labor market outcomes</t>
  </si>
  <si>
    <t>Schultheiss, Tobias; Backes-Gellner, Uschi</t>
  </si>
  <si>
    <t>INDUSTRIAL RELATIONS</t>
  </si>
  <si>
    <t>JUL 2023</t>
  </si>
  <si>
    <t>10.1111/irel.12325</t>
  </si>
  <si>
    <t>Skills Demand in Energy Intensive Industries Targeting Industrial Symbiosis and Energy Efficiency</t>
  </si>
  <si>
    <t>Branca, Teresa Annunziata; Fornai, Barbara; Colla, Valentina; Pistelli, Maria Ilaria; Faraci, Eros Luciano; Cirilli, Filippo; Schroeder, Antonius Johannes</t>
  </si>
  <si>
    <t>DEC 2022</t>
  </si>
  <si>
    <t>10.3390/su142315615</t>
  </si>
  <si>
    <t>Employability skills from employers' perspectives in indigenous contexts: empirical evidence</t>
  </si>
  <si>
    <t>Hossain, Amzad; Kong, Ying; Briggs, Harvey; Laycock, Kim</t>
  </si>
  <si>
    <t>OCT 25 2022</t>
  </si>
  <si>
    <t>10.1108/HESWBL-05-2022-0102</t>
  </si>
  <si>
    <t>A Data-Driven Assessment of the US Health Informatics Programs and Job Market</t>
  </si>
  <si>
    <t>Patel, Jay S.; Vo, Hoa; Nguyen, An; Dzomba, Bari; Wu, Huanmei</t>
  </si>
  <si>
    <t>APPLIED CLINICAL INFORMATICS</t>
  </si>
  <si>
    <t>10.1055/s-0042-1743242</t>
  </si>
  <si>
    <t>Developing China's workforce skill taxonomy reveals extent of labor market polarization</t>
  </si>
  <si>
    <t>Xu, Weipan; Qin, Xiaozhen; Li, Xun; Chen, Haohui; Frank, Morgan; Rutherford, Alex; Reeson, Andrew; Rahwan, Iyad</t>
  </si>
  <si>
    <t>HUMANITIES &amp; SOCIAL SCIENCES COMMUNICATIONS</t>
  </si>
  <si>
    <t>JUL 29 2021</t>
  </si>
  <si>
    <t>10.1057/s41599-021-00862-2</t>
  </si>
  <si>
    <t>Qualification as a societal challenge and the role of higher education from a system approach</t>
  </si>
  <si>
    <t>Goulart, Alessandro R.; Liboni, Lara B.; Cezarino, Luciana O.</t>
  </si>
  <si>
    <t>OCT 19 2021</t>
  </si>
  <si>
    <t>10.1108/HESWBL-06-2020-0118</t>
  </si>
  <si>
    <t>Soft Skills in Engineers, a Relevant Field of Research: Exploring and Assessing Skills in Italian Engineering Students</t>
  </si>
  <si>
    <t>Caggiano, Valeria; Redomero-Echeverria, Teresa; Luis Poza-Lujan, Jose; Bellezza, Andrea</t>
  </si>
  <si>
    <t>INGENIERIA E INVESTIGACION</t>
  </si>
  <si>
    <t>10.15446/ing.investig.v40n2.83717</t>
  </si>
  <si>
    <t>Providing Sustainable Knowledge for the Young Graduates of Economic and Social Sciences. Case Study: Comparative Analysis of Required Global Competences in Two Romanian Universities</t>
  </si>
  <si>
    <t>Butum, Lavinia Cornelia; Nicolescu, Luminita; Stan, Sergiu Octavian; Gaitanaru, Andrei</t>
  </si>
  <si>
    <t>10.3390/su12135364</t>
  </si>
  <si>
    <t>CDIO Approach in Developing Teacher Training Program to Meet Requirement of the Industrial Revolution 4.0 in Vietnam</t>
  </si>
  <si>
    <t>Nhi Thi Nguyen; Thanh Van Thai; Huong Thi Pham; Giang Chau Thi Nguyen</t>
  </si>
  <si>
    <t>INTERNATIONAL JOURNAL OF EMERGING TECHNOLOGIES IN LEARNING</t>
  </si>
  <si>
    <t>10.3991/ijet.v15i18.15517</t>
  </si>
  <si>
    <t>SCODIS: Job Advert-Derived Time Series for High-Demand Skillset Discovery and Prediction</t>
  </si>
  <si>
    <t>Sibarani, Elisa Margareth; Scerri, Simon</t>
  </si>
  <si>
    <t>Hartmann, S; Kung, J; Kotsis, G; Tjoa, AM; Khalil, I</t>
  </si>
  <si>
    <t>DATABASE AND EXPERT SYSTEMS APPLICATIONS, DEXA 2020, PT II</t>
  </si>
  <si>
    <t>10.1007/978-3-030-59051-2_25</t>
  </si>
  <si>
    <t>31st International Conference on Database and Expert Systems Applications (DEXA)</t>
  </si>
  <si>
    <t>SEP 14-17, 2020</t>
  </si>
  <si>
    <t>Young Technology Entrepreneurship enhancement based on an Alternative Approach of Project-based Learning</t>
  </si>
  <si>
    <t>Dragoumanos, Stamatis; Kakarountas, Athanasios; Fourou, Theodora</t>
  </si>
  <si>
    <t>PROCEEDINGS OF 2017 IEEE GLOBAL ENGINEERING EDUCATION CONFERENCE (EDUCON2017)</t>
  </si>
  <si>
    <t>8th IEEE Global Engineering Education Conference (EDUCON)</t>
  </si>
  <si>
    <t>APR 25-28, 2017</t>
  </si>
  <si>
    <t>Important soft skills to be integrated in the teaching of technical courses: Views of lecturers versus students</t>
  </si>
  <si>
    <t>Idrus, Hairuzila</t>
  </si>
  <si>
    <t>2017 7TH WORLD ENGINEERING EDUCATION FORUM (WEEF)</t>
  </si>
  <si>
    <t>7th World Engineering Education Forum (WEEF)</t>
  </si>
  <si>
    <t>NOV 13-16, 2017</t>
  </si>
  <si>
    <t>The causes and economic consequences of envy</t>
  </si>
  <si>
    <t>Cabrales, Antonio</t>
  </si>
  <si>
    <t>SERIES-JOURNAL OF THE SPANISH ECONOMIC ASSOCIATION</t>
  </si>
  <si>
    <t>SEP 2010</t>
  </si>
  <si>
    <t>10.1007/s13209-010-0028-1</t>
  </si>
  <si>
    <t>The future of work in shaping the employment inclusion of young adults with disabilities: a qualitative study</t>
  </si>
  <si>
    <t>Jetha, Arif; Shamaee, Ali; Tompa, Emile; Smith, Peter; Bultmann, Ute; Bonaccio, Silvia; Tucker, Lori B.; Norman, Cameron; Banks, Cristina G.; Gignac, Monique A. M.</t>
  </si>
  <si>
    <t>EQUALITY DIVERSITY AND INCLUSION</t>
  </si>
  <si>
    <t>MAY 9 2023</t>
  </si>
  <si>
    <t>10.1108/EDI-06-2022-0154</t>
  </si>
  <si>
    <t>Towards an Automatic Approach for Assessing Program Competencies</t>
  </si>
  <si>
    <t>Chang, Xinyuan; Wang, Bingxin; Hui, Bowen</t>
  </si>
  <si>
    <t>LAK22 CONFERENCE PROCEEDINGS: THE TWELFTH INTERNATIONAL CONFERENCE ON LEARNING ANALYTICS &amp; KNOWLEDGE</t>
  </si>
  <si>
    <t>10.1145/3506860.3506875</t>
  </si>
  <si>
    <t>12th Annual International Conference on Learning Analytics and Knowledge (LAK)</t>
  </si>
  <si>
    <t>MAR 21-25, 2022</t>
  </si>
  <si>
    <t>Towards Learnability What we benefit from Mathability</t>
  </si>
  <si>
    <t>Chmielewska, Katarzyna</t>
  </si>
  <si>
    <t>ACTA POLYTECHNICA HUNGARICA</t>
  </si>
  <si>
    <t>Rethinking the Expertise of Data Journalists: A Case Study</t>
  </si>
  <si>
    <t>Tong, Jingrong</t>
  </si>
  <si>
    <t>INTERNATIONAL JOURNAL OF COMMUNICATION</t>
  </si>
  <si>
    <t>Mapping Stakeholders Perceptions on Innovation Skills, through the Borich Needs Assessment Model: Empirical Evidence from a Developing Country</t>
  </si>
  <si>
    <t>Vladi, Besarta; Kokthi, Elena; Guri, Gert; Kelemen-Erdos, Aniko</t>
  </si>
  <si>
    <t>10.12700/APH.19.8.2022.8.4</t>
  </si>
  <si>
    <t>Starting points matter: Cash plus training effects on youth entrepreneurship, skills, and resilience during an epidemic</t>
  </si>
  <si>
    <t>Rosas, Nina; Acevedo, Maria Cecilia; Zaldivar, Samantha</t>
  </si>
  <si>
    <t>WORLD DEVELOPMENT</t>
  </si>
  <si>
    <t>JAN 2022</t>
  </si>
  <si>
    <t>10.1016/j.worlddev.2021.105698</t>
  </si>
  <si>
    <t>Are soft skills conditioned by conflicting factors? A multiobjective programming approach to explore the trade-offs</t>
  </si>
  <si>
    <t>Marcenaro-Gutierrez, O. D.; Lopez-Agudo, L. A.; Henriques, C. O.</t>
  </si>
  <si>
    <t>ECONOMIC ANALYSIS AND POLICY</t>
  </si>
  <si>
    <t>DEC 2021</t>
  </si>
  <si>
    <t>10.1016/j.eap.2021.07.008</t>
  </si>
  <si>
    <t>Are Malaysian TVET graduates ready for the future?</t>
  </si>
  <si>
    <t>Kenayathulla, Husaina Banu</t>
  </si>
  <si>
    <t>HIGHER EDUCATION QUARTERLY</t>
  </si>
  <si>
    <t>10.1111/hequ.12310</t>
  </si>
  <si>
    <t>Analytical Hierarchy Process Applied to Pedagogical Method Selection Problems</t>
  </si>
  <si>
    <t>Chaibate, Hind; Hadek, Amine; Ajana, Souad; Bakkali, Soumia</t>
  </si>
  <si>
    <t>EDUCATION RESEARCH INTERNATIONAL</t>
  </si>
  <si>
    <t>FEB 26 2021</t>
  </si>
  <si>
    <t>10.1155/2021/6664758</t>
  </si>
  <si>
    <t>Employers' preferences for IT-retrainees: evidence from a discrete choice experiment</t>
  </si>
  <si>
    <t>Vooren, Melvin; Haelermans, Carla; Groot, Wim; van den Brink, Henriette Maassen</t>
  </si>
  <si>
    <t>INTERNATIONAL JOURNAL OF MANPOWER</t>
  </si>
  <si>
    <t>OCT 7 2019</t>
  </si>
  <si>
    <t>10.1108/IJM-01-2019-0001</t>
  </si>
  <si>
    <t>Developing a videogame for learning signal processing and project management using project-oriented learning in ICT engineering degrees</t>
  </si>
  <si>
    <t>Iriondo, Ignasi; Montero, Jose A.; Sevillano, Xavier; Socoro, Joan C.</t>
  </si>
  <si>
    <t>OCT 2019</t>
  </si>
  <si>
    <t>10.1016/j.chb.2019.03.019</t>
  </si>
  <si>
    <t>Student's Characteristics as a Basis for Competency Development in Engineering Informatics Education</t>
  </si>
  <si>
    <t>Tordai, Zita; Holik, Ildiko</t>
  </si>
  <si>
    <t>INTERNATIONAL JOURNAL OF ENGINEERING PEDAGOGY</t>
  </si>
  <si>
    <t>10.3991/ijep.v8i4.8133</t>
  </si>
  <si>
    <t>Examining graduate skills in accounting and finance: The perception of Middle Eastern students</t>
  </si>
  <si>
    <t>Osmani, Mohamad; Hindi, Nitham; Al-Esmail, Rajab; Weerakkody, Vishanth</t>
  </si>
  <si>
    <t>10.1177/0950422217721759</t>
  </si>
  <si>
    <t>The effect of legal status on immigrant wages and occupational skills</t>
  </si>
  <si>
    <t>Steigleder, Quinn; Sparber, Chad</t>
  </si>
  <si>
    <t>APPLIED ECONOMICS LETTERS</t>
  </si>
  <si>
    <t>10.1080/13504851.2016.1164811</t>
  </si>
  <si>
    <t>The effects of teenage childbearing on adult soft skills development</t>
  </si>
  <si>
    <t>Fletcher, Jason; Padron, Norma</t>
  </si>
  <si>
    <t>JOURNAL OF POPULATION ECONOMICS</t>
  </si>
  <si>
    <t>JUL 2016</t>
  </si>
  <si>
    <t>10.1007/s00148-016-0589-9</t>
  </si>
  <si>
    <t>INFORMATION SYSTEMS JOB MARKET LATE 1970'S-EARLY 2010'S</t>
  </si>
  <si>
    <t>Harris, Amy H.; Greer, Timothy H.; Morris, Steven A.; Clark, W. Jeffery</t>
  </si>
  <si>
    <t>FAL 2012</t>
  </si>
  <si>
    <t>Current and Future Entry-Level IT Workforce Needs in Organizations</t>
  </si>
  <si>
    <t>Benamati, John 'Skip'; Mahaney, Robert C.</t>
  </si>
  <si>
    <t>SIGMIS CPR 2007: PROCEEDINGS OF THE 2007 ACM SIGMIS CPR CONFERENCE GLOBAL INFORMATION TECHNOLOGY WORKFORCE</t>
  </si>
  <si>
    <t>45th Annual Computer Personnel Research Conference 2007</t>
  </si>
  <si>
    <t>APR 19-21, 2007</t>
  </si>
  <si>
    <t>Striking gold: navigating the education massification maze for work readiness</t>
  </si>
  <si>
    <t>Enstroem, Rickard; Schmaltz, Rodney</t>
  </si>
  <si>
    <t>JOURNAL OF WORK-APPLIED MANAGEMENT</t>
  </si>
  <si>
    <t>SEP 13 2024</t>
  </si>
  <si>
    <t>10.1108/JWAM-10-2023-0100</t>
  </si>
  <si>
    <t>Digital transformation, skills and education: A systematic literature review</t>
  </si>
  <si>
    <t>Rego, Bruno Siano; Lourenco, Diogo; Moreira, Fernando; Pereira, Carla Santos</t>
  </si>
  <si>
    <t>AUG 2024</t>
  </si>
  <si>
    <t>10.1177/09504222231208969</t>
  </si>
  <si>
    <t>English Communication Skills in International Business: Industry Expectations Versus University Preparation</t>
  </si>
  <si>
    <t>Roshid, Mohammod Moninoor; Kankaanranta, Anne</t>
  </si>
  <si>
    <t>BUSINESS AND PROFESSIONAL COMMUNICATION QUARTERLY</t>
  </si>
  <si>
    <t>10.1177/23294906231184814</t>
  </si>
  <si>
    <t>How Did Reskilling During the COVID-19 Pandemic Relate to Entrepreneurship and Optimism? Barriers, Opportunities, and Implications for Equity</t>
  </si>
  <si>
    <t>Jabbari, Jason; Zheng, Haotian; Roll, Stephen; Auguste, Daniel; Heller, Oren</t>
  </si>
  <si>
    <t>JOURNAL OF FAMILY AND ECONOMIC ISSUES</t>
  </si>
  <si>
    <t>JUN 2024</t>
  </si>
  <si>
    <t>10.1007/s10834-023-09906-y</t>
  </si>
  <si>
    <t>Industry-specific upskilling of seasonal tourism workers: Does occupational gender inequality matter?</t>
  </si>
  <si>
    <t>Fasone, Vincenzo; Pedrini, Giulio</t>
  </si>
  <si>
    <t>TOURISM ECONOMICS</t>
  </si>
  <si>
    <t>NOV 2023</t>
  </si>
  <si>
    <t>10.1177/13548166221146850</t>
  </si>
  <si>
    <t>Can Machines Learn Creativity Needs? An Approach Based on Matrix Completion</t>
  </si>
  <si>
    <t>Gnecco, Giorgio; Landi, Sara; Riccaboni, Massimo</t>
  </si>
  <si>
    <t>ITALIAN ECONOMIC JOURNAL</t>
  </si>
  <si>
    <t>10.1007/s40797-022-00200-8</t>
  </si>
  <si>
    <t>Developing 21st Century Competencies among Youth through an Online Learning Program: BE a Global Citizen</t>
  </si>
  <si>
    <t>Celume, Macarena-Paz; Maoulida, Haifat</t>
  </si>
  <si>
    <t>10.3390/educsci12030148</t>
  </si>
  <si>
    <t>The emotional and social side of analytics professionals: an exploratory study of the behavioral profile of data scientists and data analysts</t>
  </si>
  <si>
    <t>Bonesso, Sara; Gerli, Fabrizio; Bruni, Elena</t>
  </si>
  <si>
    <t>JAN 6 2022</t>
  </si>
  <si>
    <t>10.1108/IJM-07-2020-0342</t>
  </si>
  <si>
    <t>Key skills and competencies of LIS professionals in the digital library environment: a content analysis of job advertisements</t>
  </si>
  <si>
    <t>Yadav, Akhilesh K. S.</t>
  </si>
  <si>
    <t>LIBRARY MANAGEMENT</t>
  </si>
  <si>
    <t>JAN 20 2022</t>
  </si>
  <si>
    <t>1-2</t>
  </si>
  <si>
    <t>10.1108/LM-03-2021-0030</t>
  </si>
  <si>
    <t>The strategy of Islamic economic colleges to prepare their graduates to work in Islamic banks</t>
  </si>
  <si>
    <t>Zakiy, Muhammad</t>
  </si>
  <si>
    <t>10.1108/HESWBL-01-2021-0010</t>
  </si>
  <si>
    <t>DEFINING, CLASSIFYING AND DEVELOPING SOFT SKILLS IN HIGHER EDUCATION: COMPETENCY-BASED AND HUMANISTIC APPROACHES</t>
  </si>
  <si>
    <t>Gilyazova, Olga Sergeevna; Zamoshchansky, Ivan Igorevich; Vaganova, Olga Igorevna</t>
  </si>
  <si>
    <t>REVISTA UNIVERSIDAD Y SOCIEDAD</t>
  </si>
  <si>
    <t>MAR-APR 2021</t>
  </si>
  <si>
    <t>What is Wrong with the Concept of Job Readiness in Higher Education?</t>
  </si>
  <si>
    <t>Maltseva, Vera</t>
  </si>
  <si>
    <t>JOURNAL OF ECONOMIC SOCIOLOGY-EKONOMICHESKAYA SOTSIOLOGIYA</t>
  </si>
  <si>
    <t>MAR 2021</t>
  </si>
  <si>
    <t>10.17323/1726-3247-2021-2-109-138</t>
  </si>
  <si>
    <t>Workplace Skills and Teacher Competency from Culinary Arts Students' Perspectives</t>
  </si>
  <si>
    <t>Mohamed, Hanis; Puad, Mohd Hazwan Mohd; Rashid, Abdullah Mat; Jamaluddin, Rahimah</t>
  </si>
  <si>
    <t>PERTANIKA JOURNAL OF SOCIAL SCIENCE AND HUMANITIES</t>
  </si>
  <si>
    <t>10.47836/pjssh.29.1.06</t>
  </si>
  <si>
    <t>Human capital development: development of professional competencies through soft skills</t>
  </si>
  <si>
    <t>Semenova, Valeriia Valerevna; Zelenyuk, Alexander Nikolaevich; Savinov, Yuri Anatolyevich</t>
  </si>
  <si>
    <t>REVISTA TEMPOS E ESPACOS EDUCACAO</t>
  </si>
  <si>
    <t>e15253</t>
  </si>
  <si>
    <t>10.20952/revtee.v14i33.15253</t>
  </si>
  <si>
    <t>Exploring the Linkage Between Secondary Technical and Vocational Education System, Labor Market and Family Setting. A Prospective Analysis from Central Chile</t>
  </si>
  <si>
    <t>Julia Fawaz-Yissi, Ma; Vallejos-Cartes, Rosana</t>
  </si>
  <si>
    <t>EDUCATIONAL STUDIES-AESA</t>
  </si>
  <si>
    <t>MAR 3 2020</t>
  </si>
  <si>
    <t>10.1080/00131946.2019.1703115</t>
  </si>
  <si>
    <t>Implantable and Wearable Neuroengineering Education: A Review of Postgraduate Programmes</t>
  </si>
  <si>
    <t>Ghannam, Rami; Curia, Giulia; Brante, Glauber; Khosravi, Sara; Fan, Hua</t>
  </si>
  <si>
    <t>IEEE ACCESS</t>
  </si>
  <si>
    <t>10.1109/ACCESS.2020.3040064</t>
  </si>
  <si>
    <t>Cooperative Methods and Development of Social Competence in Training of Technical Teachers</t>
  </si>
  <si>
    <t>Tomory, Ibolya</t>
  </si>
  <si>
    <t>10.3991/ijep.v10i5.13849</t>
  </si>
  <si>
    <t>Heterogeneity in Early Life Investments: A Longitudinal Analysis of Children's Time Use</t>
  </si>
  <si>
    <t>Rokicki, Slawa; McGovern, Mark E.</t>
  </si>
  <si>
    <t>REVIEW OF INCOME AND WEALTH</t>
  </si>
  <si>
    <t>SEP 2020</t>
  </si>
  <si>
    <t>10.1111/roiw.12440</t>
  </si>
  <si>
    <t>Promoting cognitive and soft skills acquisition in a disadvantaged public school system: Evidence from the Nurture thru Nature randomized experiment</t>
  </si>
  <si>
    <t>Jagannathan, Radha; Camasso, Michael J.; Delacalle, Maia</t>
  </si>
  <si>
    <t>10.1016/j.econedurev.2019.04.005</t>
  </si>
  <si>
    <t>Exploring the Mastery Level of Critical Thinking and Problem Solving Skill among the Technical Undergraduate</t>
  </si>
  <si>
    <t>Lee, Ming Foong; Sohod, Siti Nooridayu Mohd; Ab Rahman, Azmanirah</t>
  </si>
  <si>
    <t>10.30880/jtet.2019.11.03.002</t>
  </si>
  <si>
    <t>Phuong Hoang; Mahoney, Thomas; Laved, Faizan; McNair, Matt</t>
  </si>
  <si>
    <t>AI MAGAZINE</t>
  </si>
  <si>
    <t>SPR 2018</t>
  </si>
  <si>
    <t>10.1609/aimag.v39i1.2775</t>
  </si>
  <si>
    <t>Trainees' perception of vocational training institutes degree apprenticeship: An empirical approach</t>
  </si>
  <si>
    <t>Brinia, Vasiliki; Stavropoulos, Petros; Athanasoula-Reppa, Anastasia</t>
  </si>
  <si>
    <t>10.1108/HESWBL-10-2017-0074</t>
  </si>
  <si>
    <t>Job Focus: Revisiting Students' Communicative Needs and Industrial Demands</t>
  </si>
  <si>
    <t>Fareen, Jabbar Al Muzzamil</t>
  </si>
  <si>
    <t>JOURNAL OF LANGUAGE AND EDUCATION</t>
  </si>
  <si>
    <t>10.17323/2411-7390-2018-4-4-42-53</t>
  </si>
  <si>
    <t>Incorporating the Tuning Approach in Higher Education curricular reforms and course design in Tanzania for enhancing graduates' competencies: stakeholders' views</t>
  </si>
  <si>
    <t>Ishengoma, Johnson Muchunguzi</t>
  </si>
  <si>
    <t>TUNING JOURNAL FOR HIGHER EDUCATION</t>
  </si>
  <si>
    <t>NOV 2017</t>
  </si>
  <si>
    <t>10.18543/tjhe-5(1)-2017pp121-169</t>
  </si>
  <si>
    <t>International Advice and Institutional (Mis) configuration</t>
  </si>
  <si>
    <t>Arandarenko, Mihail; Uvalic, Milica</t>
  </si>
  <si>
    <t>SOUTHEASTERN EUROPE</t>
  </si>
  <si>
    <t>2-3</t>
  </si>
  <si>
    <t>10.1163/18763332-03802003</t>
  </si>
  <si>
    <t>Identification of Non-Technical Competency Gaps of Engineering Graduates in Chile</t>
  </si>
  <si>
    <t>Leboeuf, Richard; Pizarro, Matias; Espinoza, Ricardo</t>
  </si>
  <si>
    <t>A Perspective on a Management Information Systems (MIS) Program Review</t>
  </si>
  <si>
    <t>Yew, Bee</t>
  </si>
  <si>
    <t>Skill sets and wage premium: A network analysis based on Chinese agriculture online job offers</t>
  </si>
  <si>
    <t>Duan, Min; Hou, Yali; Zhang, Binzhe; Chen, Chi; Sun, Yufan; Luo, Yingzi; Tan, Tao</t>
  </si>
  <si>
    <t>APR 2024</t>
  </si>
  <si>
    <t>10.1016/j.techfore.2024.123260</t>
  </si>
  <si>
    <t>Bridging the Gap between Theoretical Learning and Practical Application: A Qualitative Study in the Italian Educational Context</t>
  </si>
  <si>
    <t>Fantinelli, Stefania; Cortini, Michela; Di Fiore, Teresa; Iervese, Stefano; Galanti, Teresa</t>
  </si>
  <si>
    <t>FEB 2024</t>
  </si>
  <si>
    <t>10.3390/educsci14020198</t>
  </si>
  <si>
    <t>Impact of AI and COVID-19 on manufacturing systems: An Asia Pacific Perspective on the two Competing exigencies</t>
  </si>
  <si>
    <t>Bishnoi, Malini Mittal; Ramakrishnan, Swamynathan; Suraj, Swathi; Dwivedi, Ashish</t>
  </si>
  <si>
    <t>PRODUCTION AND MANUFACTURING RESEARCH-AN OPEN ACCESS JOURNAL</t>
  </si>
  <si>
    <t>DEC 31 2023</t>
  </si>
  <si>
    <t>10.1080/21693277.2023.2236684</t>
  </si>
  <si>
    <t>Participation in internship, professional competition and overseas exchange and accounting students' subsequent academic and job market performance</t>
  </si>
  <si>
    <t>Cheng, Chris K. C.; Chow, Eden Y. H.; Lam, Kevin C. K.; Lee, Joey H. Y.</t>
  </si>
  <si>
    <t>INTERNATIONAL JOURNAL OF MANAGEMENT EDUCATION</t>
  </si>
  <si>
    <t>10.1016/j.ijme.2023.100887</t>
  </si>
  <si>
    <t>Serious games to assess university students' soft skills: investigating the effectiveness of a gamified assessment prototype</t>
  </si>
  <si>
    <t>Marengo, Agostino; Pagano, Alessandro; Soomro, Kamal Ahmed</t>
  </si>
  <si>
    <t>INTERACTIVE LEARNING ENVIRONMENTS</t>
  </si>
  <si>
    <t>10.1080/10494820.2023.2253849</t>
  </si>
  <si>
    <t>Hard and Soft Skills in Vocational Training: Experimental Evidence from Colombia</t>
  </si>
  <si>
    <t>Barrera-Osorio, Felipe; Kugler, Adriana; Silliman, Mikko</t>
  </si>
  <si>
    <t>JUL 28 2023</t>
  </si>
  <si>
    <t>10.1093/wber/lhad007</t>
  </si>
  <si>
    <t>Exploring the generic skills required for the employability and professional wellbeing of Pakistani Millennials: The employers' perspective</t>
  </si>
  <si>
    <t>Iqbal, Jawad; Shaikh, Aliya Ahmad; Jamal, Warda Najeeb; Akhtar, Kalsoom; Rahim, Rabia; Kousar, Shazia</t>
  </si>
  <si>
    <t>FRONTIERS IN PSYCHOLOGY</t>
  </si>
  <si>
    <t>JAN 5 2023</t>
  </si>
  <si>
    <t>10.3389/fpsyg.2022.1070267</t>
  </si>
  <si>
    <t>Teaching ceramic materials in mechanical engineering: An active learning experience</t>
  </si>
  <si>
    <t>Alves, Jorge Lino; Duarte, Teresa</t>
  </si>
  <si>
    <t>INTERNATIONAL JOURNAL OF MECHANICAL ENGINEERING EDUCATION</t>
  </si>
  <si>
    <t>JAN 2023</t>
  </si>
  <si>
    <t>10.1177/03064190221142096</t>
  </si>
  <si>
    <t>Fully Online In-demand Skill Training: Understanding Participant' Reason and Reaction</t>
  </si>
  <si>
    <t>Batita, Maurish Sofie Rahmi; Wedi, Agus; Sulthoni</t>
  </si>
  <si>
    <t>10.30880/jtet.2023.15.02.009</t>
  </si>
  <si>
    <t>Importance of sustainable training for the employment of the future</t>
  </si>
  <si>
    <t>Gomez, Sonia Martin; de Luna, Angel Bartolome Munoz; Avila, Maria Jesus Lago</t>
  </si>
  <si>
    <t>INTANGIBLE CAPITAL</t>
  </si>
  <si>
    <t>10.3926/ic.2100</t>
  </si>
  <si>
    <t>The job market for HPB surgeons: leadership perspectives on surgeon skillsets, training pathways, and hiring</t>
  </si>
  <si>
    <t>Hughes, Dorothy; Hernandez, Fernanda Romero; Miller, Phoebe; Warner, Susanne; Babicky, Michele; Visser, Brendan; Alseidi, Adnan</t>
  </si>
  <si>
    <t>AHPBA SWOT Taskforce</t>
  </si>
  <si>
    <t>HPB</t>
  </si>
  <si>
    <t>10.1016/j.hpb.2022.09.017</t>
  </si>
  <si>
    <t>Emerging HR analytics role in a crisis: an analysis of LinkedIn data</t>
  </si>
  <si>
    <t>Kashive, Neerja; Khanna, Vandana Tandon</t>
  </si>
  <si>
    <t>COMPETITIVENESS REVIEW</t>
  </si>
  <si>
    <t>NOV 1 2023</t>
  </si>
  <si>
    <t>10.1108/CR-03-2022-0029</t>
  </si>
  <si>
    <t>Beyond Learning Management Systems: Teaching Digital Fluency</t>
  </si>
  <si>
    <t>Le, Danvy; Pole, Antoinette</t>
  </si>
  <si>
    <t>JOURNAL OF POLITICAL SCIENCE EDUCATION</t>
  </si>
  <si>
    <t>JAN 2 2023</t>
  </si>
  <si>
    <t>10.1080/15512169.2022.2139268</t>
  </si>
  <si>
    <t>Financial life-skills training and labor market outcomes in Indonesia</t>
  </si>
  <si>
    <t>Grimes, Paul W.; Lopus, Jane S.; Amidjono, Dwi Sulistyorini</t>
  </si>
  <si>
    <t>INTERNATIONAL REVIEW OF ECONOMICS EDUCATION</t>
  </si>
  <si>
    <t>NOV 2022</t>
  </si>
  <si>
    <t>10.1016/j.iree.2022.100255</t>
  </si>
  <si>
    <t>Does Canada's Express Entry System Meet the Challenges of the Labor Market?</t>
  </si>
  <si>
    <t>Zhang, Tingting; Banerjee, Rupa; Amarshi, Aliya</t>
  </si>
  <si>
    <t>JOURNAL OF IMMIGRANT &amp; REFUGEE STUDIES</t>
  </si>
  <si>
    <t>10.1080/15562948.2022.2133201</t>
  </si>
  <si>
    <t>Soft Skills in the Youth Labor Market</t>
  </si>
  <si>
    <t>Heller, Sara B.; Kessler, Judd B.</t>
  </si>
  <si>
    <t>AEA PAPERS AND PROCEEDINGS</t>
  </si>
  <si>
    <t>10.1257/pandp.20221034</t>
  </si>
  <si>
    <t>134th Annual Meeting of the American-Economic-Association (AEA)</t>
  </si>
  <si>
    <t>JAN 07-09, 2022</t>
  </si>
  <si>
    <t>Hidden Gold for IT Professionals, Educators, and Students: Insights From Stack Overflow Survey</t>
  </si>
  <si>
    <t>Dada, Oluwaseun Alexander; Obaido, George; Sanusi, Ismaila Temitayo; Aruleba, Kehinde; Yunusa, Abdullahi Abubakar</t>
  </si>
  <si>
    <t>IEEE TRANSACTIONS ON COMPUTATIONAL SOCIAL SYSTEMS</t>
  </si>
  <si>
    <t>10.1109/TCSS.2022.3151130</t>
  </si>
  <si>
    <t>The recruit requirements of recent graduates: approaching the existing mismatch</t>
  </si>
  <si>
    <t>Pujol-Jover, Maria; Duque, Lola C.; Riera-Prunera, Maria-Carme</t>
  </si>
  <si>
    <t>TOTAL QUALITY MANAGEMENT &amp; BUSINESS EXCELLENCE</t>
  </si>
  <si>
    <t>10.1080/14783363.2022.2029695</t>
  </si>
  <si>
    <t>COACH_ING EDUCATIONAL MODEL: analysis and application for business</t>
  </si>
  <si>
    <t>Callea, Viviana; Remigi, Germana; Tempone, Roberta; Matrisciano, Lia; Ursache, Mihai</t>
  </si>
  <si>
    <t>Kallel, I; Kammoun, HM; Akkari, A; Hsairi, L</t>
  </si>
  <si>
    <t>PROCEEDINGS OF THE 2022 IEEE GLOBAL ENGINEERING EDUCATION CONFERENCE (EDUCON 2022)</t>
  </si>
  <si>
    <t>10.1109/EDUCON52537.2022.9766810</t>
  </si>
  <si>
    <t>13th IEEE Global Engineering Education Conference (IEEE EDUCON)</t>
  </si>
  <si>
    <t>MAR 28-31, 2022</t>
  </si>
  <si>
    <t>Effective Reskilling of Foreign-Born People at Universities-The Software Development Academy</t>
  </si>
  <si>
    <t>Wiggberg, Mattias; Gobena, Elina; Kaulio, Matti; Glassey, Richard; Balter, Olle; Hussain, Dena; Guanciale, Roberto; Haller, Philipp</t>
  </si>
  <si>
    <t>10.1109/ACCESS.2022.3152194</t>
  </si>
  <si>
    <t>Employer Expectations Regarding the Competencies of Employees on the Energy Market in Poland</t>
  </si>
  <si>
    <t>Szydlo, Robert; Wisniewska, Sylwia; Tyranska, Malgorzata; Dolot, Anna; Bukowska, Urszula; Koczynski, Marek</t>
  </si>
  <si>
    <t>10.3390/en14217233</t>
  </si>
  <si>
    <t>Industrial Revolution 4.0: A New Challenge to Brunei Darussalam's Unemployment Issue</t>
  </si>
  <si>
    <t>Sait, Muhammad Azmi; Anshari, Muhammad</t>
  </si>
  <si>
    <t>INTERNATIONAL JOURNAL OF ASIAN BUSINESS AND INFORMATION MANAGEMENT</t>
  </si>
  <si>
    <t>OCT-DEC 2021</t>
  </si>
  <si>
    <t>10.4018/IJABIM.20211001.oa3</t>
  </si>
  <si>
    <t>The long-term influences of ability mixing on soft skills</t>
  </si>
  <si>
    <t>Ahn, Taehyun; Goh, Young-Geun</t>
  </si>
  <si>
    <t>JOURNAL OF ECONOMIC BEHAVIOR &amp; ORGANIZATION</t>
  </si>
  <si>
    <t>10.1016/j.jebo.2021.09.008</t>
  </si>
  <si>
    <t>Bridging Recognition of Prior Learning (RPL) and Corporate Social Responsibility (CSR): Circular Flow of Interaction among the University, Industry, and People</t>
  </si>
  <si>
    <t>Roy, Rumpa; El Marsafawy, Hesham</t>
  </si>
  <si>
    <t>10.3390/su13084532</t>
  </si>
  <si>
    <t>In Search of the Older Worker: Framing Job Requirements in Recruitment Advertisements</t>
  </si>
  <si>
    <t>van Selm, Martine; van den Heijkant, Linda</t>
  </si>
  <si>
    <t>WORK AGING AND RETIREMENT</t>
  </si>
  <si>
    <t>10.1093/workar/waaa026</t>
  </si>
  <si>
    <t>IMPROVING THE EFFICIENCY OF DEVELOPMENT OF REGIONAL LABOR MARKETS BY SOLVING THE PROBLEM OF PROFESSIONAL TRAINING</t>
  </si>
  <si>
    <t>Borodiyenko, O.; Milto, L.; Kamenska, I; Bokshyts, O.; Malykhina, V</t>
  </si>
  <si>
    <t>FINANCIAL AND CREDIT ACTIVITY-PROBLEMS OF THEORY AND PRACTICE</t>
  </si>
  <si>
    <t>Elucidating Skills for Job Seekers: Insights and Critical Concerns from a Field Deployment in Switzerland</t>
  </si>
  <si>
    <t>Cherubini, Mauro; Lu, Alex Jiahong; Hsiao, Joey Chiao-Yin; Zhao, Muhan; Aggarwal, Anandita; Dillahunt, Tawanna R.</t>
  </si>
  <si>
    <t>PROCEEDINGS OF THE 2021 ACM DESIGNING INTERACTIVE SYSTEMS CONFERENCE (DIS 2021)</t>
  </si>
  <si>
    <t>10.1145/3461778.3462049</t>
  </si>
  <si>
    <t>ACM Designing Interactive Systems Conference (DIS)</t>
  </si>
  <si>
    <t>JUN 28-JUL 02, 2021</t>
  </si>
  <si>
    <t>Competence-Targeted Education for BIM Professionals: A Case Example of the Vietnamese Construction Industry</t>
  </si>
  <si>
    <t>Tuan Anh Nguyen</t>
  </si>
  <si>
    <t>ENGINEERING JOURNAL-THAILAND</t>
  </si>
  <si>
    <t>10.4186/ej.2021.25.7.147</t>
  </si>
  <si>
    <t>Emotional and Social Intelligence Competencies in the Digital Era</t>
  </si>
  <si>
    <t>Bonesso, Sara; Bruni, Elena; Gerli, Fabrizio</t>
  </si>
  <si>
    <t>BEHAVIORAL COMPETENCIES OF DIGITAL PROFESSIONALS: UNDERSTANDING THE ROLE OF EMOTIONAL INTELLIGENCE</t>
  </si>
  <si>
    <t>10.1007/978-3-030-33578-6_3</t>
  </si>
  <si>
    <t>Skill-based Career Path Modeling and Recommendation</t>
  </si>
  <si>
    <t>Ghosh, Aritra; Woolf, Beverly; Zilberstein, Shlomo; Lan, Andrew</t>
  </si>
  <si>
    <t>Wu, XT; Jermaine, C; Xiong, L; Hu, XH; Kotevska, O; Lu, SY; Xu, WJ; Aluru, S; Zhai, CX; Al-Masri, E; Chen, ZY; Saltz, J</t>
  </si>
  <si>
    <t>2020 IEEE INTERNATIONAL CONFERENCE ON BIG DATA (BIG DATA)</t>
  </si>
  <si>
    <t>10.1109/BigData50022.2020.9377992</t>
  </si>
  <si>
    <t>8th IEEE International Conference on Big Data (Big Data)</t>
  </si>
  <si>
    <t>DEC 10-13, 2020</t>
  </si>
  <si>
    <t>The development of soft skills among students during a business game</t>
  </si>
  <si>
    <t>Vinichenko, Mikhail V.; Melnichuk, Alexander, V; Makushkin, Sergey A.</t>
  </si>
  <si>
    <t>Domenech, J; Merello, P; DeLaPoza, E; PenaOrtiz, R</t>
  </si>
  <si>
    <t>HEAD'20: 6TH INTERNATIONAL CONFERENCE ON HIGHER EDUCATION ADVANCES</t>
  </si>
  <si>
    <t>10.4995/HEAd20.2020.11047</t>
  </si>
  <si>
    <t>6th International Conference on Higher Education Advances (HEAd</t>
  </si>
  <si>
    <t>JUN 02-05, 2020</t>
  </si>
  <si>
    <t>Understanding the Specific Technical Requirements Needed for Successful Transitioning to a Workplace and the Chemistry Undergraduate Course Syllabi: A Case Study</t>
  </si>
  <si>
    <t>Wong, Clarence Wei Wen; Goh, Hui Yi; One, Yue Ying</t>
  </si>
  <si>
    <t>JAN 2020</t>
  </si>
  <si>
    <t>10.1021/acs.jchemed.9b00376</t>
  </si>
  <si>
    <t>UNIVERSITY LEGAL LEARNING SPACES EFFECTIVENESS IN DEVELOPING EMPLOYABILITY SKILLS OF FUTURE LAW GRADUATES</t>
  </si>
  <si>
    <t>Turner, Jason James; Amirnuddin, Puteri Sofia; Singh, Harmahinder Singh Iqbal</t>
  </si>
  <si>
    <t>MALAYSIAN JOURNAL OF LEARNING &amp; INSTRUCTION</t>
  </si>
  <si>
    <t>Investigating the prevailing issues surrounding ICT graduate employability in South Africa: A case study of a South African university</t>
  </si>
  <si>
    <t>Ohei, Kenneth Nwanua; Brink, Roelien</t>
  </si>
  <si>
    <t>INDEPENDENT JOURNAL OF TEACHING AND LEARNING</t>
  </si>
  <si>
    <t>The Work of Code Switching &lt;i&gt;Implications for Gender and Racial Inequality in Employment&lt;/i&gt;</t>
  </si>
  <si>
    <t>Krasas, Jackie</t>
  </si>
  <si>
    <t>RELIGION AND THEOLOGY-A JOURNAL OF CONTEMPORARY RELIGIOUS DISCOURSE</t>
  </si>
  <si>
    <t>3-4</t>
  </si>
  <si>
    <t>10.1163/15743012-02503004</t>
  </si>
  <si>
    <t>Years of Since Migration: On the Motivation to Reexamine the Role of Immigrant Selectivity in Black Ethnic Labor Market Disparities</t>
  </si>
  <si>
    <t>10.1111/socf.12428</t>
  </si>
  <si>
    <t>The impact of successful cross-competencies on a career in tourism in Italy: the meeting point between the students' perceptions and the requirements for professionals</t>
  </si>
  <si>
    <t>Bustreo, Massimo; Micheletto, Valeria; Quaratino, Luca; Fiorentino, Donatella</t>
  </si>
  <si>
    <t>JOURNAL OF TEACHING IN TRAVEL &amp; TOURISM</t>
  </si>
  <si>
    <t>10.1080/15313220.2018.1460652</t>
  </si>
  <si>
    <t>LABOR MOBILITY OF MIGRANTS FROM THE EURASIAN ECONOMIC UNION MEMBER COUNTRIES ON THE RUSSIAN MARKET OF LABOR: STATUS, PROBLEMS, SCENARIOS OF DEVELOPMENT</t>
  </si>
  <si>
    <t>Osadchaya, Galina; Leskova, Irina; Yudina, Tatiana</t>
  </si>
  <si>
    <t>Maloletko, A; Rupcic, N; Baracskai, Z</t>
  </si>
  <si>
    <t>ECONOMIC AND SOCIAL DEVELOPMENT</t>
  </si>
  <si>
    <t>34th International Scientific Conference on Economic and Social Development / 18th International Social Congress (ISC)</t>
  </si>
  <si>
    <t>OCT 18-19, 2018</t>
  </si>
  <si>
    <t>The role of international competences in increasing graduates' access to the labor market</t>
  </si>
  <si>
    <t>Butum, Lavinia Cornelia</t>
  </si>
  <si>
    <t>PROCEEDINGS OF THE INTERNATIONAL CONFERENCE ON BUSINESS EXCELLENCE</t>
  </si>
  <si>
    <t>JUL 2017</t>
  </si>
  <si>
    <t>10.1515/picbe-2017-0055</t>
  </si>
  <si>
    <t>11th International Conference on Business Excellence - Strategy, Complexity and Energy in Changing Times</t>
  </si>
  <si>
    <t>MAR 30-31, 2017</t>
  </si>
  <si>
    <t>Application of Fuzzy Delphi Approach Determining Element in Technical Skills among Students towards the Electrical Engineering Industry Needs</t>
  </si>
  <si>
    <t>Hasan, Azman; Hafiz, Mohd Nur F.; Shahril, Mohd M. H.</t>
  </si>
  <si>
    <t>Apollo: Near-Duplicate Detection for Job Ads in the Online Recruitment Domain</t>
  </si>
  <si>
    <t>Burk, Hunter; Javed, Faizan; Balaji, Janani</t>
  </si>
  <si>
    <t>Gottumukkala, R; Ning, X; Dong, G; Raghavan, V; Aluru, S; Karypis, G; Miele, L; Wu, X</t>
  </si>
  <si>
    <t>2017 17TH IEEE INTERNATIONAL CONFERENCE ON DATA MINING WORKSHOPS (ICDMW 2017)</t>
  </si>
  <si>
    <t>10.1109/ICDMW.2017.29</t>
  </si>
  <si>
    <t>17th IEEE International Conference on Data Mining (ICDMW)</t>
  </si>
  <si>
    <t>NOV 18-21, 2017</t>
  </si>
  <si>
    <t>Bayesian Multi-View Models for Member-Job Matching and Personalized Skill Recommendations</t>
  </si>
  <si>
    <t>Maurya, Abhinav; Telang, Rahul</t>
  </si>
  <si>
    <t>Nie, JY; Obradovic, Z; Suzumura, T; Ghosh, R; Nambiar, R; Wang, C; Zang, H; BaezaYates, R; Hu, X; Kepner, J; Cuzzocrea, A; Tang, J; Toyoda, M</t>
  </si>
  <si>
    <t>2017 IEEE INTERNATIONAL CONFERENCE ON BIG DATA (BIG DATA)</t>
  </si>
  <si>
    <t>IEEE International Conference on Big Data (IEEE Big Data)</t>
  </si>
  <si>
    <t>DEC 11-14, 2017</t>
  </si>
  <si>
    <t>BRIDGING THE EDUCATIONAL GAP BETWEEN THE JOB MARKET AND DIGITAL NATIVES</t>
  </si>
  <si>
    <t>Peres, P.; Mesquita, A.</t>
  </si>
  <si>
    <t>Chova, LG; Martinez, AL; Torres, IC</t>
  </si>
  <si>
    <t>9TH INTERNATIONAL CONFERENCE ON EDUCATION AND NEW LEARNING TECHNOLOGIES (EDULEARN17)</t>
  </si>
  <si>
    <t>9th International Conference on Education and New Learning Technologies (EDULEARN)</t>
  </si>
  <si>
    <t>JUL 03-05, 2017</t>
  </si>
  <si>
    <t>TRANSLATING CRITICAL THINKING SKILLS TO HIGHER EDUCATION PRACTICES</t>
  </si>
  <si>
    <t>Soares, Diana; Franco, Amanda; Dias, Diana</t>
  </si>
  <si>
    <t>INTED2017: 11TH INTERNATIONAL TECHNOLOGY, EDUCATION AND DEVELOPMENT CONFERENCE</t>
  </si>
  <si>
    <t>11th International Conference on Technology, Education and Development (INTED)</t>
  </si>
  <si>
    <t>MAR 06-08, 2017</t>
  </si>
  <si>
    <t>The importance of communication competency for employability</t>
  </si>
  <si>
    <t>Dominguez Martin, Rosa</t>
  </si>
  <si>
    <t>BernalGuerrero, A</t>
  </si>
  <si>
    <t>HIGHER EDUCATION: THE CHALLENGE OF EMPLOYABILITY</t>
  </si>
  <si>
    <t>10.1016/j.sbspro.2014.08.024</t>
  </si>
  <si>
    <t>13th International Congress on Theory of Education</t>
  </si>
  <si>
    <t>NOV 26-28, 2014</t>
  </si>
  <si>
    <t>FACTORS AFFECTING THE MOTIVATION AND SUCCESS OF TECHNICAL UNIVERSITY STUDENTS</t>
  </si>
  <si>
    <t>Spakovska, Katerina; Miklosikova, Miroslava; Vanek, Michal; Ballarin, Marek</t>
  </si>
  <si>
    <t>GEOCONFERENCE ON ECOLOGY, ECONOMICS, EDUCATION AND LEGISLATION, SGEM 2014, VOL III</t>
  </si>
  <si>
    <t>14th International Multidisciplinary Scientific Geoconference (SGEM)</t>
  </si>
  <si>
    <t>JUN 17-26, 2014</t>
  </si>
  <si>
    <t>On the design of elective courses in rf and communications according to the needs of industry</t>
  </si>
  <si>
    <t>Dalveren, Yaser; Kara, Ali</t>
  </si>
  <si>
    <t>Baskan, GA; Ozdamli, F; Kanbul, S; Ozcan, D</t>
  </si>
  <si>
    <t>4TH WORLD CONFERENCE ON EDUCATIONAL SCIENCES (WCES-2012)</t>
  </si>
  <si>
    <t>10.1016/j.sbspro.2012.05.338</t>
  </si>
  <si>
    <t>4th World Conference on Educational Sciences (WCES)</t>
  </si>
  <si>
    <t>FEB 02-05, 2012</t>
  </si>
  <si>
    <t>Smart tri-partite partnership: polytechnic-industry-student</t>
  </si>
  <si>
    <t>Zainuddin, Zaharatul Akmar Ahmad; Hashim, Abd Shukor; Aziz, Ir. Ghazali Abd</t>
  </si>
  <si>
    <t>Uzunboylu, H</t>
  </si>
  <si>
    <t>WORLD CONFERENCE ON LEARNING, TEACHING &amp; ADMINISTRATION - 2011</t>
  </si>
  <si>
    <t>10.1016/j.sbspro.2011.12.096</t>
  </si>
  <si>
    <t>2nd World Conference on Learning, Teaching and Educational Leadership (WCLTA)</t>
  </si>
  <si>
    <t>OCT 28-30, 2011</t>
  </si>
  <si>
    <t>A team building and team update system in a projectised organisation scenario</t>
  </si>
  <si>
    <t>De Meo, Pasquale; Plutino, Diego; Quattrone, Giovanni; Ursino, Domenico</t>
  </si>
  <si>
    <t>INTERNATIONAL JOURNAL OF DATA MINING MODELLING AND MANAGEMENT</t>
  </si>
  <si>
    <t>10.1504/IJDMMM.2010.031021</t>
  </si>
  <si>
    <t>Perceived Employability of Moroccan Engineering Students: a PLS-SEM Approach</t>
  </si>
  <si>
    <t>Qostal, Aniss; Sellamy, Khadija; Sabri, Zineb; Nouib, Hamza; Lakhrissi, Younes; Moumen, Aniss</t>
  </si>
  <si>
    <t>INTERNATIONAL JOURNAL OF INSTRUCTION</t>
  </si>
  <si>
    <t>10.29333/iji.2024.17215a</t>
  </si>
  <si>
    <t>Sustainable employment for vocational education and training graduates: the case of future skills matching in Bangladesh</t>
  </si>
  <si>
    <t>Alam, Md Jahangir; Reza, S. M. Ali; Ogawa, Keiichi; Ahsan, Abu Hossain Muhammad</t>
  </si>
  <si>
    <t>INTERNATIONAL JOURNAL OF TRAINING RESEARCH</t>
  </si>
  <si>
    <t>SEP 1 2024</t>
  </si>
  <si>
    <t>10.1080/14480220.2024.2308224</t>
  </si>
  <si>
    <t>Addressing soft skill gaps in the digital employment market: the case of Spanish students in a technology-based university</t>
  </si>
  <si>
    <t>Ramos-Monge, Elva; Fox, Paul; Garcia-Piquer, Alvaro</t>
  </si>
  <si>
    <t>NOV 14 2023</t>
  </si>
  <si>
    <t>6/7</t>
  </si>
  <si>
    <t>10.1108/ET-04-2023-0165</t>
  </si>
  <si>
    <t>Trends in Brazil's Forestry Education-Part 2: Mismatch between Training and Forest Sector Demands</t>
  </si>
  <si>
    <t>Hakamada, Rodrigo; Ferraz, Silvio Frosini de Barros; Sulbaran-Rangel, Belkis</t>
  </si>
  <si>
    <t>FORESTS</t>
  </si>
  <si>
    <t>SEP 2023</t>
  </si>
  <si>
    <t>10.3390/f14091805</t>
  </si>
  <si>
    <t>Career Trajectories of Higher Education Graduates: Impact of Soft Skills</t>
  </si>
  <si>
    <t>Ibourk, Aomar; El Aynaoui, Karim</t>
  </si>
  <si>
    <t>ECONOMIES</t>
  </si>
  <si>
    <t>10.3390/economies11070198</t>
  </si>
  <si>
    <t>Reemployment during the Covid-19 pandemic in Indonesia: What kinds of skill sets are needed?</t>
  </si>
  <si>
    <t>Dartanto, Teguh; Susanti, Hera; Augustin, Eldest; Fitriani, Kania</t>
  </si>
  <si>
    <t>COGENT ECONOMICS &amp; FINANCE</t>
  </si>
  <si>
    <t>JUN 15 2023</t>
  </si>
  <si>
    <t>10.1080/23322039.2023.2210382</t>
  </si>
  <si>
    <t>Beyond Economic Immigration: Understanding the Role of Labor Market and Lifestyle Expectations in Technology Sector Newcomer Experiences in Canada</t>
  </si>
  <si>
    <t>Rice, Faun E. E.; Quan, Trevor R. R.</t>
  </si>
  <si>
    <t>DEC 2023</t>
  </si>
  <si>
    <t>SUPPL 6</t>
  </si>
  <si>
    <t>10.1007/s12134-023-01056-2</t>
  </si>
  <si>
    <t>Work integration ambitions of startups in the circular economy</t>
  </si>
  <si>
    <t>Van Opstal, Wim; Borms, Lize</t>
  </si>
  <si>
    <t>ANNALS OF PUBLIC AND COOPERATIVE ECONOMICS</t>
  </si>
  <si>
    <t>10.1111/apce.12431</t>
  </si>
  <si>
    <t>Leading towards the students' career development and career intentions through using multidimensional soft skills in the digital age</t>
  </si>
  <si>
    <t>Shah, Naimatullah; Bano, Safia; Saraih, Ummi Naiemah; Abdelwahed, Nadia A. Abdelmegeed; Soomro, Bahadur Ali</t>
  </si>
  <si>
    <t>10.1108/ET-12-2022-0470</t>
  </si>
  <si>
    <t>Industrial needs v. Engineering education curricula related to maintenance, production and quality in industry 4.0: A gap analysis case study in Tunisia and Morocco</t>
  </si>
  <si>
    <t>Elkosantini, Sabeur; Hajri-Gabouj, Sonia; Kacem, Rami B. H.; Darmoul, Saber; Ammar, Achraf; Elouadi, Abdelmajid; Ghrairi, Zied; Moalla, Nejib; Bentaha, Mohand L.; Sarraipa, Joao</t>
  </si>
  <si>
    <t>OCT 2023</t>
  </si>
  <si>
    <t>10.1177/09504222231153782</t>
  </si>
  <si>
    <t>Gamification and Soft Skills Assessment in the Development of a Serious Game: Design and Feasibility Pilot Study</t>
  </si>
  <si>
    <t>Altomari, Luca; Altomari, Natalia; Iazzolino, Gianpaolo</t>
  </si>
  <si>
    <t>JMIR SERIOUS GAMES</t>
  </si>
  <si>
    <t>e45436</t>
  </si>
  <si>
    <t>10.2023/1/e45436</t>
  </si>
  <si>
    <t>Investigation of Essential Skills for Data Analysts: An Analysis Based on LinkedIn</t>
  </si>
  <si>
    <t>Zhang, Jin; Le, Taowen; Chen, Jianyao</t>
  </si>
  <si>
    <t>JOURNAL OF GLOBAL INFORMATION MANAGEMENT</t>
  </si>
  <si>
    <t>10.4018/JGIM.326548</t>
  </si>
  <si>
    <t>Turning Crisis into a Sustainable Opportunity Regarding Demand for Training and New Skills in Labor Market: An Empirical Analysis of COVID-19 Pandemic and Skills Upgradation</t>
  </si>
  <si>
    <t>Hayat, Muhammad Azmat; Chaudhry, Mumtaz Anwar; Batool, Maryam; Ghulam, Huma; Khan, Abid Raza; Spulbar, Cristi; Zahid Naeem, Muhammad; Birau, Ramona; Criveanu, Maria Magdalena</t>
  </si>
  <si>
    <t>10.3390/su142416785</t>
  </si>
  <si>
    <t>More than language: the work of an English training centre in Delhi</t>
  </si>
  <si>
    <t>Datta, Abhishek Ranjan</t>
  </si>
  <si>
    <t>THIRD WORLD QUARTERLY</t>
  </si>
  <si>
    <t>MAR 3 2024</t>
  </si>
  <si>
    <t>10.1080/01436597.2022.2136069</t>
  </si>
  <si>
    <t>The use of video essays and podcasts to enhance creativity and critical thinking in engineering</t>
  </si>
  <si>
    <t>Caratozzolo, Patricia; Lara-Prieto, Vianney; Hosseini, Samira; Membrillo-Hernandez, Jorge</t>
  </si>
  <si>
    <t>10.1007/s12008-022-00952-8</t>
  </si>
  <si>
    <t>For Sustainable Career Development: Framework and Assessment of the Employability of Business English Graduates</t>
  </si>
  <si>
    <t>Tong, Minjun; Gao, Tianyue</t>
  </si>
  <si>
    <t>APR 14 2022</t>
  </si>
  <si>
    <t>10.3389/fpsyg.2022.847247</t>
  </si>
  <si>
    <t>How automation and skill gaps fail to explain wage suppression or wage inequality</t>
  </si>
  <si>
    <t>Mishel, Lawrence</t>
  </si>
  <si>
    <t>INDUSTRIAL AND CORPORATE CHANGE</t>
  </si>
  <si>
    <t>MAR 31 2022</t>
  </si>
  <si>
    <t>10.1093/icc/dtac004</t>
  </si>
  <si>
    <t>Unemployment transitions and the role of minimum wage: From pre-crisis to crisis and recovery</t>
  </si>
  <si>
    <t>Andriopoulou, Eirini; Karakitsios, Alexandros</t>
  </si>
  <si>
    <t>IZA JOURNAL OF LABOR POLICY</t>
  </si>
  <si>
    <t>JAN 1 2022</t>
  </si>
  <si>
    <t>10.2478/izajolp-2022-0002</t>
  </si>
  <si>
    <t>Evolution of Soft Skills for Engineering Education in the Digital Era</t>
  </si>
  <si>
    <t>Pessoa da Silva, Leonardo Breno; Barreto, Bernardo Perota; Treinta, Fernanda Tavares; Martins de Resende, Luis Mauricio; Yoshino, Rui Tadashi; Pontes, Joseane</t>
  </si>
  <si>
    <t>Kosir, A; Fernandes, FP; Pacheco, MF; Teixeira, JP; Lopes, RP; Pereira, AI</t>
  </si>
  <si>
    <t>OPTIMIZATION, LEARNING ALGORITHMS AND APPLICATIONS, OL2A 2022</t>
  </si>
  <si>
    <t>10.1007/978-3-031-23236-7_44</t>
  </si>
  <si>
    <t>2nd International Conference on Optimization, Learning Algorithms and Applications (OL2A)</t>
  </si>
  <si>
    <t>OCT 24-25, 2022</t>
  </si>
  <si>
    <t>TVET Skills Gap Analysis in Electrical and Electronic Industry: Perspectives from Academicians and Industry Players</t>
  </si>
  <si>
    <t>Rodzalan, Shazaitul Azreen; Noor, Noor Nazihah Mohd; Abdullah, Nor Hazana; Saat, Maisarah Mohamed</t>
  </si>
  <si>
    <t>10.30880/jtet.2022.14.01.014</t>
  </si>
  <si>
    <t>Exploration of employability perceptions with blended multi-criteria decision-making methods</t>
  </si>
  <si>
    <t>Castro-Lopez, Adrian; Monteiro, Silvia; Bernardo, Ana B.; Almeida, Leandro S.</t>
  </si>
  <si>
    <t>10.1108/ET-07-2021-0296</t>
  </si>
  <si>
    <t>Automation in Colombia: assessing skills needed for the future of work</t>
  </si>
  <si>
    <t>Jones, Michael; Idrovo-Carlier, Sandra; Rodriguez, Alfredo J.</t>
  </si>
  <si>
    <t>MAR 9 2022</t>
  </si>
  <si>
    <t>10.1108/HESWBL-01-2021-0003</t>
  </si>
  <si>
    <t>Exploring the communication skills of Indian engineering undergraduates: a partial ethnographic study</t>
  </si>
  <si>
    <t>Kaushal, Urvashi; Talwar, Toran</t>
  </si>
  <si>
    <t>10.1108/HESWBL-09-2020-0217</t>
  </si>
  <si>
    <t>Recommendations for workforce development in regenerative medicine biomanufacturing</t>
  </si>
  <si>
    <t>Green, Gary M.; Read, Russ H.; Lee, Sengyong; Tubon, Thomas; Hunsberger, Joshua G.; Atala, Anthony</t>
  </si>
  <si>
    <t>STEM CELLS TRANSLATIONAL MEDICINE</t>
  </si>
  <si>
    <t>10.1002/sctm.21-0037</t>
  </si>
  <si>
    <t>Non-cognitive skills matter, beauty not that much: Evidence from hiring technicians</t>
  </si>
  <si>
    <t>JOURNAL OF EAST EUROPEAN MANAGEMENT STUDIES</t>
  </si>
  <si>
    <t>10.5771/0949-6181-2021-1-44</t>
  </si>
  <si>
    <t>Blockchain-Engineers Wanted: an Empirical Analysis on Required Skills, Education and Experience</t>
  </si>
  <si>
    <t>Kassab, Mohamad; Destefanis, Giuseppe; DeFranco, Joanna; Pranav, Prince</t>
  </si>
  <si>
    <t>2021 IEEE/ACM 4TH INTERNATIONAL WORKSHOP ON EMERGING TRENDS IN SOFTWARE ENGINEERING FOR BLOCKCHAIN (WETSEB 2021)</t>
  </si>
  <si>
    <t>10.1109/WETSEB52558.2021.00014</t>
  </si>
  <si>
    <t>IEEE/ACM 4th International Workshop on Emerging Trends in Software Engineering for Blockchain (WETSEB)</t>
  </si>
  <si>
    <t>MAY 22-30, 2021</t>
  </si>
  <si>
    <t>NON COGNITIVE SKILLS AS THE NEW METRIC IN RECENT LABOR MARKETS CASE STUDY: THE IMPACT OF SOCIAL MEDIA IN PROMOTING AND DEVELOPING SKILLS</t>
  </si>
  <si>
    <t>Staboulis, Miltiadis; Lazaridou, Irene</t>
  </si>
  <si>
    <t>14TH INTERNATIONAL TECHNOLOGY, EDUCATION AND DEVELOPMENT CONFERENCE (INTED2020)</t>
  </si>
  <si>
    <t>14th International Technology, Education and Development Conference (INTED)</t>
  </si>
  <si>
    <t>MAR 02-04, 2020</t>
  </si>
  <si>
    <t>Demand for skills on the labor market in the IT sector</t>
  </si>
  <si>
    <t>Ternikov, Andrei A.; Aleksandrova, Ekaterina A.</t>
  </si>
  <si>
    <t>BIZNES INFORMATIKA-BUSINESS INFORMATICS</t>
  </si>
  <si>
    <t>10.17323/2587-814X.2020.2.64.83</t>
  </si>
  <si>
    <t>EFFECTS OF THE FOURTH INDUSTRIAL REVOLUTION ON THE ISRAELI ECONOMY</t>
  </si>
  <si>
    <t>Gotesman Bercovici, Elisa; Bercovici, Adrian; Sandru, Mircea</t>
  </si>
  <si>
    <t>QUALITY-ACCESS TO SUCCESS</t>
  </si>
  <si>
    <t>MAR 2019</t>
  </si>
  <si>
    <t>AUGMENTED REALITY AND DIGITAL FABRICATION TECHNOLOGIES AS ASSISTIVE TOOLS FOR UNIVERSITY STUDENTS WITH DISABILITIES</t>
  </si>
  <si>
    <t>Lorenzo, C.; Lorenzo, E.</t>
  </si>
  <si>
    <t>13TH INTERNATIONAL TECHNOLOGY, EDUCATION AND DEVELOPMENT CONFERENCE (INTED2019)</t>
  </si>
  <si>
    <t>13th International Technology, Education and Development Conference (INTED)</t>
  </si>
  <si>
    <t>MAR 11-13, 2019</t>
  </si>
  <si>
    <t>ASSESSING SOFT SKILLS IN YOUTH THROUGH DIGITAL GAMES</t>
  </si>
  <si>
    <t>Pouezevara, Sarah; Powers, Sonya; Moore, Greg; Strigel, Carmen; McKnight, Kathy</t>
  </si>
  <si>
    <t>12TH INTERNATIONAL CONFERENCE OF EDUCATION, RESEARCH AND INNOVATION (ICERI 2019)</t>
  </si>
  <si>
    <t>12th Annual International Conference of Education, Research and Innovation (ICERI)</t>
  </si>
  <si>
    <t>NOV 11-13, 2019</t>
  </si>
  <si>
    <t>Generating an Evolving Skills Network from Job Adverts for High-Demand Skillset Discovery</t>
  </si>
  <si>
    <t>Cheng, R; Mamoulis, N; Sun, Y; Huang, X</t>
  </si>
  <si>
    <t>WEB INFORMATION SYSTEMS ENGINEERING - WISE 2019</t>
  </si>
  <si>
    <t>10.1007/978-3-030-34223-4_28</t>
  </si>
  <si>
    <t>20th International Conference on Web Information Systems Engineering (WISE)</t>
  </si>
  <si>
    <t>JAN 19-22, 2020</t>
  </si>
  <si>
    <t>Management Students' Soft Skills in Foreign Language Training at Technical University</t>
  </si>
  <si>
    <t>Zueva, Irina</t>
  </si>
  <si>
    <t>Cindori, S; Larouk, O; Malushko, EYU; Rebrina, LN; Shamne, NL</t>
  </si>
  <si>
    <t>INTERNATIONAL SCIENTIFIC AND PRACTICAL CONFERENCE CURRENT ISSUES OF LINGUISTICS AND DIDACTICS: THE INTERDISCIPLINARY APPROACH IN HUMANITIES AND SOCIAL SCIENCES (CILDIAH-2019)</t>
  </si>
  <si>
    <t>10.1051/shsconf/20196900144</t>
  </si>
  <si>
    <t>International Scientific and Practical Conference on Current Issues of Linguistics and Didactics - The Interdisciplinary Approach in Humanities and Social Sciences (CILDIAH)</t>
  </si>
  <si>
    <t>APR 23-28, 2019</t>
  </si>
  <si>
    <t>Edu-Cloud: On-the-fly employability skills as a service</t>
  </si>
  <si>
    <t>Shahzadi, Sonia; Iqbal, Muddesar; Dagiuklas, Tasos</t>
  </si>
  <si>
    <t>COMPUTER APPLICATIONS IN ENGINEERING EDUCATION</t>
  </si>
  <si>
    <t>MAR 2018</t>
  </si>
  <si>
    <t>10.1002/cae.21886</t>
  </si>
  <si>
    <t>Micro-internships on the Margins</t>
  </si>
  <si>
    <t>Hall, Margeret; Friend, Michelle; Krause, Markus</t>
  </si>
  <si>
    <t>Antona, M; Stephanidis, C</t>
  </si>
  <si>
    <t>UNIVERSAL ACCESS IN HUMAN-COMPUTER INTERACTION: VIRTUAL, AUGMENTED, AND INTELLIGENT ENVIRONMENTS</t>
  </si>
  <si>
    <t>10.1007/978-3-319-92052-8_38</t>
  </si>
  <si>
    <t>12th International Conference on Universal Access in Human-Computer Interaction (UAHCI) Held as Part of 20th International Conference on Human-Computer Interaction (HCI International)</t>
  </si>
  <si>
    <t>JUL 15-20, 2018</t>
  </si>
  <si>
    <t>UNEMPLOYMENT AS A PROBLEM OF EDUCATION: A VIEW OF THE AMERICAN ECONOMIST P.Z. PILZER</t>
  </si>
  <si>
    <t>Smolyakova, Lyudmila N.</t>
  </si>
  <si>
    <t>VESTNIK TOMSKOGO GOSUDARSTVENNOGO UNIVERSITETA ISTORIYA-TOMSK STATE UNIVERSITY JOURNAL OF HISTORY</t>
  </si>
  <si>
    <t>10.17223/19988613/53/4</t>
  </si>
  <si>
    <t>Market-Oriented LSP Training in Higher Education: Towards Higher Communicative Skills</t>
  </si>
  <si>
    <t>Melnichuk, Marina V.; Osipova, Valentina M.; Kondrakhina, Natalia G.</t>
  </si>
  <si>
    <t>EURASIA JOURNAL OF MATHEMATICS SCIENCE AND TECHNOLOGY EDUCATION</t>
  </si>
  <si>
    <t>AUG 2017</t>
  </si>
  <si>
    <t>10.12973/eurasia.2017.00983a</t>
  </si>
  <si>
    <t>MORE COMPETENT AND MORE EQUAL: HIGHER EDUCATION AS A SUPPORTER OF SOFT SKILLS DEVELOPMENT</t>
  </si>
  <si>
    <t>Soares, Diana; Carvalho, Ricardo; Burkholder, Gary; Dias, Diana</t>
  </si>
  <si>
    <t>Enhancing employability through group work</t>
  </si>
  <si>
    <t>Lategan, M. Josie</t>
  </si>
  <si>
    <t>MICROBIOLOGY AUSTRALIA</t>
  </si>
  <si>
    <t>10.1071/MA16029</t>
  </si>
  <si>
    <t>AMEO 2015-A dataset comprising AMCAT test scores, biodata details and employment outcomes of job seekers</t>
  </si>
  <si>
    <t>Aggarwal, Varun; Srikant, Shashank; Nisar, Harsh</t>
  </si>
  <si>
    <t>PROCEEDINGS OF THE THIRD ACM IKDD CONFERENCE ON DATA SCIENCES (CODS)</t>
  </si>
  <si>
    <t>10.1145/2888451.2892037</t>
  </si>
  <si>
    <t>3rd ACM IKDD Conference on Data Sciences (CODS)</t>
  </si>
  <si>
    <t>MAR 13-16, 2016</t>
  </si>
  <si>
    <t>Important skills for biomedical services: The perspectives of Malaysian employers and employees</t>
  </si>
  <si>
    <t>Buntat, Yahya; Saud, Muhammad Sukri; Mokhtar, Mahani; Kamin, Yusri; Feh, Lim Set</t>
  </si>
  <si>
    <t>WORK-A JOURNAL OF PREVENTION ASSESSMENT &amp; REHABILITATION</t>
  </si>
  <si>
    <t>10.3233/WOR-162417</t>
  </si>
  <si>
    <t>Demand for it Students in Latvian Labour Market: Viewpoint of Employers</t>
  </si>
  <si>
    <t>Titko, Jelena; Smatkova, Irina; Cerkovskis, Edgars</t>
  </si>
  <si>
    <t>Soliman, KS</t>
  </si>
  <si>
    <t>VISION 2020: INNOVATION MANAGEMENT, DEVELOPMENT SUSTAINABILITY, AND COMPETITIVE ECONOMIC GROWTH, 2016, VOLS I - VII</t>
  </si>
  <si>
    <t>28th International Business-Information-Management-Association Conference</t>
  </si>
  <si>
    <t>NOV 09-10, 2016</t>
  </si>
  <si>
    <t>FINAL YEAR PROJECT IN PHYSICS'S DEGREE: A NEW CHALLENGE FOR THE SCIENTIFIC AND TECHNICAL TRAINING OF STUDENTS IN THEIR LAST YEAR OF THE PHYSIC'S DEGREE</t>
  </si>
  <si>
    <t>Notario, Belen; Laguna-Gutierrez, Ester; Pinto, Javier; Angel Rodriguez-Perez, Miguel</t>
  </si>
  <si>
    <t>GomezChova, L; LopezMartinez, A; CandelTorres, I</t>
  </si>
  <si>
    <t>EDULEARN15: 7TH INTERNATIONAL CONFERENCE ON EDUCATION AND NEW LEARNING TECHNOLOGIES</t>
  </si>
  <si>
    <t>7th International Conference on Education and New Learning Technologies (EDULEARN)</t>
  </si>
  <si>
    <t>JUL 06-08, 2015</t>
  </si>
  <si>
    <t>Developing well-rounded graduates through integration of soft skills in the teaching of engineering courses</t>
  </si>
  <si>
    <t>2014 IEEE FRONTIERS IN EDUCATION CONFERENCE (FIE)</t>
  </si>
  <si>
    <t>IEEE Frontiers in Education Conference (FIE)</t>
  </si>
  <si>
    <t>OCT 22-25, 2014</t>
  </si>
  <si>
    <t>Education-Job Mismatch in Engineering Sector - A Canadian Case-Study</t>
  </si>
  <si>
    <t>Kabir, Monzur</t>
  </si>
  <si>
    <t>2014 IEEE 6TH CONFERENCE ON ENGINEERING EDUCATION (ICEED)</t>
  </si>
  <si>
    <t>6th IEEE Conference on Engineering Education (ICEED)</t>
  </si>
  <si>
    <t>DEC 09-10, 2014</t>
  </si>
  <si>
    <t>Community partnerships as a tool to reduce regional labor gaps: South Carolina regional case study</t>
  </si>
  <si>
    <t>Dickes, Lori Ann; Robinson, Kenneth</t>
  </si>
  <si>
    <t>COMMUNITY DEVELOPMENT</t>
  </si>
  <si>
    <t>10.1080/15575330.2011.651730</t>
  </si>
  <si>
    <t>A PROFILE OF TODAY'S ACCOUNTING PROFESSIONAL: A COMPARATIVE STUDY OF TEACHING CONTENTS AND MARKET REQUIREMENTS</t>
  </si>
  <si>
    <t>De Souza, Marcos Antonio; Vergilino, Caroline Da Silva</t>
  </si>
  <si>
    <t>ADMINISTRACAO-ENSINO E PESQUISA</t>
  </si>
  <si>
    <t>JAN-MAR 2012</t>
  </si>
  <si>
    <t>10.13058/raep.2012.v13n1.102</t>
  </si>
  <si>
    <t>Improvement of Students' Soft-Skills Through University-Industry Collaborations</t>
  </si>
  <si>
    <t>Baki, Aminuddin; Yahaya, Mohd Azman; Hamzah, Sati Hawa; Isa, Che Maznah Mat; Sem, Raenah M. D.; Rahim, Roslina Abdul; Hassan, Azizan Hawa; Rahim, Sharinaz A. B. D.</t>
  </si>
  <si>
    <t>Misra, SC; Revetria, R; Sztandera, LM; Iliescu, M; Zaharim, A; Parsiani, H</t>
  </si>
  <si>
    <t>EDU'08: PROCEEDINGS OF THE 7TH WSEAS INTERNATIONAL CONFERENCE ON EDUCATION AND EDUCATIONAL TECHNOLOGY</t>
  </si>
  <si>
    <t>7th WSEAS International Conference on Education and Educational Technology</t>
  </si>
  <si>
    <t>NOV 21-23, 2008</t>
  </si>
  <si>
    <t>An Investigation of Preparedness and Importance of MIS Competencies: Research in Progress</t>
  </si>
  <si>
    <t>Sumner, Mary; Yager, Susan E.</t>
  </si>
  <si>
    <t>Armstrong, DJ; Riemenschneider, C</t>
  </si>
  <si>
    <t>SIGMIS CPR 2008: PROCEEDINGS OF THE 2008 ACM SIGMIS CPR CONFERENCE</t>
  </si>
  <si>
    <t>46th Annual Computer Personnel Research Conference</t>
  </si>
  <si>
    <t>APR 03-05, 2008</t>
  </si>
  <si>
    <t>Human resource needs and demand for post-secondary education in the Canadian secondary wood products industry</t>
  </si>
  <si>
    <t>Ellis, SC; Kozak, RA; Spetic, W; Evans, PD</t>
  </si>
  <si>
    <t>WOOD AND FIBER SCIENCE</t>
  </si>
  <si>
    <t>JAN 2006</t>
  </si>
  <si>
    <t>Adapting to the Agricultural Labor Market Shaped by Robotization</t>
  </si>
  <si>
    <t>Marinoudi, Vasso; Benos, Lefteris; Camacho Villa, Carolina; Lampridi, Maria; Kateris, Dimitrios; Berruto, Remigio; Pearson, Simon; Sorensen, Claus Gron; Bochtis, Dionysis</t>
  </si>
  <si>
    <t>10.3390/su16167061</t>
  </si>
  <si>
    <t>A micro-credential approach for life-long learning in the urban renewable energy sector</t>
  </si>
  <si>
    <t>De Rosa, Mattia; Glumac, Olga; Bianco, Vincenzo; Pallonetto, Fabiano</t>
  </si>
  <si>
    <t>RENEWABLE ENERGY</t>
  </si>
  <si>
    <t>JUL 2024</t>
  </si>
  <si>
    <t>10.1016/j.renene.2024.120660</t>
  </si>
  <si>
    <t>The Roles, Responsibilities, and Skills of Engineers in the Era of Microservices-Based Architectures</t>
  </si>
  <si>
    <t>Ayas, Hamdy Michael; Hebig, Regina; Leitner, Philipp</t>
  </si>
  <si>
    <t>PROCEEDINGS 2024 IEEE/ACM 17TH INTERNATIONAL CONFERENCE ON COOPERATIVE AND HUMAN ASPECTS OF SOFTWARE ENGINEERING, CHASE 2024</t>
  </si>
  <si>
    <t>10.1145/3641822.3641871</t>
  </si>
  <si>
    <t>17th IEEE/ACM International Conference on Cooperative and Human Aspects of Software Engineering (CHASE)</t>
  </si>
  <si>
    <t>APR 14-15, 2024</t>
  </si>
  <si>
    <t>Future Skills Forecasting: Ensuring Quality Learning for Every Segment of the Workforce</t>
  </si>
  <si>
    <t>Caratozzolo, Patricia; Cukierman, Uriel; Norgaard, Bente; Schrey-Niemenmaa, Katriina; Azofeifa, Jose Daniel; Rueda-Castro, Valentina</t>
  </si>
  <si>
    <t>2024 IEEE GLOBAL ENGINEERING EDUCATION CONFERENCE, EDUCON 2024</t>
  </si>
  <si>
    <t>10.1109/EDUCON60312.2024.10578916</t>
  </si>
  <si>
    <t>15th IEEE Global Engineering Education Conference (IEEE EDUCON)</t>
  </si>
  <si>
    <t>MAY 08-11, 2024</t>
  </si>
  <si>
    <t>Unlocking the Future of INFOCOMM Workforce: A Visual KSA Matrix Taxonomy Approach to Education and Occupational Profiles</t>
  </si>
  <si>
    <t>Daniel Azofeifa, Jose; Rueda-Castro, Valentina; Gonzalez-Gomez, Luis Jose; Gomez-Puente, Sonia M.; Noguez, Julieta; Caratozzolo, Patricia</t>
  </si>
  <si>
    <t>10.1109/EDUCON60312.2024.10578632</t>
  </si>
  <si>
    <t>Analyzing Big Data Professionals: Cultivating Holistic Skills Through University Education and Market Demands</t>
  </si>
  <si>
    <t>Han, Fang; Ren, Jiyuan</t>
  </si>
  <si>
    <t>10.1109/ACCESS.2024.3363876</t>
  </si>
  <si>
    <t>POTENTIALS OF CHATGPT IN COMPUTER PROGRAMMING: INSIGHTS FROM PROGRAMMING INSTRUCTORS</t>
  </si>
  <si>
    <t>Husain, Anas Jebreen Atyeh</t>
  </si>
  <si>
    <t>10.28945/5240</t>
  </si>
  <si>
    <t>Uncovering the skillsets required in computer science jobs using social network analysis</t>
  </si>
  <si>
    <t>Maghsoudi, Mehrdad</t>
  </si>
  <si>
    <t>EDUCATION AND INFORMATION TECHNOLOGIES</t>
  </si>
  <si>
    <t>10.1007/s10639-023-12304-4</t>
  </si>
  <si>
    <t>Are We Talking about Green Skills or Sustainability Competences? A Scoping Review Using Scientometric Analysis of Two Apparently Similar Topics in the Field of Sustainability</t>
  </si>
  <si>
    <t>Montanari, Sibilla; Agostini, Evi; Francesconi, Denis</t>
  </si>
  <si>
    <t>10.3390/su151914142</t>
  </si>
  <si>
    <t>KNOWLEDGE ECONOMY, INNOVATION AND THE UNIVERSITIES' EDUCATION ROLE IN SAUDI ARABIA: A STUDY OF ACADEMICIANS' PERSPECTIVES AT THE UNIVERSITY OF HAIL</t>
  </si>
  <si>
    <t>Thomran, Murad; Alshammari, Ali Essa A.</t>
  </si>
  <si>
    <t>MARKETING AND MANAGEMENT OF INNOVATIONS</t>
  </si>
  <si>
    <t>SEP 6 2023</t>
  </si>
  <si>
    <t>10.21272/mmi.2023.3-15</t>
  </si>
  <si>
    <t>Defining generic skills to better support the development of future health professionals: results from a scoping review</t>
  </si>
  <si>
    <t>Zouaoui, I.; Drolet, M. J.; Briand, C.</t>
  </si>
  <si>
    <t>HIGHER EDUCATION RESEARCH &amp; DEVELOPMENT</t>
  </si>
  <si>
    <t>FEB 17 2024</t>
  </si>
  <si>
    <t>10.1080/07294360.2023.2234312</t>
  </si>
  <si>
    <t>Beyond technical know how: A bibliometric study of future soft skills</t>
  </si>
  <si>
    <t>Kumari, Vandana; Shukla, Balvinder; Duggal, Taranjeet</t>
  </si>
  <si>
    <t>JOURNAL OF STATISTICS AND MANAGEMENT SYSTEMS</t>
  </si>
  <si>
    <t>10.47974/JSMS-1166</t>
  </si>
  <si>
    <t>8th Annual Global Leadership Research Conference (GLRC)</t>
  </si>
  <si>
    <t>MAR 13-15, 2023</t>
  </si>
  <si>
    <t>Creating New Knowledge with Undergraduate Students: Institutional Incentives and Faculty Agency</t>
  </si>
  <si>
    <t>Zvobgo, Kelebogile; Pickering, Paula M. M.; Settle, Jaime E. E.; Tierney, Michael J. J.</t>
  </si>
  <si>
    <t>PS-POLITICAL SCIENCE &amp; POLITICS</t>
  </si>
  <si>
    <t>PII S104909652300001X</t>
  </si>
  <si>
    <t>10.1017/S104909652300001X</t>
  </si>
  <si>
    <t>Aligning HE Pedagogical Innovation with VET, Industry, and Research Partnerships: Insights on the Demola Portugal Initiative</t>
  </si>
  <si>
    <t>Amante, Susana; Fernandes, Rosina</t>
  </si>
  <si>
    <t>10.3390/educsci13010093</t>
  </si>
  <si>
    <t>Social and Labor Exclusion: Programs and Resources For Inclusion</t>
  </si>
  <si>
    <t>Amashta, Giselle Paola Polo; Molina, Andrea Lafaurie; Perez De Guzman Puya, Maria Victoria</t>
  </si>
  <si>
    <t>PEDAGOGIA SOCIAL REVISTA INTERUNIVERSITARIA</t>
  </si>
  <si>
    <t>JAN-JUN 2023</t>
  </si>
  <si>
    <t>10.7179/PSRI_2023.42.06</t>
  </si>
  <si>
    <t>The impact of digitalization on employment and skills by stages of adoption in Brazil and Argentina</t>
  </si>
  <si>
    <t>Britto, Jorge; Urraca-Ruiz, Ana; Ferraz, Jodo Carlos; Torracca, Julia; Schmidt, Henrique</t>
  </si>
  <si>
    <t>REVISTA BRASILEIRA DE INOVACAO</t>
  </si>
  <si>
    <t>e023015</t>
  </si>
  <si>
    <t>10.20396/rbi.v22i00.8668456</t>
  </si>
  <si>
    <t>The Gap between Higher Education and the Software Industry - A Case Study on Technology Differences</t>
  </si>
  <si>
    <t>Dobslaw, Felix; Angelin, Kristian; Oberg, Lena-Maria; Ahmad, Awais</t>
  </si>
  <si>
    <t>PROCEEDINGS OF THE 5TH EUROPEAN CONFERENCE ON SOFTWARE ENGINEERING EDUCATION, ECSEE 2023</t>
  </si>
  <si>
    <t>10.1145/3593663.3593690</t>
  </si>
  <si>
    <t>5th European Conference on Software Engineering Education (ECSEE)</t>
  </si>
  <si>
    <t>JUN 19-21, 2023</t>
  </si>
  <si>
    <t>Communication as a way to develop creativity in higher education: Analysis through external internships in business management studies</t>
  </si>
  <si>
    <t>Mareque, Mercedes; de Prada, Elena</t>
  </si>
  <si>
    <t>REVISTA LATINA DE COMUNICACION SOCIAL</t>
  </si>
  <si>
    <t>10.4185/RLCS-2023-1995</t>
  </si>
  <si>
    <t>Employability Skills and Career Development Self-Efficacy as Indicators for Workforce Success</t>
  </si>
  <si>
    <t>Omar, Muhd Khaizer; Muhamad, Wan Munzareen Wan; Ismail, Normala; Zakaria, Anis; Kadir, Khairunisa Mohd</t>
  </si>
  <si>
    <t>10.30880/jtet.2023.15.03.011</t>
  </si>
  <si>
    <t>Navigating the STEM jungle of professionals: unlocking critical competencies through Emotional Intelligence</t>
  </si>
  <si>
    <t>Tripon, Cristina</t>
  </si>
  <si>
    <t>JOURNAL OF EDUCATIONAL SCIENCES &amp; PSYCHOLOGY</t>
  </si>
  <si>
    <t>10.51865/JESP.2023.1.05</t>
  </si>
  <si>
    <t>We try to empower them - Exploring Future Technologies to Support Migrant Jobseekers</t>
  </si>
  <si>
    <t>Wang, Sonja Mei; Scott, Kristen M.; Artemenko, Margarita; Miceli, Milagros; Berendt, Bettina</t>
  </si>
  <si>
    <t>PROCEEDINGS OF THE 6TH ACM CONFERENCE ON FAIRNESS, ACCOUNTABILITY, AND TRANSPARENCY, FACCT 2023</t>
  </si>
  <si>
    <t>10.1145/3593013.3594056</t>
  </si>
  <si>
    <t>6th ACM Conference on Fairness, Accountability, and Transparency (FAccT)</t>
  </si>
  <si>
    <t>JUN 12-15, 2023</t>
  </si>
  <si>
    <t>The Human Capital of Russian Informal Workers: A Non-Cognitive Skills Perspective br</t>
  </si>
  <si>
    <t>Zudina, A. A.</t>
  </si>
  <si>
    <t>MIR ROSSII-UNIVERSE OF RUSSIA</t>
  </si>
  <si>
    <t>10.17323/1811-038X-2023-32-1-37-60</t>
  </si>
  <si>
    <t>Teaching method applied in Organizational Engineering subjects for competence development Abstracts</t>
  </si>
  <si>
    <t>Alfaro-Pozo, Rocio; Bautista-Valhondo, Joaquin</t>
  </si>
  <si>
    <t>DIRECCION Y ORGANIZACION</t>
  </si>
  <si>
    <t>10.37610/dyo.v0i78.631</t>
  </si>
  <si>
    <t>Short- and Medium-term Impacts of Employability Training: Evidence from a Randomised Field Experiment in Rwanda</t>
  </si>
  <si>
    <t>Alcid, Annie; Bulte, Erwin; Lensink, Robert; Sayinzoga, Aussi; Treurniet, Mark</t>
  </si>
  <si>
    <t>JOURNAL OF AFRICAN ECONOMIES</t>
  </si>
  <si>
    <t>JUN 5 2023</t>
  </si>
  <si>
    <t>10.1093/jae/ejac011</t>
  </si>
  <si>
    <t>THE ROLE OF SOFT SKILLS IN EMPLOYABILITY IN THE FINANCIAL INDUSTRY</t>
  </si>
  <si>
    <t>Costantino, Lorenzo; Rodzinka, Jacek</t>
  </si>
  <si>
    <t>FINANCIAL INTERNET QUARTERLY</t>
  </si>
  <si>
    <t>MAR 1 2022</t>
  </si>
  <si>
    <t>10.2478/fiqf-2022-0004</t>
  </si>
  <si>
    <t>THE DYNAMICS OF TASK AUTOMATION AND WORKER ADJUSTMENT IN LABOR MARKETS: AN AGENT-BASED APPROACH</t>
  </si>
  <si>
    <t>UPRETI, A. R. V. I. N. D.; SRIDHAR, V.</t>
  </si>
  <si>
    <t>ADVANCES IN COMPLEX SYSTEMS</t>
  </si>
  <si>
    <t>FEB 2022</t>
  </si>
  <si>
    <t>10.1142/S0219525922500059</t>
  </si>
  <si>
    <t>CHANGING APPROACH TO THE DEVELOPMENT OF HIGHER EDUCATION IN LATVIA: KEY DRIVERS</t>
  </si>
  <si>
    <t>Dehtjare, Jevgenija; Djakona, Valentina; Lapaine, Tatjana; Riashchenko, Viktoriia</t>
  </si>
  <si>
    <t>MANAGEMENT THEORY AND STUDIES FOR RURAL BUSINESS AND INFRASTRUCTURE DEVELOPMENT</t>
  </si>
  <si>
    <t>10.15544/mts.2022.02</t>
  </si>
  <si>
    <t>Future Needs of the Cybersecurity Workforce</t>
  </si>
  <si>
    <t>Justice, Connie; Sample, Char; Loo, Sin Ming; Ball, Alex; Hampton, Clay</t>
  </si>
  <si>
    <t>PROCEEDINGS OF THE 17TH INTERNATIONAL CONFERENCE ON CYBER WARFARE AND SECURITY (ICCWS 2022)</t>
  </si>
  <si>
    <t>17th International Conference on Cyber Warfare and Security (ICCWS)</t>
  </si>
  <si>
    <t>MAR 17-18, 2022</t>
  </si>
  <si>
    <t>Analysis of technological trends to identify skills that will be in demand in the labor market with open-source data using machine learning methods</t>
  </si>
  <si>
    <t>Khokhlova, O. A.; Khokhlova, A. N.</t>
  </si>
  <si>
    <t>IZVESTIYA OF SARATOV UNIVERSITY MATHEMATICS MECHANICS INFORMATICS</t>
  </si>
  <si>
    <t>10.18500/1816-9791-2022-22-1-123-129</t>
  </si>
  <si>
    <t>SKILLS FOR PROFESSIONALS IN CULTURAL AND CREATIVE INDUSTRIES TESEO and the challenge of a mismatch</t>
  </si>
  <si>
    <t>Navarra, Marco</t>
  </si>
  <si>
    <t>SOCIETES</t>
  </si>
  <si>
    <t>10.3917/soc.156.0033</t>
  </si>
  <si>
    <t>Business-University Collaboration in Designing Work-Based Activities Fostering Clinical Reasoning</t>
  </si>
  <si>
    <t>Payan-Carreira, Rita; Silva, Ruben; Simoes, Margarida; Rebelo, Hugo</t>
  </si>
  <si>
    <t>Reis, A; Barroso, J; Martins, P; Jimoyiannis, A; Huang, RYM; Henriques, R</t>
  </si>
  <si>
    <t>TECHNOLOGY AND INNOVATION IN LEARNING, TEACHING AND EDUCATION, TECH-EDU 2022</t>
  </si>
  <si>
    <t>10.1007/978-3-031-22918-3_26</t>
  </si>
  <si>
    <t>3rd International Conference on Technology and Innovation in Learning, Teaching and Education (TECH-EDU)</t>
  </si>
  <si>
    <t>AUG 31-SEP 02, 2022</t>
  </si>
  <si>
    <t>THE IMPACT OF GLOBAL DIGITALIZATION ON THE UKRAINIAN LABOR MARKET DEVELOPMENT</t>
  </si>
  <si>
    <t>Rumiantsev, Anatolii; Pobochenko, Lesya; Pichkurova, Zoia; Tolpezhnikova, Tatiana; Kovbych, Tatiana; Lyashov, Dmytro</t>
  </si>
  <si>
    <t>10.55643/fcaptp.5.46.2022.3854</t>
  </si>
  <si>
    <t>Does receipt of unemployment benefits change recruiter perceptions of candidates' personality, work relevant skills and employability?</t>
  </si>
  <si>
    <t>Suomi, Aino; Schofield, Timothy; Butterworth, Peter</t>
  </si>
  <si>
    <t>10.3233/WOR-205048</t>
  </si>
  <si>
    <t>Skill-based clustering algorithm for online job advertisements</t>
  </si>
  <si>
    <t>Ternikov, A. A.</t>
  </si>
  <si>
    <t>10.18500/1816-9791-2022-22-2-250-265</t>
  </si>
  <si>
    <t>A DESIGN METHODOLOGY FOR A COMPUTER-SUPPORTED COLLABORATIVE SKILLS LAB IN TECHNICAL TRANSLATION TEACHING</t>
  </si>
  <si>
    <t>Zappatore, Marco</t>
  </si>
  <si>
    <t>10.28945/4935</t>
  </si>
  <si>
    <t>European Integration Processes for the Development of Future Foreign Language Specialists in the Information Society</t>
  </si>
  <si>
    <t>Lazarenko, Natalia; Zadorozhna, Olga; Prybora, Tetiana; Shorchuk, Andrii; Sulym, Volodymyr; Rudnytska, Nataliya</t>
  </si>
  <si>
    <t>INTERNATIONAL JOURNAL OF COMPUTER SCIENCE AND NETWORK SECURITY</t>
  </si>
  <si>
    <t>DEC 30 2021</t>
  </si>
  <si>
    <t>10.22937/IJCSNS.2021.21.12.58</t>
  </si>
  <si>
    <t>Future Skills of Flight Attendants in Times of COVID-19-Related Job Uncertainty-The Case of Germany</t>
  </si>
  <si>
    <t>Bremer, Kirsten Friederike; Maertens, Sven Ulrich</t>
  </si>
  <si>
    <t>10.3390/admsci11040154</t>
  </si>
  <si>
    <t>Who Has Trouble Hiring? Evidence from a National IT Survey</t>
  </si>
  <si>
    <t>Weaver, Andrew</t>
  </si>
  <si>
    <t>10.1177/0019793920985261</t>
  </si>
  <si>
    <t>Stepping into the labour market from the VET sector in China: student perceptions and experiences</t>
  </si>
  <si>
    <t>Wang, Geng</t>
  </si>
  <si>
    <t>STUDIES IN CONTINUING EDUCATION</t>
  </si>
  <si>
    <t>SEP 2 2022</t>
  </si>
  <si>
    <t>10.1080/0158037X.2021.1872522</t>
  </si>
  <si>
    <t>University graduates' skills-and-employability evaluation in Poland - a case study of a faculty of management in Warsaw</t>
  </si>
  <si>
    <t>Cieciora, Malgorzata; Pietrzak, Piotr; Gago, Piotr</t>
  </si>
  <si>
    <t>INTERNATIONAL JOURNAL OF INNOVATION AND LEARNING</t>
  </si>
  <si>
    <t>Developing an Industry Job Simulation Program for Graduate and Postdoctoral Trainees in Life Sciences</t>
  </si>
  <si>
    <t>Kozma, Katelyn; Meyer-Miner, Anne; Chio, Jonathan; Mak, Stefanie; El-Boraie, Ahmed; Sealey, David</t>
  </si>
  <si>
    <t>CANADIAN JOURNAL OF CAREER DEVELOPMENT</t>
  </si>
  <si>
    <t>FORMATION OF MANAGERIAL COMPETENCIES OF MANAGERS AND THEIR IMPACT ON THE COMPETITIVENESS OF THE FIRM AND THE LABOR MARKET IN UKRAINE</t>
  </si>
  <si>
    <t>Kychko, I; Parubets, O.; Kholodnytska, A.; Perminova, V; Lytvyn, S.</t>
  </si>
  <si>
    <t>Engineering the future: transversal skills in Engineering Doctoral Education</t>
  </si>
  <si>
    <t>Martins, Helena; Freitas, Ana; Direito, Ines; Salgado, Ana</t>
  </si>
  <si>
    <t>2021 4TH INTERNATIONAL CONFERENCE OF THE PORTUGUESE SOCIETY FOR ENGINEERING EDUCATION (CISPEE)</t>
  </si>
  <si>
    <t>10.1109/CISPEE47794.2021.9507210</t>
  </si>
  <si>
    <t>4th International Conference of the Portuguese-Society-for-Engineering-Education (CISPEE)</t>
  </si>
  <si>
    <t>JUN 21-23, 2021</t>
  </si>
  <si>
    <t>Urban employment in post-transition economies: skill mismatch in the local labor market</t>
  </si>
  <si>
    <t>Stankovic, Jelena J.; Dzunic, Marija; Marinkovic, Srdan</t>
  </si>
  <si>
    <t>10.18045/zbefri.2021.2.279</t>
  </si>
  <si>
    <t>An overview of skills foresight methods</t>
  </si>
  <si>
    <t>Stefanic, Josip; Simic, Diana</t>
  </si>
  <si>
    <t>Vrcek, N; Pergler, E; Grd, P</t>
  </si>
  <si>
    <t>CENTRAL EUROPEAN CONFERENCE ON INFORMATION AND INTELLIGENT SYSTEMS (CECIIS 2021)</t>
  </si>
  <si>
    <t>32nd Central European Conference on Information and Intelligent Systems (CECIIS)</t>
  </si>
  <si>
    <t>OCT 13-15, 2021</t>
  </si>
  <si>
    <t>African international students' career and job satisfaction: The case of China</t>
  </si>
  <si>
    <t>Darko, Dennis Fiifi; He, Zheng; Boadi, Evans Asante; Asante, Isaac Owusu</t>
  </si>
  <si>
    <t>JOURNAL OF PSYCHOLOGY IN AFRICA</t>
  </si>
  <si>
    <t>AUG 3 2020</t>
  </si>
  <si>
    <t>10.1080/14330237.2020.1796034</t>
  </si>
  <si>
    <t>The generic skills gap in curricula: Are Thai accounting graduates ready for the contemporary workplace?</t>
  </si>
  <si>
    <t>Salam, Md Abdus; Hasan, Kamrul</t>
  </si>
  <si>
    <t>ST THERESA JOURNAL OF HUMANITIES AND SOCIAL SCIENCES</t>
  </si>
  <si>
    <t>JUL-DEC 2020</t>
  </si>
  <si>
    <t>How Big Data Creates New Job Opportunities: Skill Profiles of Emerging Professional Roles</t>
  </si>
  <si>
    <t>10.1007/978-3-030-33578-6_2</t>
  </si>
  <si>
    <t>SPECIALIZATIONS OF THE FUTURE. CHALLENGES AND OPPORTUNITIES FOR GENERATIONS Y, Z, AND ALPHA</t>
  </si>
  <si>
    <t>Neamtu, Daniela Mihaela; Hapenciuc, Cristian Valentin; Bejinaru, Ruxandra</t>
  </si>
  <si>
    <t>Bratianu, C; Zbuchea, A; Anghel, F; Hrib, B</t>
  </si>
  <si>
    <t>STRATEGICA: PREPARING FOR TOMORROW, TODAY</t>
  </si>
  <si>
    <t>8th International Academic Conference on Strategica - Preparing for Tomorrow, Today</t>
  </si>
  <si>
    <t>OCT 15-16, 2020</t>
  </si>
  <si>
    <t>ENHANCING CROSS-CULTURAL COMPETENCE AMONG STUDENTS IN AN EFFORT TO FILL THE SKILLS GAP IN THE EUROPEAN LABOR MARKET</t>
  </si>
  <si>
    <t>Przytula, Sylwia; Bruska, Anna; Szymanska-Czaplak, Elzbieta; Tracz-Krupa, Katarzyna</t>
  </si>
  <si>
    <t>Crnjar, K; Jurdana, DS</t>
  </si>
  <si>
    <t>TOURISM &amp; HOSPITALITY INDUSTRY 2020: TRENDS AND CHALLENGES</t>
  </si>
  <si>
    <t>25th Biennial International Congress on Tourism and Hospitality Industry (THI)</t>
  </si>
  <si>
    <t>MAY 04-06, 2020</t>
  </si>
  <si>
    <t>Enrolment by academic discipline in higher education: differential and determinants</t>
  </si>
  <si>
    <t>Prakasam, Geetha Rani; Mukesh; Gopinathan, R.</t>
  </si>
  <si>
    <t>JOURNAL OF ASIAN BUSINESS AND ECONOMIC STUDIES</t>
  </si>
  <si>
    <t>OCT 22 2019</t>
  </si>
  <si>
    <t>10.1108/JAPES-12-2018-0104</t>
  </si>
  <si>
    <t>Impact of Current Higher Education System on Human Resource Development in the State of Uttarakhand</t>
  </si>
  <si>
    <t>Pankhuri</t>
  </si>
  <si>
    <t>PACIFIC BUSINESS REVIEW INTERNATIONAL</t>
  </si>
  <si>
    <t>JUL 2019</t>
  </si>
  <si>
    <t>Art-based methods: Theatre Teaches and Business Theatre</t>
  </si>
  <si>
    <t>Banno, Mariasole; D'Allura, Giorgia Maria</t>
  </si>
  <si>
    <t>Domenech, J; Merello, P; DeLaPoza, E; Blazquez, D; PenaOrtiz, R</t>
  </si>
  <si>
    <t>5TH INTERNATIONAL CONFERENCE ON HIGHER EDUCATION ADVANCES (HEAD'19)</t>
  </si>
  <si>
    <t>10.4995/HEAd19.2019.9249</t>
  </si>
  <si>
    <t>5th International Conference on Higher Education Advances (HEAd)</t>
  </si>
  <si>
    <t>JUN 25-28, 2019</t>
  </si>
  <si>
    <t>AGILE PROJECT BASED LEARNING APPLIED IN A SOFTWARE DEVELOPMENT COURSE</t>
  </si>
  <si>
    <t>Gomez-Jaramillo, S.; Moreno-Cadavid, J.; Zapata-Jaramillo, C. M.</t>
  </si>
  <si>
    <t>12TH INTERNATIONAL CONFERENCE OF EDUCATION, RESEARCH AND INNOVATION (ICERI2019)</t>
  </si>
  <si>
    <t>Innovations of Study Programs in Comparison With Requirements of Industrial Enterprises' Trainee Programs</t>
  </si>
  <si>
    <t>Kuperova, Martina; Zatrochova, Monika</t>
  </si>
  <si>
    <t>EDUCATION EXCELLENCE AND INNOVATION MANAGEMENT THROUGH VISION 2020</t>
  </si>
  <si>
    <t>33rd International-Business-Information-Management-Association (IBIMA) Conference</t>
  </si>
  <si>
    <t>APR 10-11, 2019</t>
  </si>
  <si>
    <t>Fostering the Digital Competencies for the 5G Era</t>
  </si>
  <si>
    <t>Savulescu, Carmen; Antonovici, Corina-Georgiana</t>
  </si>
  <si>
    <t>Bratianu, C; Zbuchea, A; Hrib, B; Vitelar, A; Anghel, F</t>
  </si>
  <si>
    <t>STRATEGICA: UPSCALING DIGITAL TRANSFORMATION IN BUSINESS AND ECONOMICS</t>
  </si>
  <si>
    <t>7th International Academic Conference on Strategica - Upscaling Digital Transformation in Business and Economics</t>
  </si>
  <si>
    <t>OCT 10-11, 2019</t>
  </si>
  <si>
    <t>Outcome-Based Assessment of Engineering Undergraduate Final Year Projects for Tire-2 Institutes</t>
  </si>
  <si>
    <t>Tiwari, Gopal; Singh, Ram; Chandna, Vinay Kumar; Shimi, S. L.; Jain, Manish</t>
  </si>
  <si>
    <t>Yang, XS; Sherratt, S; Dey, N; Joshi, A</t>
  </si>
  <si>
    <t>THIRD INTERNATIONAL CONGRESS ON INFORMATION AND COMMUNICATION TECHNOLOGY</t>
  </si>
  <si>
    <t>10.1007/978-981-13-1165-9_19</t>
  </si>
  <si>
    <t>3rd International Conference on Information and Communication Technology (ICICT)</t>
  </si>
  <si>
    <t>FEB 27-28, 2018</t>
  </si>
  <si>
    <t>SOFT SKILLS IN THE DIGITAL AGE</t>
  </si>
  <si>
    <t>Vrabec, Norbert</t>
  </si>
  <si>
    <t>Buckova, Z; Rusnakova, L; Solik, M</t>
  </si>
  <si>
    <t>MEGATRENDS AND MEDIA: DIGITAL UNIVERSE</t>
  </si>
  <si>
    <t>14th Annual International Scientific Conference on Megatrends and Media - Digital Universe</t>
  </si>
  <si>
    <t>APR 16-17, 2019</t>
  </si>
  <si>
    <t>THE SIGNIFICANCE OF HUMANITIES KNOWLEDGE IN THE CONSTRUCTION OF THE MODERN UNIVERSITY STUDENT'S IDENTITY</t>
  </si>
  <si>
    <t>Budenkova, Valeriya E.; Savelieva, Elena N.</t>
  </si>
  <si>
    <t>VESTNIK TOMSKOGO GOSUDARSTVENNOGO UNIVERSITETA-FILOSOFIYA-SOTSIOLOGIYA-POLITOLOGIYA-TOMSK STATE UNIVERSITY JOURNAL OF PHILOSOPHY SOCIOLOGY AND POLITICAL SCIENCE</t>
  </si>
  <si>
    <t>JUN 2018</t>
  </si>
  <si>
    <t>10.17223/1998863X/42/10</t>
  </si>
  <si>
    <t>Engineering Challenges in Terms of Academic and Professional Training</t>
  </si>
  <si>
    <t>Garcia, Camila; Pinela, Armando</t>
  </si>
  <si>
    <t>Auer, ME; Kim, KS</t>
  </si>
  <si>
    <t>ENGINEERING EDUCATION FOR A SMART SOCIETY</t>
  </si>
  <si>
    <t>10.1007/978-3-319-60937-9_15</t>
  </si>
  <si>
    <t>World Engineering Education Forum (WEEF) / Global Engineering Deans Council (GEDC)</t>
  </si>
  <si>
    <t>NOV 06-10, 2016</t>
  </si>
  <si>
    <t>TEACHING TOURISM SERVICE QUALITY IN IRAN</t>
  </si>
  <si>
    <t>Seyfi, Siamak; Nikjoo, Adel; Alaedini, Pooya</t>
  </si>
  <si>
    <t>Cai, LA; Alaedini, P</t>
  </si>
  <si>
    <t>QUALITY SERVICES AND EXPERIENCES IN HOSPITALITY AND TOURISM</t>
  </si>
  <si>
    <t>10.1108/S2042-144320180000009003</t>
  </si>
  <si>
    <t>Employability Skills Mastery of Special Needs Students at Polytechnics</t>
  </si>
  <si>
    <t>Puteh, S.; Maisarah, M.; Rosnawati, B.</t>
  </si>
  <si>
    <t>MAY 2017</t>
  </si>
  <si>
    <t>Social Skills and Social Values (SSSV) in the National Dual Training System (NDTS)</t>
  </si>
  <si>
    <t>Yahaya, Norhayati; Rasul, Mohamad Sattar; Yasin, Ruhizan M.; Suradi, Salpiah</t>
  </si>
  <si>
    <t>Creating Industry Driven Sustainable Technical Graduates: A Case from Malaysia</t>
  </si>
  <si>
    <t>Rajadurai, Jegatheesan; Sapuan, Noraina Mazuin; Daud, Salina; Abidin, Nurazariah</t>
  </si>
  <si>
    <t>ADVANCED SCIENCE LETTERS</t>
  </si>
  <si>
    <t>10.1166/asl.2017.7706</t>
  </si>
  <si>
    <t>International Conference on Social Sciences and Humanities (SOSHUM)</t>
  </si>
  <si>
    <t>APR 19-21, 2016</t>
  </si>
  <si>
    <t>Replicating enterprise environment using Office 365 to enhance graduates' employability</t>
  </si>
  <si>
    <t>Carutasu, Nicoleta Luminita; Carutasu, George</t>
  </si>
  <si>
    <t>Bondrea, I; Simion, C; Inta, M</t>
  </si>
  <si>
    <t>8TH INTERNATIONAL CONFERENCE ON MANUFACTURING SCIENCE AND EDUCATION (MSE 2017) - TRENDS IN NEW INDUSTRIAL REVOLUTION</t>
  </si>
  <si>
    <t>10.1051/matecconf/201712112001</t>
  </si>
  <si>
    <t>8th International Conference on Manufacturing Science and Education (MSE) - Trends in New Industrial Revolution</t>
  </si>
  <si>
    <t>JUN 07-09, 2017</t>
  </si>
  <si>
    <t>THE EVOLUTION OF WORK ORGANIZATION AND ITS IMPLICATION FOR EDUCATIONAL POLICIES AND MANAGERIAL PRACTICES</t>
  </si>
  <si>
    <t>Mrak, Marija Kastelan; Sokolic, Danijela</t>
  </si>
  <si>
    <t>Tonkovic, AM</t>
  </si>
  <si>
    <t>6TH INTERNATIONAL SCIENTIFIC SYMPOSIUM ECONOMY OF EASTERN CROATIA - VISION AND GROWTH</t>
  </si>
  <si>
    <t>6th International Scientific Symposium on Economy of Eastern Croatia - Vision And Growth</t>
  </si>
  <si>
    <t>MAY 25-27, 2017</t>
  </si>
  <si>
    <t>STUDENTS' PERCEPTION ABOUT THE USE OF ACTION-BASED METHODOLOGIES</t>
  </si>
  <si>
    <t>Silva, Paulino; Bertuzi, Rui</t>
  </si>
  <si>
    <t>Skills and earnings in less than bachelor's occupations</t>
  </si>
  <si>
    <t>Yerger, David B.</t>
  </si>
  <si>
    <t>INTERNATIONAL JOURNAL OF SOCIAL ECONOMICS</t>
  </si>
  <si>
    <t>10.1108/IJSE-03-2015-0048</t>
  </si>
  <si>
    <t>Skills and Attributes of IT Graduates: Evidence from Employer's Perspective</t>
  </si>
  <si>
    <t>Osmani, Mohamad; Weerakkody, Vishanth; Hindi, Nitham; Kapoor, Kawaljeet; Al-Esmail, Rajab; Eldabi, Tillal</t>
  </si>
  <si>
    <t>AMCIS 2016 PROCEEDINGS</t>
  </si>
  <si>
    <t>22nd Americas Conference on Information Systems (AMCIS)</t>
  </si>
  <si>
    <t>SOFT SKILLS AND BUSINESS PERFORMANCE: CONCEPTS FOR COMPARATIVE ANALYSIS</t>
  </si>
  <si>
    <t>Moura, Denise; Zotes, Luis Perez</t>
  </si>
  <si>
    <t>SISTEMAS &amp; GESTAO</t>
  </si>
  <si>
    <t>10.7177/sg.2015.v10.n2.a4</t>
  </si>
  <si>
    <t>TAILORING THE USE OF ICT IN DESIGNING AND TEACHING AN &lt;i&gt;ENGLISH FOR ENGINEERING ACADEMIC&lt;/i&gt; STUDY COURSE</t>
  </si>
  <si>
    <t>Catelly, Yolanda-Mirela</t>
  </si>
  <si>
    <t>Roceanu, I</t>
  </si>
  <si>
    <t>LET'S BUILD THE FUTURE THROUGH LEARNING INNOVATION!, VOL III</t>
  </si>
  <si>
    <t>10th International Scientific Conference on eLearning and Software for Education</t>
  </si>
  <si>
    <t>APR 24-25, 2014</t>
  </si>
  <si>
    <t>Transversal Competencies of Electrical and Computing Engineers considering market demand</t>
  </si>
  <si>
    <t>Higuchi Yanaze, Leandro Key; Lopes, Roseli De Deus</t>
  </si>
  <si>
    <t>Analysis of Factors Affecting Satisfaction Level on Problem Based Learning Approach Using Structural Equation Modeling</t>
  </si>
  <si>
    <t>Hussain, Nur Farahin Mee; Zahid, Zalina</t>
  </si>
  <si>
    <t>Ibrahim, H; Zulkepli, J; Aziz, N; Ahmad, N; Rahman, SA</t>
  </si>
  <si>
    <t>INTERNATIONAL CONFERENCE ON QUANTITATIVE SCIENCES AND ITS APPLICATIONS (ICOQSIA 2014)</t>
  </si>
  <si>
    <t>10.1063/1.4903601</t>
  </si>
  <si>
    <t>3rd International Conference on Quantitative Sciences and Its Applications (ICOQSIA)</t>
  </si>
  <si>
    <t>AUG 12-14, 2014</t>
  </si>
  <si>
    <t>THE EMPLOYABILITY OF GRADUATES AND THE IMPORTANCE OF SOFT SKILLS IN PRACTICE</t>
  </si>
  <si>
    <t>Kollarikova, Timea; Pongracz, Eva</t>
  </si>
  <si>
    <t>Slavickova, P</t>
  </si>
  <si>
    <t>KNOWLEDGE FOR MARKET USE 2014: MEDIA AND COMMUNICATION IN THE 21ST CENTURY</t>
  </si>
  <si>
    <t>9th Annual International Scientific Conference on Knowledge for Market Use - Media and Communication in the 21st Century</t>
  </si>
  <si>
    <t>SEP 11-12, 2014</t>
  </si>
  <si>
    <t>CAD Course in Engineering Education</t>
  </si>
  <si>
    <t>Gradinscak, Marija</t>
  </si>
  <si>
    <t>Gao, S</t>
  </si>
  <si>
    <t>MACHINE DESIGN AND MANUFACTURING ENGINEERING</t>
  </si>
  <si>
    <t>10.4028/www.scientific.net/AMR.566.304</t>
  </si>
  <si>
    <t>International Conference on Machine Design and Manufacturing Engineering (ICMDME 2012)</t>
  </si>
  <si>
    <t>MAY 11-12, 2012</t>
  </si>
  <si>
    <t>Validation Strategies of Competences in a Computer Science Curriculum</t>
  </si>
  <si>
    <t>Levano, Marcos A.; Herrera, Oriel A.</t>
  </si>
  <si>
    <t>2012 31ST INTERNATIONAL CONFERENCE OF THE CHILEAN COMPUTER SCIENCE SOCIETY (SCCC 2012)</t>
  </si>
  <si>
    <t>10.1109/SCCC.2012.8</t>
  </si>
  <si>
    <t>31st International Conference of the Chilean-Computer-Science-Society (SCCC)</t>
  </si>
  <si>
    <t>NOV 12-16, 2012</t>
  </si>
  <si>
    <t>Employer Satisfaction towards Business Graduates in Sri Lanka</t>
  </si>
  <si>
    <t>Ranasinghe, Athula; Herath, H. M. T. S.</t>
  </si>
  <si>
    <t>Tao, F</t>
  </si>
  <si>
    <t>SOCIAL SCIENCE AND HUMANITY, PT ONE</t>
  </si>
  <si>
    <t>International Conference on Social Science and Humanity (ICSSH 2011)</t>
  </si>
  <si>
    <t>FEB 26-28, 2011</t>
  </si>
  <si>
    <t>The Acquisition of Soft skills in Real Estate Education - A Review</t>
  </si>
  <si>
    <t>Rangga, Wilson A. J.; Ariffian, Ahmad B.; Norhishamuddin, W. W. R.; Abu Zarin, H.</t>
  </si>
  <si>
    <t>SOCIALITY AND ECONOMICS DEVELOPMENT</t>
  </si>
  <si>
    <t>International Conference on Sociality and Economics Development (ICSEP 2011)</t>
  </si>
  <si>
    <t>JUN 17-19, 2011</t>
  </si>
  <si>
    <t>Training and Maritime Archaeology in a University Context</t>
  </si>
  <si>
    <t>Parham, David; Palma, Paola</t>
  </si>
  <si>
    <t>JOURNAL OF MARITIME ARCHAEOLOGY</t>
  </si>
  <si>
    <t>DEC 2008</t>
  </si>
  <si>
    <t>10.1007/s11457-008-9033-y</t>
  </si>
  <si>
    <t>Conference on Education and Training held at the Institute-for-Field-Archaeologists Annual Conference</t>
  </si>
  <si>
    <t>MAR, 2008</t>
  </si>
  <si>
    <t>Women and ICT training: Inclusion or searegation in the new economy?</t>
  </si>
  <si>
    <t>Gillard, Hazel; Mitev, Nathalie</t>
  </si>
  <si>
    <t>Trauth, EM; Howcroft, D; Butler, T; Fitzgerald, B; DeGross, JI</t>
  </si>
  <si>
    <t>SOCIAL INCLUSION: SOCIETAL AND ORGANIZATIONAL IMPLICATIONS FOR INFORMATION SYSTEMS</t>
  </si>
  <si>
    <t>International Working Conference on Social Inclusion - Societal and Organizational Implications for Information Systems</t>
  </si>
  <si>
    <t>JUL 12-15, 2006</t>
  </si>
  <si>
    <t>Transformation of work and new model of qualification/training</t>
  </si>
  <si>
    <t>Bernier, C</t>
  </si>
  <si>
    <t>RELATIONS INDUSTRIELLES-INDUSTRIAL RELATIONS</t>
  </si>
  <si>
    <t>WIN 1999</t>
  </si>
  <si>
    <t>10.7202/051220ar</t>
  </si>
  <si>
    <t>Technology and the US labor market: Evidence from the sectoral and regional decomposition of the change in the US workforce skill mix</t>
  </si>
  <si>
    <t>Alyan, N</t>
  </si>
  <si>
    <t>ECONOMICS LETTERS</t>
  </si>
  <si>
    <t>APR 1999</t>
  </si>
  <si>
    <t>10.1016/S0165-1765(98)00249-3</t>
  </si>
  <si>
    <t>An alternative technical education system: A case study of Mexico</t>
  </si>
  <si>
    <t>Lee, KW</t>
  </si>
  <si>
    <t>INTERNATIONAL JOURNAL OF EDUCATIONAL DEVELOPMENT</t>
  </si>
  <si>
    <t>JUL 1998</t>
  </si>
  <si>
    <t>10.1016/S0738-0593(98)00025-X</t>
  </si>
  <si>
    <t>Investigating the impact of the COVID-19 pandemic and macroeconomic variables on unemployment among university graduates in Indonesia: Regression and Fs-QCA approaches</t>
  </si>
  <si>
    <t>Daud, Nahu; Possumah, Bayu Taufiq; Nugraha, Ranggi Aditya; Mustofa, Suyanto Sukri; Amin, Chairullah</t>
  </si>
  <si>
    <t>DEC 31 2024</t>
  </si>
  <si>
    <t>10.1080/23322039.2024.2382350</t>
  </si>
  <si>
    <t>Charting the path to a sustainable, competitive and green industry in an era of rapid change: proposing a research agenda</t>
  </si>
  <si>
    <t>Wallo, Andreas; Martin, Jason; Elg, Mattias; Harlin, Ulrika; Gremyr, Ida; Bozic, Nina; Skagert, Katrin; Williamsson, Anna</t>
  </si>
  <si>
    <t>COGENT BUSINESS &amp; MANAGEMENT</t>
  </si>
  <si>
    <t>10.1080/23311975.2024.2344189</t>
  </si>
  <si>
    <t>Soft-skills, networking, and workforce entry: Impacts of a training program for recent graduates in Rwanda</t>
  </si>
  <si>
    <t>Brudevold-Newman, Andrew; Ubfal, Diego</t>
  </si>
  <si>
    <t>DEC 2024</t>
  </si>
  <si>
    <t>10.1016/j.labeco.2024.102650</t>
  </si>
  <si>
    <t>Artificial intelligence, emotional labor, and the quest for sociological and political imagination among low-skilled workers</t>
  </si>
  <si>
    <t>Oder, Noah; Beland, Daniel</t>
  </si>
  <si>
    <t>POLICY AND SOCIETY</t>
  </si>
  <si>
    <t>10.1093/polsoc/puae034</t>
  </si>
  <si>
    <t>Exploring digital competencies in higher education: design and validation of instruments for the era of Industry 5.0</t>
  </si>
  <si>
    <t>Pelaez-Sanchez, Iris Cristina; Glasserman-Morales, Leonardo David; Rocha-Feregrino, Gerardo</t>
  </si>
  <si>
    <t>FRONTIERS IN EDUCATION</t>
  </si>
  <si>
    <t>OCT 9 2024</t>
  </si>
  <si>
    <t>10.3389/feduc.2024.1415800</t>
  </si>
  <si>
    <t>A Systematic Literature Review of Soft Skills in Information Technology Education</t>
  </si>
  <si>
    <t>Mohammed, Farhad Sadik; Ozdamli, Fezile</t>
  </si>
  <si>
    <t>BEHAVIORAL SCIENCES</t>
  </si>
  <si>
    <t>OCT 2024</t>
  </si>
  <si>
    <t>10.3390/bs14100894</t>
  </si>
  <si>
    <t>The Digital Edge: Skills That Matter in the European Labour Market after COVID-19</t>
  </si>
  <si>
    <t>Tarca, Viorel; Luca, Florin-Alexandru; Tarca, Elena</t>
  </si>
  <si>
    <t>10.3390/economies12100273</t>
  </si>
  <si>
    <t>Identifying skills required of new epidemiologists: a content analysis of Canadian job postings and master's programs</t>
  </si>
  <si>
    <t>Chalmers, Karli E.; Spence, Kelsey L.</t>
  </si>
  <si>
    <t>FRONTIERS IN PUBLIC HEALTH</t>
  </si>
  <si>
    <t>SEP 19 2024</t>
  </si>
  <si>
    <t>10.3389/fpubh.2024.1418494</t>
  </si>
  <si>
    <t>Digital twin-based cyber-physical manufacturing systems, extended reality metaverse enterprise and production management algorithms, and Internet of Things financial and labor market technologies in generative artificial intelligence economics</t>
  </si>
  <si>
    <t>Lazaroiu, George; Gedeon, Tom; Rogalska, Elzbieta; Valaskova, Katarina; Nagy, Marek; Musa, Hussam; Zvarikova, Katarina; Poliak, Milos; Horak, Jakub; Cretoiu, Raluca Ionela; Krulicky, Tomas; Ionescu, Luminia; Popa, Catalin; Hurloiu, Lacramioara Rodica; Nistor, Filip; Avram, Laurentia Georgeta; Braga, Viorica</t>
  </si>
  <si>
    <t>OECONOMIA COPERNICANA</t>
  </si>
  <si>
    <t>SEP 2024</t>
  </si>
  <si>
    <t>10.24136/oc.3183</t>
  </si>
  <si>
    <t>Modeling and Analyzing the Availability of Technical Professional Profiles for the Success of Smart Cities Projects in Europe</t>
  </si>
  <si>
    <t>Lopez-Baldominos, Ines; Pospelova, Vera; Fernandez-Sanz, Luis; Castillo-Martinez, Ana</t>
  </si>
  <si>
    <t>SENSORS</t>
  </si>
  <si>
    <t>10.3390/s24186089</t>
  </si>
  <si>
    <t>Contextual Intelligence: An AI Approach to Manufacturing Skills' Forecasting</t>
  </si>
  <si>
    <t>Maphisa, Xolani; Nkadimeng, Mpho; Telukdarie, Arnesh</t>
  </si>
  <si>
    <t>BIG DATA AND COGNITIVE COMPUTING</t>
  </si>
  <si>
    <t>10.3390/bdcc8090101</t>
  </si>
  <si>
    <t>The Impact of Digitalization on Industrial Engineering Students' Training from the Perspective of Their Insertion in the Labor Market in a Sustainable Economy: A Students' Opinions Survey</t>
  </si>
  <si>
    <t>Raveica, Ionel Crinel; Olaru, Ionel; Herghelegiu, Eugen; Tampu, Nicolae Catalin; Radu, Maria-Crina; Chirita, Bogdan Alexandru; Schnakovszky, Carol; Ciubotariu, Vlad Andrei</t>
  </si>
  <si>
    <t>10.3390/su16177499</t>
  </si>
  <si>
    <t>Bridging workforce skills gaps in rural America amid 'the great resignation' by leveraging a triple helix collaboration</t>
  </si>
  <si>
    <t>Thorpe, Melynda; Healy, Christine; Olsen, David</t>
  </si>
  <si>
    <t>10.1177/09504222241277409</t>
  </si>
  <si>
    <t>Bridging minds and machines in Industry 5.0: neurobiological approach</t>
  </si>
  <si>
    <t>Rueda-Castro, Valentina; Azofeifa, Jose Daniel; Chacon, Julian; Caratozzolo, Patricia</t>
  </si>
  <si>
    <t>FRONTIERS IN HUMAN NEUROSCIENCE</t>
  </si>
  <si>
    <t>AUG 27 2024</t>
  </si>
  <si>
    <t>10.3389/fnhum.2024.1427512</t>
  </si>
  <si>
    <t>Expatriate jobs and productivity: Evidence from two GCC economies</t>
  </si>
  <si>
    <t>Erumban, Abdul. A.; Al-Mejren, Abbas</t>
  </si>
  <si>
    <t>STRUCTURAL CHANGE AND ECONOMIC DYNAMICS</t>
  </si>
  <si>
    <t>10.1016/j.strueco.2024.07.007</t>
  </si>
  <si>
    <t>Cooperative Learning Reduces the Gender Gap in Perceived Social Competences: A Large-Scale Nationwide Longitudinal Experiment</t>
  </si>
  <si>
    <t>Rudmann, Ocyna; Batruch, Anatolia; Visintin, Emilio Paolo; Sommet, Nicolas; Bressoux, Pascal; Darnon, Celine; Bouet, Marinette; Bressan, Marco; Brown, Genavee; Cepeda, Carlos; Cherbonnier, Anthony; Demolliens, Marie; De Place, Anne-Laure; Desrichard, Olivier; Ducros, Theo; Goron, Luc; Hemon, Brivael; Huguet, Pascal; Jamet, Eric; Martinez, Ruben; Mazenod, Vincent; Mella, Nathalie; Michinov, Estelle; Michinov, Nicolas; Ofosu, Nana; Pansu, Pascal; Peter, Laurine; Petitcollot, Benoit; Poletti, Celine; Regner, Isabelle; Riant, Mathilde; Robert, Anais; Sanrey, Camille; Stanczak, Arnaud; Toumani, Farouk; Vilmin, Simon; Vives, Eva; Butera, Fabrizio</t>
  </si>
  <si>
    <t>JOURNAL OF EDUCATIONAL PSYCHOLOGY</t>
  </si>
  <si>
    <t>10.1037/edu0000870</t>
  </si>
  <si>
    <t>From Data to Insight: Transforming Online Job Postings into Labor-Market Intelligence</t>
  </si>
  <si>
    <t>Tzimas, Giannis; Zotos, Nikos; Mourelatos, Evangelos; Giotopoulos, Konstantinos C.; Zervas, Panagiotis</t>
  </si>
  <si>
    <t>INFORMATION</t>
  </si>
  <si>
    <t>10.3390/info15080496</t>
  </si>
  <si>
    <t>Caring or selling? Communicating values or promoting products in PR education</t>
  </si>
  <si>
    <t>Barlik, Jacek</t>
  </si>
  <si>
    <t>CORPORATE COMMUNICATIONS</t>
  </si>
  <si>
    <t>10.1108/CCIJ-12-2023-0186</t>
  </si>
  <si>
    <t>Competencies for Smart City Challenges</t>
  </si>
  <si>
    <t>Salaj, Alenka Temeljotov; Torp, Olav; Andalib, Elham</t>
  </si>
  <si>
    <t>IFAC PAPERSONLINE</t>
  </si>
  <si>
    <t>10.1016/j.ifacol.2024.07.167</t>
  </si>
  <si>
    <t>22nd IFAC Conference on Technology, Culture and International Stability (TECIS)</t>
  </si>
  <si>
    <t>MAY 29-31, 2024</t>
  </si>
  <si>
    <t>Job training in polarizing job markets: A longitudinal analysis using administrative microdata</t>
  </si>
  <si>
    <t>Didier, Nicolas</t>
  </si>
  <si>
    <t>SOCIAL POLICY &amp; ADMINISTRATION</t>
  </si>
  <si>
    <t>10.1111/spol.13061</t>
  </si>
  <si>
    <t>Soft skills: students and employers crave</t>
  </si>
  <si>
    <t>Romanenko, Yulia N.; Stepanova, Maria; Maksimenko, Nadezhda</t>
  </si>
  <si>
    <t>JUL 18 2024</t>
  </si>
  <si>
    <t>10.1057/s41599-024-03250-8</t>
  </si>
  <si>
    <t>We have talent: Mock group interviewing improves employer perceived competence on hireability</t>
  </si>
  <si>
    <t>McWhorter, Rochell R.; Johnson, Gail; Delello, Julie; Young, Marilyn; Carpenter, Rob E.</t>
  </si>
  <si>
    <t>JUL 3 2024</t>
  </si>
  <si>
    <t>10.1080/08832323.2024.2366782</t>
  </si>
  <si>
    <t>How middle-skilled workers adjust to immigration: the role of occupational skill specificity</t>
  </si>
  <si>
    <t>Pregaldini, Damiano; Backes-Gellner, Uschi</t>
  </si>
  <si>
    <t>SEP 30 2024</t>
  </si>
  <si>
    <t>10.1108/IJM-09-2023-0519</t>
  </si>
  <si>
    <t>Bridging gaps, building futures: evaluating a multinational's employment programme vs. work-first for youth with diverse education levels</t>
  </si>
  <si>
    <t>Peijen, Roy; Muffels, Ruud</t>
  </si>
  <si>
    <t>JOURNAL OF YOUTH STUDIES</t>
  </si>
  <si>
    <t>10.1080/13676261.2024.2370255</t>
  </si>
  <si>
    <t>Bridging the Healthcare Skill Gap: A Higher Education Perspective: A Data Base Research</t>
  </si>
  <si>
    <t>Chowhan, Sudhinder Singh; Bagrecha, Mahavir Satishchand; Sharma, Sandesh Kumar; Issac, Anu Sumi; Bennadi, Darshana; Satodiya, Vimal; Tiwari, Rahul</t>
  </si>
  <si>
    <t>JOURNAL OF PHARMACY AND BIOALLIED SCIENCES</t>
  </si>
  <si>
    <t>S2356</t>
  </si>
  <si>
    <t>S2359</t>
  </si>
  <si>
    <t>10.4103/jpbs.jpbs_257_24</t>
  </si>
  <si>
    <t>Exploring the Significance of Soft Skills in Enhancing Employability of Taif University Postgraduates: An Analysis of Relevant Variables</t>
  </si>
  <si>
    <t>Hussein, Mohamed G.</t>
  </si>
  <si>
    <t>10.1177/21582440241271941</t>
  </si>
  <si>
    <t>The Relationship between Learning Outcomes and Graduate Competences: The Chain-Mediating Roles of Project-Based Learning and Assessment Strategies</t>
  </si>
  <si>
    <t>Li, Ming; Rohayati, Mohd Isa</t>
  </si>
  <si>
    <t>10.3390/su16146080</t>
  </si>
  <si>
    <t>Professionalization in Turism through inclusive education in collaborative spaces</t>
  </si>
  <si>
    <t>Teston Franco, Nancy; Carrizal Alonso, Aide Maricel; Gayosso Mexia, Sonia</t>
  </si>
  <si>
    <t>VISION GERENCIAL</t>
  </si>
  <si>
    <t>JUL-DEC 2024</t>
  </si>
  <si>
    <t>Economic shocks and skill acquisition: Evidence from a national online learning platform at the onset of COVID-19</t>
  </si>
  <si>
    <t>Ganguli, Ina; Haidar, Jamal Ibrahim; Khwaja, Asim Ijaz; Stemper, Samuel; Zafar, Basit</t>
  </si>
  <si>
    <t>10.1016/j.labeco.2024.102575</t>
  </si>
  <si>
    <t>Temperament traits and economic preferences predict occupational choice beyond human capital variables</t>
  </si>
  <si>
    <t>Vaaramo, Mikko; Huikari, Sanna; -Mursula, Leena Ala; Miettunen, Jouko; Korhonen, Marko</t>
  </si>
  <si>
    <t>10.1016/j.labeco.2024.102576</t>
  </si>
  <si>
    <t>Future skills and competencies for Industry 4.0 transformation: A Delphi study of the Ha'il region in Saudi Arabia</t>
  </si>
  <si>
    <t>Aichouni, Mohamed; Touahmia, Mabrouk; Alshammari, Serhan; Said, Mohamed</t>
  </si>
  <si>
    <t>INTERNATIONAL JOURNAL OF ADVANCED AND APPLIED SCIENCES</t>
  </si>
  <si>
    <t>10.21833/ijaas.2024.06.021</t>
  </si>
  <si>
    <t>Task-Based Discriminations</t>
  </si>
  <si>
    <t>Hurst, Erik; Rubinstein, Yona; Shimizu, Kazuatsu</t>
  </si>
  <si>
    <t>AMERICAN ECONOMIC REVIEW</t>
  </si>
  <si>
    <t>10.1257/aer.20220234</t>
  </si>
  <si>
    <t>A Foot in the Australian Employment Door: A Qualitative Study of Highly Skilled Migrant Women</t>
  </si>
  <si>
    <t>Singh, Jasvir Kaur Nachatar; Mutum, Juliana</t>
  </si>
  <si>
    <t>10.1007/s12134-024-01148-7</t>
  </si>
  <si>
    <t>A data-driven approach to aligning academic offerings with industry needs for business and economy in Slovenia</t>
  </si>
  <si>
    <t>Andonovikj, Viktor; Boshkoska, Biljana Mileva; Redek, Tjasa; Boskoski, Pavle</t>
  </si>
  <si>
    <t>JOURNAL OF DECISION SYSTEMS</t>
  </si>
  <si>
    <t>10.1080/12460125.2024.2354587</t>
  </si>
  <si>
    <t>AI and the Future of Work: Investigating the Transformation of the Labor Market in China's Secondary Sector with a Focus on Income Distribution, Skill Gaps, and Unemployment Rates</t>
  </si>
  <si>
    <t>Ren, Jingxuan; Ishak, Suryati; Hamzah, Hanny Zurina</t>
  </si>
  <si>
    <t>CUADERNOS DE ECONOMIA</t>
  </si>
  <si>
    <t>MAY-AUG 2024</t>
  </si>
  <si>
    <t>10.32826/cude.v47i134.1405</t>
  </si>
  <si>
    <t>Reshaping vocational training: a study on the recognition of micro-credentials in job markets</t>
  </si>
  <si>
    <t>Alasmari, Talal</t>
  </si>
  <si>
    <t>JUN 4 2024</t>
  </si>
  <si>
    <t>2/3</t>
  </si>
  <si>
    <t>10.1108/ET-07-2023-0282</t>
  </si>
  <si>
    <t>Blended learning and augmented employability: a multi-stakeholder perspective of the micro-credentialing ecosystem in higher education</t>
  </si>
  <si>
    <t>Sharma, Himani; Jain, Varsha; Mogaji, Emmanuel; Babbilid, Anantha S.</t>
  </si>
  <si>
    <t>JUN 25 2024</t>
  </si>
  <si>
    <t>10.1108/IJEM-12-2022-0497</t>
  </si>
  <si>
    <t>Precariat women's experiences to undertake an entrepreneurial training program</t>
  </si>
  <si>
    <t>Shah, Dhara; Meiklejohn, Ainslie; Spencer, Nancy; Lawrence, Sandra</t>
  </si>
  <si>
    <t>JOURNAL OF BUSINESS RESEARCH</t>
  </si>
  <si>
    <t>MAY 2024</t>
  </si>
  <si>
    <t>10.1016/j.jbusres.2024.114671</t>
  </si>
  <si>
    <t>Developing soft skills in the business classrooms of industrial engineering students in Brazil</t>
  </si>
  <si>
    <t>Montalvan, Roberth Andres Villazon; Neto, Annibal Affonso; Neumann, Clovis</t>
  </si>
  <si>
    <t>JOURNAL OF INTERNATIONAL EDUCATION IN BUSINESS</t>
  </si>
  <si>
    <t>MAY 7 2024</t>
  </si>
  <si>
    <t>10.1108/JIEB-11-2023-0092</t>
  </si>
  <si>
    <t>Integration of AI into the Distance Learning Environment: Enhancing Soft Skills</t>
  </si>
  <si>
    <t>Borkovska, Inna; Kolosova, Hanna; Kozubska, Iryna; Antonenko, Inna</t>
  </si>
  <si>
    <t>10.24093/awej/ChatGPT.3</t>
  </si>
  <si>
    <t>Where Should a New Graduate Start? A Multi-Source Evaluation of the Banking Sector Business Analyst Signals in an Emerging Economy</t>
  </si>
  <si>
    <t>Cakmak, Bunyamin Yasin; Yigit, Busra</t>
  </si>
  <si>
    <t>ISTANBUL BUSINESS RESEARCH</t>
  </si>
  <si>
    <t>10.26650/ibr.2024.53.1208513</t>
  </si>
  <si>
    <t>Navigating occupational digitalization via skillshed analysis</t>
  </si>
  <si>
    <t>Jolley, G. Jason; Bone, Clara; Bacot, Hunter; Pham, Tuyen</t>
  </si>
  <si>
    <t>AMERICAN JOURNAL OF ECONOMICS AND SOCIOLOGY</t>
  </si>
  <si>
    <t>10.1111/ajes.12569</t>
  </si>
  <si>
    <t>Impact of a Competency Training Course, on the Job Profile of Veterinary Medicine Graduates in Northeastern Brazil</t>
  </si>
  <si>
    <t>Amora, Sthenia Santos Albano; Braga, Juliana Fortes Vilarinho; de Araujo, Marcelle Santana; de Queiroz, Genilson Fernandes; Alcindo, Jefferson Filgueira; Borges, Cibele dos Santos</t>
  </si>
  <si>
    <t>JOURNAL OF VETERINARY MEDICAL EDUCATION</t>
  </si>
  <si>
    <t>10.3138/jvme-2023-0130</t>
  </si>
  <si>
    <t>Modeling the employment decisions of young men and women in nine European countries: An application of random utility theory and revealed preference</t>
  </si>
  <si>
    <t>Jagannathan, Radha; Camasso, Michael J.; Lafleur, Jocelyn; Monteleone, Simona</t>
  </si>
  <si>
    <t>10.1016/j.eap.2024.03.009</t>
  </si>
  <si>
    <t>NERSkill.Id: Annotated dataset of Indonesian's skill entity recognition</t>
  </si>
  <si>
    <t>Tentua, Meilany Nonsi; Suprapto; Afiahayati</t>
  </si>
  <si>
    <t>DATA IN BRIEF</t>
  </si>
  <si>
    <t>10.1016/j.dib.2024.110192</t>
  </si>
  <si>
    <t>Exercising Empathy in the Sport Management Classroom: The True Flipped Classroom</t>
  </si>
  <si>
    <t>Strode, James</t>
  </si>
  <si>
    <t>SPORT MANAGEMENT EDUCATION JOURNAL</t>
  </si>
  <si>
    <t>10.1123/smej.2023-0022</t>
  </si>
  <si>
    <t>Effects of Innovative Technologies on Gender Disparity and the Future of Work: Information Communication Technology Skills Education for Youth Employability</t>
  </si>
  <si>
    <t>Alao, Abiodun; Brink, Roelien; Simelane, Sibusiso; Abubakre, Abosede O.</t>
  </si>
  <si>
    <t>INTERNATIONAL JOURNAL OF INFORMATION AND COMMUNICATION TECHNOLOGY EDUCATION</t>
  </si>
  <si>
    <t>10.4018/IJICTE.357251</t>
  </si>
  <si>
    <t>Nurturing Soft Skills in Engineering Education with Interactive Activities</t>
  </si>
  <si>
    <t>Atlamaz, Tuba Arabaci; Bengu, Elif; Aydogdu, Ceyda Cihan; Soylu, Sebnem</t>
  </si>
  <si>
    <t>INTERNATIONAL JOURNAL OF EDUCATION IN MATHEMATICS SCIENCE AND TECHNOLOGY</t>
  </si>
  <si>
    <t>10.46328/ijemst.4213</t>
  </si>
  <si>
    <t>SHAPING THE COMPETENCIES OF THE FUTURE: THE IMPORTANCE OF DEVELOPING SOFT SKILLS IN HIGHER EDUCATION WITHIN THE LANDSCAPE OF INFORMATION TECHNOLOGIES</t>
  </si>
  <si>
    <t>Burda, Yurii; Samus, Tetiana; Bazhmina, Evelina; Bondarenko, Olha; Myrnyi, Dmytro</t>
  </si>
  <si>
    <t>AD ALTA-JOURNAL OF INTERDISCIPLINARY RESEARCH</t>
  </si>
  <si>
    <t>Integrating personalized educational concepts for enhancing communication skills through the strengthening of related microskills: a case study at University of Rome Sapienza</t>
  </si>
  <si>
    <t>Callea, Viviana; Ursache, Mihai; Chiarotto, Isabella; Matrisciano, Apollonia; Tempone, Roberta</t>
  </si>
  <si>
    <t>10.1109/EDUCON60312.2024.10578569</t>
  </si>
  <si>
    <t>COACH_ING Educational Model: Train to Career</t>
  </si>
  <si>
    <t>Callea, Viviana; Matrisciano, Apollonia; Ursache, Mihai; Tempone, Roberta; Chiarotto, Isabella</t>
  </si>
  <si>
    <t>Auer, ME; Cukierman, UR; Vidal, EV; Caro, ET</t>
  </si>
  <si>
    <t>TOWARDS A HYBRID, FLEXIBLE AND SOCIALLY ENGAGED HIGHER EDUCATION, VOL 2, ICL2023</t>
  </si>
  <si>
    <t>10.1007/978-3-031-52667-1_19</t>
  </si>
  <si>
    <t>26th International Conference on Interactive Collaborative Learning (ICL) - Towards a Hybrid, Flexible and Socially Engaged Higher Education / 52nd IGIP International Conference on Engineering Pedagogy</t>
  </si>
  <si>
    <t>SEP 26-29, 2023</t>
  </si>
  <si>
    <t>Readiness to Teach Industry 4.0 among University Lecturers in Malaysian Urban Universities</t>
  </si>
  <si>
    <t>Chew, Zariv Long-Kwan; Palaniappan, Ananda Kumar; Lai, Chooi-Seong</t>
  </si>
  <si>
    <t>Advancements, Challenges, and Emerging Trends in Computer Science Education: A Systematic Literature Review of Academic and Professional Learning</t>
  </si>
  <si>
    <t>Coroiu, Adriana; Calin, Alina; Gaceanu, Radu; Vescan, Andreea</t>
  </si>
  <si>
    <t>2024 IEEE INTERNATIONAL CONFERENCE ON SOFTWARE ANALYSIS, EVOLUTION AND REENGINEERING-COMPANION, SANER-C 2024</t>
  </si>
  <si>
    <t>XV</t>
  </si>
  <si>
    <t>XXVI</t>
  </si>
  <si>
    <t>10.1109/SANER-C62648.2024.00006</t>
  </si>
  <si>
    <t>IEEE International Conference on Software Analysis, Evolution and Reengineering - Companion (SANER-C)</t>
  </si>
  <si>
    <t>MAR 12-15, 2024</t>
  </si>
  <si>
    <t>The Impact of Educational Partners in the Development of Technical and Soft Skills in Undergraduate Engineering Students</t>
  </si>
  <si>
    <t>Garcia-Garcia, Rebeca; Guajardo-Flores, Sara; Lara-Prieto, Vianney; Membrillo-Hernandez, Jorge</t>
  </si>
  <si>
    <t>10.1109/EDUCON60312.2024.10578589</t>
  </si>
  <si>
    <t>Difficulties and success factors in the development and application of the professional project and personal brand: an evaluative study</t>
  </si>
  <si>
    <t>Gonzalez, Fermin Carrillo</t>
  </si>
  <si>
    <t>10.5209/rced.86044</t>
  </si>
  <si>
    <t>Analyzing Natural Language Processing Techniques to Extract Meaningful Information on Skills Acquisition From Textual Content</t>
  </si>
  <si>
    <t>Gonzalez-Gomez, Luis Jose; Hernandez-Munoz, Sofia Margarita; Borja, Abiel; Azofeifa, Jose Daniel; Noguez, Julieta; Caratozzolo, Patricia</t>
  </si>
  <si>
    <t>10.1109/ACCESS.2024.3465409</t>
  </si>
  <si>
    <t>DigiTeachVR: Digitally-Enhanced Teaching Platform for Improving Data Science Skills and Virtual Reality Competences in Cross-Disciplinary Engineering Education</t>
  </si>
  <si>
    <t>Koh, Linus; Stricker, Philipp; Reisinger, Julia; Ansari, Fazel</t>
  </si>
  <si>
    <t>Thiede, S; Lutters, E</t>
  </si>
  <si>
    <t>LEARNING FACTORIES OF THE FUTURE, VOL 2, CLF 2024</t>
  </si>
  <si>
    <t>10.1007/978-3-031-65400-8_6</t>
  </si>
  <si>
    <t>14th International Conference on Learning Factories (CLF)</t>
  </si>
  <si>
    <t>APR 17-19, 2024</t>
  </si>
  <si>
    <t>EMPLOYERS' REQUEST FOR EMPLOYEE INDEPENDENCE: ANALYSIS OF VACANCIES ON RECRUITING SITES</t>
  </si>
  <si>
    <t>Korshunov, I. A.; Shirkova, N. N.; Sorokin, P. S.</t>
  </si>
  <si>
    <t>SOTSIOLOGICHESKIE ISSLEDOVANIYA</t>
  </si>
  <si>
    <t>10.31857/S0132162524010085</t>
  </si>
  <si>
    <t>A New Online Tool to Evaluate Transferable Skills in the European Framework</t>
  </si>
  <si>
    <t>Lacuesta, Raquel; Palacios-Navarro, Guillermo</t>
  </si>
  <si>
    <t>10.3991/ijep.v14i2.46657</t>
  </si>
  <si>
    <t>Revisiting Tech Battles Using Science Fiction: Methodological Implications and First Impressions</t>
  </si>
  <si>
    <t>Lucchetta, Jessica; Carraro, Tommaso; Stoycheva, Milena; Angeli, Lorenzo</t>
  </si>
  <si>
    <t>10.1109/EDUCON60312.2024.10578814</t>
  </si>
  <si>
    <t>The Interplay Between Career Adaptability and Foreign Language Skills in an Unstable Labor Market</t>
  </si>
  <si>
    <t>Maican, Maria-Anca; Cocorada, Elena; Constantin, Felicia</t>
  </si>
  <si>
    <t>PREPARING STUDENTS FROM THE ACADEMIC WORLD TO CAREER PATHS: A Comprehensive Guide</t>
  </si>
  <si>
    <t>10.4018/978-1-7998-7999-2.ch005</t>
  </si>
  <si>
    <t>Using the Findings of the Empirical Study Conducted Among Generation Z Students in Technical Teacher Training</t>
  </si>
  <si>
    <t>Nagy, Katalin Kanczne; Kattein-Pornoi, Rita; Szandi-Varga, Peter</t>
  </si>
  <si>
    <t>TOWARDS A HYBRID, FLEXIBLE AND SOCIALLY ENGAGED HIGHER EDUCATION, VOL 3, ICL 2023</t>
  </si>
  <si>
    <t>10.1007/978-3-031-53022-7_37</t>
  </si>
  <si>
    <t>Study of skills for implementing Industry 5.0 in industrial organizations</t>
  </si>
  <si>
    <t>Pavlickova, Marcela; Laciak, Marek; Malkus, Tomasz</t>
  </si>
  <si>
    <t>Kot, A</t>
  </si>
  <si>
    <t>2024 25TH INTERNATIONAL CARPATHIAN CONTROL CONFERENCE, ICCC 2024</t>
  </si>
  <si>
    <t>10.1109/ICCC62069.2024.10569896</t>
  </si>
  <si>
    <t>25th International Carpathian Control Conference (ICCC)</t>
  </si>
  <si>
    <t>MAY 22-24, 2024</t>
  </si>
  <si>
    <t>Essential Teambuilding Skills For Project Work In Engineering Studies</t>
  </si>
  <si>
    <t>Pogatsnik, Monika; Bcinki, Eva Beke; Scindor, Rita Bodane Kendrovics Rejto</t>
  </si>
  <si>
    <t>Szakal, A</t>
  </si>
  <si>
    <t>18TH INTERNATIONAL SYMPOSIUM ON APPLIED COMPUTATIONAL INTELLIGENCE AND INFORMATICS, SACI 2024</t>
  </si>
  <si>
    <t>18th IEEE International Symposium on Applied Computational Intelligence and Informatics (SACI)</t>
  </si>
  <si>
    <t>MAY 23-25, 2024</t>
  </si>
  <si>
    <t>Beyond Future Skills: Developing Company Personas in Disruptive Transformation Processes</t>
  </si>
  <si>
    <t>Proebster, Monika; Ehrenreich, Jochen; Kaesser-Pawelka, Guenter; Marsden, Nicola</t>
  </si>
  <si>
    <t>Kurosu, M; Hashizume, A</t>
  </si>
  <si>
    <t>HUMAN-COMPUTER INTERACTION, PT I, HCI 2024</t>
  </si>
  <si>
    <t>10.1007/978-3-031-60405-8_10</t>
  </si>
  <si>
    <t>Human-Computer Interaction (HCII) Thematic Area International Conference Held as Part of the 26th International Conference on Human-Computer Interaction (HCII)</t>
  </si>
  <si>
    <t>JUN 29-JUL 04, 2024</t>
  </si>
  <si>
    <t>Data-Driven Exploration of Skill Mismatch: Leveraging Textual Analysis for Comprehensive Insights</t>
  </si>
  <si>
    <t>Rahhal, Ibrahim; Ghogho, Mounir; Benchaaboune, Kenza</t>
  </si>
  <si>
    <t>10.1109/EDUCON60312.2024.10578703</t>
  </si>
  <si>
    <t>Comparative Analysis of Large Language Models in Structured Information Extraction from Job Postings</t>
  </si>
  <si>
    <t>Sioziou, Kyriaki; Zervas, Panagiotis; Giotopoulos, Kostas; Tzimas, Giannis</t>
  </si>
  <si>
    <t>Maglogiannis, I; Iliadis, L; Papaleonidas, A; Pimenidis, E; Jayne, C</t>
  </si>
  <si>
    <t>ENGINEERING APPLICATIONS OF NEURAL NETWORKS, EANN 2024</t>
  </si>
  <si>
    <t>10.1007/978-3-031-62495-7_7</t>
  </si>
  <si>
    <t>25th International Conference on Engineering Applications of Neural Networks (EANN)</t>
  </si>
  <si>
    <t>JUN 27-30, 2024</t>
  </si>
  <si>
    <t>Gamification in Education and Demand for Acquired Skills: A Systematic Review</t>
  </si>
  <si>
    <t>Tikhomirova, Daria; Tregubova, Anna; Ternikov, Andrei</t>
  </si>
  <si>
    <t>VOPROSY OBRAZOVANIYA-EDUCATIONAL STUDIES MOSCOW</t>
  </si>
  <si>
    <t>10.17323/vo-2024-17587</t>
  </si>
  <si>
    <t>Employability narratives in digital storytelling: do overqualified Brazilian and Venezuelan immigrants in Portugal tell the same story?</t>
  </si>
  <si>
    <t>Nascimento, Paulo; Roberto, Magda Sofia; Lemos, Maria; Poole-da-Costa, Maria Caetana; Santos, Ana Sofia</t>
  </si>
  <si>
    <t>QUALITATIVE RESEARCH IN PSYCHOLOGY</t>
  </si>
  <si>
    <t>10.1080/14780887.2023.2293078</t>
  </si>
  <si>
    <t>Early labor insertion in Latin America: A perspective from business sector needs</t>
  </si>
  <si>
    <t>Valencia-Arias, Alejandro; Cardona-Cano, Robinsson; Lopez-Sanchez, Jerri; Herrera-Giraldo, Natalia; Valencia, Jackeline</t>
  </si>
  <si>
    <t>COGENT SOCIAL SCIENCES</t>
  </si>
  <si>
    <t>DEC 15 2023</t>
  </si>
  <si>
    <t>10.1080/23311886.2023.2270717</t>
  </si>
  <si>
    <t>Personal Taxes and Firm Skill Hiring: Evidence from 27 Million Job Postings</t>
  </si>
  <si>
    <t>Campello, Murillo; Gao, Janet; Xu, Qiping</t>
  </si>
  <si>
    <t>10.1287/mnsc.2022.01211</t>
  </si>
  <si>
    <t>An Empirical Study on the Needed Employability Skills in Post-Pandemic</t>
  </si>
  <si>
    <t>Chan, Raksmey</t>
  </si>
  <si>
    <t>STUDIES IN BUSINESS AND ECONOMICS</t>
  </si>
  <si>
    <t>DEC 1 2023</t>
  </si>
  <si>
    <t>10.2478/sbe-2023-0047</t>
  </si>
  <si>
    <t>The effects of the COVID-19 pandemic on vocational education and training in Germany</t>
  </si>
  <si>
    <t>Dummert, Sandra; Umkehrer, Matthias</t>
  </si>
  <si>
    <t>10.1080/13636820.2023.2280953</t>
  </si>
  <si>
    <t>Skill analysis of library and information science professionals</t>
  </si>
  <si>
    <t>Zhang, Jin; Chen, Jianyao</t>
  </si>
  <si>
    <t>JOURNAL OF LIBRARIANSHIP AND INFORMATION SCIENCE</t>
  </si>
  <si>
    <t>10.1177/09610006231207656</t>
  </si>
  <si>
    <t>Addressing shortage of skilled technical workers in the USA: A glimpse for training service providers</t>
  </si>
  <si>
    <t>Kalejaiye, Peter Oluwadare</t>
  </si>
  <si>
    <t>FUTURE BUSINESS JOURNAL</t>
  </si>
  <si>
    <t>NOV 5 2023</t>
  </si>
  <si>
    <t>10.1186/s43093-023-00228-x</t>
  </si>
  <si>
    <t>Artificial intelligence and the demand for skills in Russia</t>
  </si>
  <si>
    <t>Ternikov, Andrei A.</t>
  </si>
  <si>
    <t>VOPROSY EKONOMIKI</t>
  </si>
  <si>
    <t>10.32609/0042-8736-2023-11-65-80</t>
  </si>
  <si>
    <t>The Effect of Soft Skills on Academic Outcomes</t>
  </si>
  <si>
    <t>Keng, Shao-Hsun</t>
  </si>
  <si>
    <t>B E JOURNAL OF ECONOMIC ANALYSIS &amp; POLICY</t>
  </si>
  <si>
    <t>JAN 23 2024</t>
  </si>
  <si>
    <t>10.1515/bejeap-2022-0342</t>
  </si>
  <si>
    <t>Is Your Degree Worth It? Education-Job Transferability and Job Satisfaction of ICT Workers</t>
  </si>
  <si>
    <t>Lee, Sung-Tae; Jung, Sun-Moon</t>
  </si>
  <si>
    <t>10.1177/21582440231210068</t>
  </si>
  <si>
    <t>Revisiting the wage effects of vocational education and training (VET) over the life cycle: The case of Thailand</t>
  </si>
  <si>
    <t>Wongmonta, Sasiwooth</t>
  </si>
  <si>
    <t>10.1016/j.ijedudev.2023.102886</t>
  </si>
  <si>
    <t>A dynamic capability view of career adaptation: an exploratory study</t>
  </si>
  <si>
    <t>Finch, David J.; Levallet, Nadege; Saunders, Chad; Field, Evelyn; Ribeiro, Jason; Raby, Simon; Roberts, Michael; Uzoka, Faith-Michael; Campbell, Alexandria</t>
  </si>
  <si>
    <t>OCT 13 2023</t>
  </si>
  <si>
    <t>10.1108/ET-06-2021-0235</t>
  </si>
  <si>
    <t>Using qualification for the transformation of an organisation-a report on practice at IAV</t>
  </si>
  <si>
    <t>Dahm, Johanna; Dornoff, Karolina; Handlbauer, Stefanie; Lemke, Anja; Heidelberger, Maria; Kauffeld, Simone</t>
  </si>
  <si>
    <t>GIO-GRUPPE-INTERAKTION-ORGANISATION-ZEITSCHRIFT FUER ANGEWANDTE ORGANISATIONSPSYCHOLOGIE</t>
  </si>
  <si>
    <t>10.1007/s11612-023-00700-w</t>
  </si>
  <si>
    <t>Factors influencing the effectiveness of graduate architects as construction contract administrators (CCA)</t>
  </si>
  <si>
    <t>Tiew, Si Yee; Hashim, Helena Aman; Zulkifly, Umi Kalsum</t>
  </si>
  <si>
    <t>ENGINEERING CONSTRUCTION AND ARCHITECTURAL MANAGEMENT</t>
  </si>
  <si>
    <t>10.1108/ECAM-03-2023-0234</t>
  </si>
  <si>
    <t>Perception of accounting teachers regarding the relevance of soft skill to professional success</t>
  </si>
  <si>
    <t>de Souza Miranda, Claudio; de Oliveira Neto, Jose Dutra</t>
  </si>
  <si>
    <t>REVISTA DE GESTAO E SECRETARIADO-GESEC</t>
  </si>
  <si>
    <t>MAY 2023</t>
  </si>
  <si>
    <t>10.7769/gesec.v14i5.2081</t>
  </si>
  <si>
    <t>Exploring the economic and social relationships in a triadic model of continuous professional development</t>
  </si>
  <si>
    <t>Bulatbayeva, Kulzhanat; Zhaitapova, Altnai; Nametkulova, Farida; Orakova, Amangul; Muhambetzhanova, Saule; Adamova, Manara</t>
  </si>
  <si>
    <t>ECONOMIC ANNALS-XXI</t>
  </si>
  <si>
    <t>APR 10 2023</t>
  </si>
  <si>
    <t>10.21003/ea.V202-09</t>
  </si>
  <si>
    <t>The Skill-Specific Automatability of Aging Workers and Its Impact on Retirement Decisions</t>
  </si>
  <si>
    <t>Lee, Zeewan</t>
  </si>
  <si>
    <t>10.1093/workar/waad008</t>
  </si>
  <si>
    <t>Relevance of Communicative, Team Effectiveness, and Long-Range Planning Skills in Vessel Crewmembers</t>
  </si>
  <si>
    <t>Bouzon, Rebeca; Anton-Sancho, Alvaro; Amado-Sanchez, Yolanda; Vergara, Diego</t>
  </si>
  <si>
    <t>10.29333/iji.2023.16251a</t>
  </si>
  <si>
    <t>Universities in the process of co-working with the labor market</t>
  </si>
  <si>
    <t>Turcas, Ioana; Popa, Daniela; Maican, Catalin; Musa, Brenda- Andreea; Grigoroiu, Monica Claudia</t>
  </si>
  <si>
    <t>10.34069/AI/2023.63.03.31</t>
  </si>
  <si>
    <t>IMPLEMENTING INNOVATIVE APPROACHES AND LEARNING METHODS IN MARITIME EDUCATION</t>
  </si>
  <si>
    <t>Grancharova, Valentina; Lutzkanova, Siyana</t>
  </si>
  <si>
    <t>PEDAGOGIKA-PEDAGOGY</t>
  </si>
  <si>
    <t>S</t>
  </si>
  <si>
    <t>10.53656/ped2023-6s.11</t>
  </si>
  <si>
    <t>New Digital Tools to Teach Soft Skills and Sustainability for the Labor Market: Gamification as a Tool for Competency Acquisition in Realistic Contexts</t>
  </si>
  <si>
    <t>Lopez Serrano, Aida; McGowan, Nadia; Burgos, Daniel; Moreno-Ger, Pablo</t>
  </si>
  <si>
    <t>Gonzalez-Gonzalez, CS; Fernandez-Manjon, B; Li, F; Garcia-Penalvo, FJ; Sciarrone, F; Spaniol, M; Garcia-Holgado, A; Area-Moreira, M; Hemmje, M; Hao, T</t>
  </si>
  <si>
    <t>LEARNING TECHNOLOGIES AND SYSTEMS, ICWL 2022, SETE 2022</t>
  </si>
  <si>
    <t>10.1007/978-3-031-33023-0_6</t>
  </si>
  <si>
    <t>21st International Conference on Web-Based Learning / 7th International Symposium on Emerging Technologies for Education (ICWL/SETE)</t>
  </si>
  <si>
    <t>NOV 21-23, 2022</t>
  </si>
  <si>
    <t>Optimal Path Planner of Training Course Recommendation for Reskilling/Upskilling in New S-curve Industries</t>
  </si>
  <si>
    <t>Sooraksa, Nanta; Nawakitphaitoon, Kritkorn</t>
  </si>
  <si>
    <t>SENSORS AND MATERIALS</t>
  </si>
  <si>
    <t>10.18494/SAM4261</t>
  </si>
  <si>
    <t>SHAPING THE COMPETENCIES OF THE FUTURE: THE IMPORTANCE OF DEVELOPING SOFT SKILLS IN HIGHER EDUCATION</t>
  </si>
  <si>
    <t>Zadorina, Olha; Panas, Olena; Apalat, Hanna; Burchak, Liana; Ardelian, Olena</t>
  </si>
  <si>
    <t>CADERNOS EDUCACAO TECNOLOGIA E SOCIEDADE</t>
  </si>
  <si>
    <t>10.14571/brajets.v16.n2.361-371</t>
  </si>
  <si>
    <t>EXPLORING ASSOCIATION BETWEEN HR INDEPENDENCE IN ORGANIZING EDUCATIONAL PROGRAMS AND THE AVAILABILITY OF EDUCATIONAL AND TALENT MANAGEMENT PROGRAMS IN THE COMPANIES FROM SERBIA AND THE REPUBLIC OF SRPSKA</t>
  </si>
  <si>
    <t>Bovan, Ana; Milovanovic, Jana; Nikolic, Tatjana Mamula</t>
  </si>
  <si>
    <t>CASOPIS ZA EKONOMIJU I TRZISNE KOMUNIKACIJE</t>
  </si>
  <si>
    <t>10.7251/EMC2202350B</t>
  </si>
  <si>
    <t>Designing a pharmacist primary care certificate training program based on employer perceptions</t>
  </si>
  <si>
    <t>Frederick, Kelsey D.; Barenie, Rachel E.; Dill, M. Braden; Wheeler, James S.</t>
  </si>
  <si>
    <t>EXPLORATORY RESEARCH IN CLINICAL AND SOCIAL PHARMACY</t>
  </si>
  <si>
    <t>10.1016/j.rcsop.2022.100191</t>
  </si>
  <si>
    <t>SOFT SKILLS AND PATTERNS CREATED BY ROBOTIZATION IN THE LABOR MARKET As soft skills e padr?es criados pela robotiza??o no mercado de trabalho</t>
  </si>
  <si>
    <t>Graglia, Marcelo Augusto Vieira; Basilio, Patricia Cristina de Souza; de Almeida, Evandro</t>
  </si>
  <si>
    <t>RISUS-JOURNAL ON INNOVATION AND SUSTAINABILITY</t>
  </si>
  <si>
    <t>NOV-DEC 2022</t>
  </si>
  <si>
    <t>10.23925/2179-3565.2022v13i4p186-194</t>
  </si>
  <si>
    <t>INVESTIGATING EMPLOYABILITY SKILL GAPS AMONG ENGLISH MAJOR STUDENTS IN ALGERIA</t>
  </si>
  <si>
    <t>Mehdaoui, Ahmed</t>
  </si>
  <si>
    <t>LLT JOURNAL-A JOURNAL ON LANGUAGE AND LANGUAGE TEACHING</t>
  </si>
  <si>
    <t>10.24071/llt.v25i2.4912</t>
  </si>
  <si>
    <t>The role of the family in the development of skills required to access and remain in the labor market: A panoramic review of the literature</t>
  </si>
  <si>
    <t>Leyva-Townsend, Pamela; Garcia Alonso, Roberto; Rodriguez Rincon, Ross Mery; Paz Medina, Marialucia</t>
  </si>
  <si>
    <t>REVISTA LATINOAMERICANA DE ESTUDIOS DE FAMILIA</t>
  </si>
  <si>
    <t>JUL-DEC 2022</t>
  </si>
  <si>
    <t>10.17151/rlef.2022.14.2.4</t>
  </si>
  <si>
    <t>ACADEMIC SELF-EFFICACY, TECHNICAL SKILLS AND PERCEIVED EMPLOYABILITY OF UNDERGRADUATE BUSINESS STUDENTS</t>
  </si>
  <si>
    <t>de Souza, Nayara Aline; Frare, Anderson Betti; Beuren, Ilse Maria</t>
  </si>
  <si>
    <t>REVISTA EVIDENCIACAO CONTABIL &amp; FINANCAS</t>
  </si>
  <si>
    <t>MAY-AUG 2022</t>
  </si>
  <si>
    <t>10.22478/ufpb.2318-1001.2022v10n2.61030</t>
  </si>
  <si>
    <t>Use of ePortfolios for making hiring decisions: a comparison of the results from representatives of large and small businesses</t>
  </si>
  <si>
    <t>Holtzman, Diane M.; Kraft, Ellen M.; Small, Emmanuel</t>
  </si>
  <si>
    <t>10.1108/JWAM-01-2021-0001</t>
  </si>
  <si>
    <t>Technical and transversal skills: perception of teachers in training &lt;i&gt;controllers&lt;/i&gt;</t>
  </si>
  <si>
    <t>Rufino da Silva, Dayvson Ricardo; Goncalves Ferreira Amorim, Tania Nobre</t>
  </si>
  <si>
    <t>CUSTOS E AGRONEGOCIO ON LINE</t>
  </si>
  <si>
    <t>APR-JUN 2022</t>
  </si>
  <si>
    <t>Students' scientific socialization in the preparation for subject olympiads</t>
  </si>
  <si>
    <t>Boldovskaya, Tatiana E.; Devyaterikova, Marina, V; Raskina, Irina I.</t>
  </si>
  <si>
    <t>TOMSK STATE UNIVERSITY JOURNAL</t>
  </si>
  <si>
    <t>10.17223/15617793/476/19</t>
  </si>
  <si>
    <t>Mentoring in the School of Mines and Energy to Cover Student Needs: From the Newly Enrolled to the Near-Graduates</t>
  </si>
  <si>
    <t>Garcia-Laso, Ana; Montalvo, Cristina; Alfonso Martin, Domingo; Presa, Leticia; Luis Parra, Jose; Luis Costafreda, Jorge</t>
  </si>
  <si>
    <t>10.3390/su14063156</t>
  </si>
  <si>
    <t>Skills for competitiveness: an empirical analysis of the educational provision for oenologists offered by Italian universities</t>
  </si>
  <si>
    <t>Borsellino, Valeria; Carta, Valentina; Varia, Francesca</t>
  </si>
  <si>
    <t>JOURNAL OF AGRICULTURAL EDUCATION &amp; EXTENSION</t>
  </si>
  <si>
    <t>MAR 15 2023</t>
  </si>
  <si>
    <t>10.1080/1389224X.2022.2039245</t>
  </si>
  <si>
    <t>Witnessing Intimate Partner Violence Impacts Schooling and Labor Market Outcomes for Young Women in India</t>
  </si>
  <si>
    <t>Ludwick, Teralynn; Ishida, Marie; Desai, Sapna; Mahal, Ajay</t>
  </si>
  <si>
    <t>POPULATION AND DEVELOPMENT REVIEW</t>
  </si>
  <si>
    <t>10.1111/padr.12460</t>
  </si>
  <si>
    <t>Transform the learning journey in behavioral competency development programs to attain sustainable personal change</t>
  </si>
  <si>
    <t>Cortellazzo, Laura; Bonesso, Sara; Gerli, Fabrizio</t>
  </si>
  <si>
    <t>Domenech, J</t>
  </si>
  <si>
    <t>8TH INTERNATIONAL CONFERENCE ON HIGHER EDUCATION ADVANCES (HEAD '22)</t>
  </si>
  <si>
    <t>10.4995/HEAd22.2022.14526</t>
  </si>
  <si>
    <t>8th International Conference on Higher Education Advances (HEAd)</t>
  </si>
  <si>
    <t>JUN 14-17, 2022</t>
  </si>
  <si>
    <t>3rd IADSS Workshop on Data Science Standards - Hiring, Assessing and Upskilling Data Science Talent</t>
  </si>
  <si>
    <t>Fayyad, Usama; Hamutcu, Hamit</t>
  </si>
  <si>
    <t>PROCEEDINGS OF THE 28TH ACM SIGKDD CONFERENCE ON KNOWLEDGE DISCOVERY AND DATA MINING, KDD 2022</t>
  </si>
  <si>
    <t>10.1145/3534678.3542909</t>
  </si>
  <si>
    <t>28th ACM SIGKDD Conference on Knowledge Discovery and Data Mining (KKD)</t>
  </si>
  <si>
    <t>AUG 14-18, 2022</t>
  </si>
  <si>
    <t>Preparing and developing skills for better employability for STEM and engineering graduates</t>
  </si>
  <si>
    <t>Friesel, Anna; Tovar, Edmundo; Hrad, Jaromir</t>
  </si>
  <si>
    <t>PROCEEDINGS OF THE 2022 31ST ANNUAL CONFERENCE OF THE EUROPEAN ASSOCIATION FOR EDUCATION IN ELECTRICAL AND INFORMATION ENGINEERING (EAEEIE)</t>
  </si>
  <si>
    <t>10.1109/EAEEIE54893.2022.9820223</t>
  </si>
  <si>
    <t>31st Annual Conference of the European-Association-for-Education-in-Electrical-and-Information-Engineering (EAEEIE)</t>
  </si>
  <si>
    <t>JUN 29-JUL 01, 2022</t>
  </si>
  <si>
    <t>DEVELOPMENT OF SOFT SKILLS IN COMPUTER SCIENCE BACHELORSIN THE PROJECT LEARNING PROCESS br</t>
  </si>
  <si>
    <t>Glazunova, Olena G.; Korolchuk, Valentyna I.; Voloshyna, Tetiana V.; Vakaliuk, Tetiana A.</t>
  </si>
  <si>
    <t>INFORMATION TECHNOLOGIES AND LEARNING TOOLS</t>
  </si>
  <si>
    <t>10.33407/itlt.v92i6.5076</t>
  </si>
  <si>
    <t>Assessing Well being and Soft Skills of Software Developers and Students in the Context of Working from Home during the COVID-19 era</t>
  </si>
  <si>
    <t>Juarez-Ramirez, Reyes; Navarro, Christian X.; Tapia-Ibarra, Veronica; Jimenez, Samantha; Guerra-Garcia, Cesar; Perez-Gonzalez, Hector G.</t>
  </si>
  <si>
    <t>Fernandez, CFY; Gonzalez, HGP; Ramirez-Noriega, A; Jimenez, S; Juarez-Ramirez, R; Guerra-Garcia, C; Sandoval, GL</t>
  </si>
  <si>
    <t>2022 10TH INTERNATIONAL CONFERENCE IN SOFTWARE ENGINEERING RESEARCH AND INNOVATION, CONISOFT</t>
  </si>
  <si>
    <t>10.1109/CONISOFT55708.2022.00018</t>
  </si>
  <si>
    <t>10th International Conference in Software Engineering Research and Innovation (CONISOFT)</t>
  </si>
  <si>
    <t>OCT 24-28, 2022</t>
  </si>
  <si>
    <t>PREPARING GENERATION Z: BEYOND TECHNOLOGIES</t>
  </si>
  <si>
    <t>Leao, Celina Pinto; Alves, Anabela C.; Soares, Filomena; Silva, Vinicius</t>
  </si>
  <si>
    <t>PROCEEDINGS OF ASME 2022 INTERNATIONAL MECHANICAL ENGINEERING CONGRESS AND EXPOSITION, IMECE2022, VOL 7</t>
  </si>
  <si>
    <t>ASME International Mechanical Engineering Congress and Exposition (IMECE)</t>
  </si>
  <si>
    <t>OCT 30-NOV 03, 2022</t>
  </si>
  <si>
    <t>Collaborative learning and text production of original texts</t>
  </si>
  <si>
    <t>Montoya Cantoral, Elisa; Gomez Carbonel, Piero; Nino Cueva, Danes Calos Enrique; Nino Cueva, Moises Ronal; Orlando Villaba-Condori, Klinge; Silva Sprock, Antonio</t>
  </si>
  <si>
    <t>2022 XVII LATIN AMERICAN CONFERENCE ON LEARNING TECHNOLOGIES (LACLO 2022)</t>
  </si>
  <si>
    <t>10.1109/LACLO56648.2022.10013405</t>
  </si>
  <si>
    <t>17th Latin American Conference on Learning Technologies (LACLO)</t>
  </si>
  <si>
    <t>OCT 17-21, 2022</t>
  </si>
  <si>
    <t>Modern Trends in Soft Skills Development for International Transport Policy Students</t>
  </si>
  <si>
    <t>Polyakova, Tatiana; Zueva, Irina</t>
  </si>
  <si>
    <t>Auer, ME; Hortsch, H; Michler, O; Kohler, T</t>
  </si>
  <si>
    <t>MOBILITY FOR SMART CITIES AND REGIONAL DEVELOPMENT - CHALLENGES FOR HIGHER EDUCATION, VOL 1</t>
  </si>
  <si>
    <t>10.1007/978-3-030-93904-5_58</t>
  </si>
  <si>
    <t>24th International Conference on Interactive Collaborative Learning (ICL) / 50th IGIP International Conference on Engineering Pedagogy</t>
  </si>
  <si>
    <t>SEP 22-24, 2021</t>
  </si>
  <si>
    <t>Analysis of the effectiveness of vocational training plans for employment from the point of view of the labor market</t>
  </si>
  <si>
    <t>Queiruga Santamaria, Olaya; Garcia-Alvarez, Jesus; del Carmen Santos-Gonzalez, Maria</t>
  </si>
  <si>
    <t>REVISTA FUENTES</t>
  </si>
  <si>
    <t>10.12795/revistafuentes.2022.15258</t>
  </si>
  <si>
    <t>Labor Markets in the Technology-Driven Era: An Empirical Investigation of Skill Gaps and Skill Need Assessment</t>
  </si>
  <si>
    <t>Rawal, Isha</t>
  </si>
  <si>
    <t>INTERNATIONAL JOURNAL OF EARLY CHILDHOOD SPECIAL EDUCATION</t>
  </si>
  <si>
    <t>10.9756/INT-JECSE/V14I2.759</t>
  </si>
  <si>
    <t>Developing Critical Thinking in Higher Education: Is There a Reason to Change?</t>
  </si>
  <si>
    <t>Rebelo, Hugo; Sebastiao, Luis; Ferreira, David; Payan-Carreira, Rita</t>
  </si>
  <si>
    <t>10.1007/978-3-031-22918-3_25</t>
  </si>
  <si>
    <t>SOFT SKILLS: DEVELOPMENT OF NURSING SKILLS NOWADAYS</t>
  </si>
  <si>
    <t>Ribeiro Rosa, Carolina da Silva; Fernandes Carvalho, Amanda Gleice; Barja, Paulo Roxo</t>
  </si>
  <si>
    <t>REVISTA UNIVAP</t>
  </si>
  <si>
    <t>10.18066/revistaunivap.v28i57.2592</t>
  </si>
  <si>
    <t>Soft Skills in Action: Developing Tourism Students Skills Through Interdisciplinarity</t>
  </si>
  <si>
    <t>Vasconcelos, Sandra; Melo, Antonio; Melo, Carla; Liberato, Dalia; Lopes, Maria Carlos</t>
  </si>
  <si>
    <t>DeCarvalho, JV; Liberato, P; Pena, A</t>
  </si>
  <si>
    <t>ADVANCES IN TOURISM, TECHNOLOGY AND SYSTEMS, VOL 2</t>
  </si>
  <si>
    <t>10.1007/978-981-16-9701-2_17</t>
  </si>
  <si>
    <t>International Conference on Tourism, Technology and Systems (ICOTTS)</t>
  </si>
  <si>
    <t>NOV 04-06, 2021</t>
  </si>
  <si>
    <t>The Project-Based Approach in Organizing Cooperation Between Business Institutions and Technical Universities in Digitalization Conditions</t>
  </si>
  <si>
    <t>Vasilieva, Olga, I; Alekseeva, Yuliya A.; Redko, Sergey S.</t>
  </si>
  <si>
    <t>SOCIOLOGIA NAUKI I TEHNOLOGIJ-SOCIOLOGY OF SCIENCE &amp; TECHNOLOGY</t>
  </si>
  <si>
    <t>10.24412/2079-0910-2022-2-135-149</t>
  </si>
  <si>
    <t>Slot Filling for Extracting Reskilling and Upskilling Options from the Web</t>
  </si>
  <si>
    <t>Weichselbraun, Albert; Waldvogel, Roger; Fraefel, Andreas; van Schie, Alexander; Kuntschik, Philipp</t>
  </si>
  <si>
    <t>Rosso, P; Basile, V; Martinez, R; Metais, E; Meziane, F</t>
  </si>
  <si>
    <t>NATURAL LANGUAGE PROCESSING AND INFORMATION SYSTEMS (NLDB 2022)</t>
  </si>
  <si>
    <t>10.1007/978-3-031-08473-7_25</t>
  </si>
  <si>
    <t>27th International Conference on Applications of Natural Language to Information Systems (NLDB)</t>
  </si>
  <si>
    <t>JUN 15-17, 2022</t>
  </si>
  <si>
    <t>Need for Imparting Soft Skills in High School Students</t>
  </si>
  <si>
    <t>Ghosh, Shivani</t>
  </si>
  <si>
    <t>LITERARY VOICE</t>
  </si>
  <si>
    <t>Employers expectations and requirements. Case study: Employers of Schools of Economics and Business Graduates in Romania</t>
  </si>
  <si>
    <t>Staiculescu, Camelia; Lacatus, Maria Liana; Livinti, Raluca</t>
  </si>
  <si>
    <t>DEC 1 2021</t>
  </si>
  <si>
    <t>10.2478/picbe-2021-0018</t>
  </si>
  <si>
    <t>15th International Conference on Business Excellence (ICBE) - Digital Economy and New Value Creation</t>
  </si>
  <si>
    <t>MAR 18-19, 2021</t>
  </si>
  <si>
    <t>Information and computer technologies in media specialist preparation</t>
  </si>
  <si>
    <t>Al Said, Nidal; Al-Rawashdeh, Butheyna Zuheir</t>
  </si>
  <si>
    <t>INFORMATION DEVELOPMENT</t>
  </si>
  <si>
    <t>10.1177/02666669211049135</t>
  </si>
  <si>
    <t>Mental work ability: young professionals with mental health problems perceive lower levels of soft skills</t>
  </si>
  <si>
    <t>Muschalla, Beate; Kutzner, Isabel</t>
  </si>
  <si>
    <t>10.1007/s11612-021-00552-2</t>
  </si>
  <si>
    <t>Work in Progress: The Impact of the Project OnBoardMed on Development of Study Courses in Maritime Emergency Management The Results of the Pilotproject</t>
  </si>
  <si>
    <t>Barbare, Inese</t>
  </si>
  <si>
    <t>Auer, ME; Tsiatsos, T</t>
  </si>
  <si>
    <t>INTERNET OF THINGS, INFRASTRUCTURES AND MOBILE APPLICATIONS</t>
  </si>
  <si>
    <t>10.1007/978-3-030-49932-7_71</t>
  </si>
  <si>
    <t>13th International Conference on Interactive Mobile Communication, Technologies and Learning (IMCL)</t>
  </si>
  <si>
    <t>OCT 31-NOV 01, 2019</t>
  </si>
  <si>
    <t>ASPECTS OF THE FORMATION OF FUTURE DESIGNERS' PROFESSIONAL COMPETENCIES</t>
  </si>
  <si>
    <t>Budnyk, Andriy; Shandrenko, Olha; Kyselova, Kateryna; Shvets, Iryna; Podvolotska, Olena; Arefiev, Victor</t>
  </si>
  <si>
    <t>Teaching management skills to first year engineering students</t>
  </si>
  <si>
    <t>Burgos-Vera, Oscar; Sotomayor-Beltran, Carlos; Llulluy-Nunez, David; Reyes del Carmen, Hipolito</t>
  </si>
  <si>
    <t>Brito, CD</t>
  </si>
  <si>
    <t>2021 IEEE WORLD CONFERENCE ON ENGINEERING EDUCATION (EDUNINE)</t>
  </si>
  <si>
    <t>10.1109/EDUNINE51952.2021.9429141</t>
  </si>
  <si>
    <t>5th IEEE World Conference on Engineering Education (EDUNINE)</t>
  </si>
  <si>
    <t>MAR 14-17, 2021</t>
  </si>
  <si>
    <t>A Reference Point for Designing a Cybersecurity Curriculum for Universities</t>
  </si>
  <si>
    <t>da Veiga, Adele; Ochola, Elisha; Mujinga, Mathias; Padayachee, Keshnee; Mwim, Emilia; Kritzinger, Elmarie; Loock, Marianne; Machaka, Peeha</t>
  </si>
  <si>
    <t>Furnell, S; Clarke, N</t>
  </si>
  <si>
    <t>HUMAN ASPECTS OF INFORMATION SECURITY AND ASSURANCE, HAISA 2021</t>
  </si>
  <si>
    <t>10.1007/978-3-030-81111-2_5</t>
  </si>
  <si>
    <t>15th IFIP WG 11.12 International Symposium on Human Aspects of Information Security and Assurance (HAISA)</t>
  </si>
  <si>
    <t>JUL 07-09, 2021</t>
  </si>
  <si>
    <t>LET'S SURF ON THE FUTURE WORKFORCE</t>
  </si>
  <si>
    <t>Dieguez, Teresa; Loureiro, Paula; Ferreira, Isabel</t>
  </si>
  <si>
    <t>Simic, ML; Crnkovic, B</t>
  </si>
  <si>
    <t>10TH INTERNATIONAL SCIENTIFIC SYMPOSIUM REGION ENTREPRENEURSHIP DEVELOPMENT (RED 2021)</t>
  </si>
  <si>
    <t>10th International Scientific Symposium on Region, Entrepreneurship, Development (RED)</t>
  </si>
  <si>
    <t>JUN, 2021</t>
  </si>
  <si>
    <t>The intention to entrepreneur and the preparation of future accountants</t>
  </si>
  <si>
    <t>Kruger, Cristiane; Homrich, Pedro Oliveira; Michelin, Claudia de Freitas; Maciel, Jessica da Silva</t>
  </si>
  <si>
    <t>CONTABILIDAD Y NEGOCIOS</t>
  </si>
  <si>
    <t>10.18800/contabilidad.202102.006</t>
  </si>
  <si>
    <t>SOFT SKILLS FORMATION THROUGH THE PRISM OF UNIVERSITY STUDENTS' VIEW: ANALYSIS OF SURVEY RESULTS</t>
  </si>
  <si>
    <t>Lokhvytska, Liubov; Martovytska, Nataliia; Kolomiiets, Olena</t>
  </si>
  <si>
    <t>Lubkina, V; Strods, G; Vindaca, O</t>
  </si>
  <si>
    <t>SOCIETY, INTEGRATION, EDUCATION, VOL I: HIGHER EDUCATION</t>
  </si>
  <si>
    <t>10.17770/sie2021vol1.6173</t>
  </si>
  <si>
    <t>International Scientific Conference on Society, Integration, Education</t>
  </si>
  <si>
    <t>MAY 28-29, 2021</t>
  </si>
  <si>
    <t>ANALYSIS OF THE REGIONAL LABOR MARKET</t>
  </si>
  <si>
    <t>Ponomarenko, Volodymyr</t>
  </si>
  <si>
    <t>SOME PROBLEMS OF THE EDUCATION SYSTEM IN UKRAINE: ANALYTICS: Monograph</t>
  </si>
  <si>
    <t>Characterisation of the Mexican IT freelance labour market on Workana</t>
  </si>
  <si>
    <t>Santiago-Vargas, Edna-Patricia; Ovando, Catalina</t>
  </si>
  <si>
    <t>Murphy, RS; Cortes, JMR; Monjaraz, JC; Torres, MMP</t>
  </si>
  <si>
    <t>2021 3RD IEEE MEXICAN HUMANITARIAN TECHNOLOGY CONFERENCE (IEEE MHTC 2021)</t>
  </si>
  <si>
    <t>10.1109/MHTC52069.2021.9419949</t>
  </si>
  <si>
    <t>3rd Mexican Humanitarian Technology Conference (IEEE MHTC)</t>
  </si>
  <si>
    <t>APR 21-22, 2021</t>
  </si>
  <si>
    <t>Start-up Lab: A Springboard for University Entrepreneurship and Students' Start-ups</t>
  </si>
  <si>
    <t>Scroccaro, Alessandra; Rossi, Alessandro</t>
  </si>
  <si>
    <t>Matos, F; Ferreiro, MD; Rosa, A; Salavisa, I</t>
  </si>
  <si>
    <t>PROCEEDINGS OF THE 16TH EUROPEAN CONFERENCE ON INNOVATION AND ENTREPRENEURSHIP (ECIE 2021), VOL 2</t>
  </si>
  <si>
    <t>10.34190/EIE.21.229</t>
  </si>
  <si>
    <t>16th European Conference on Innovation and Entrepreneurship (ECIE)</t>
  </si>
  <si>
    <t>SEP 16-17, 2021</t>
  </si>
  <si>
    <t>CHANGING FOREIGN LANGUAGE TEACHING STANDARDS AS A CONDITION FOR UNIVERSITY GRADUATES' EMPLOYABILITY</t>
  </si>
  <si>
    <t>Vorontsova, Marina; Klyukina, Evgeniya</t>
  </si>
  <si>
    <t>10.17770/sie2021vol1.6261</t>
  </si>
  <si>
    <t>ANALYSIS OF INDEPENDENT EDUCATIONAL ACTIVITY OF A STUDENT IN THE PROCESS OF STUDYING AT A UNIVERSITY</t>
  </si>
  <si>
    <t>Pogrebnaya, Irina Alekseevna; Mikhailova, Svetlana Viktorovna</t>
  </si>
  <si>
    <t>REVISTA INCLUSIONES</t>
  </si>
  <si>
    <t>OCT-DEC 2020</t>
  </si>
  <si>
    <t>THE IMPACT OF DIGITAL ECONOMY ON THE EMPLOYMENT AND CAREER PROSPECTS OF MANAGEMENT SPECIALISTS</t>
  </si>
  <si>
    <t>Chechulin, Aleksey; Usacheva, Ekaterina</t>
  </si>
  <si>
    <t>Kordos, M</t>
  </si>
  <si>
    <t>VPLYV INDUSTRY 4.0 NA TVORBU PRACOVNYCH MIEST 2019</t>
  </si>
  <si>
    <t>International Scientific Conference on The Impact of Industry 4.0 on Job Creation</t>
  </si>
  <si>
    <t>NOV 21, 2019</t>
  </si>
  <si>
    <t>Library mediation in the development of competences during supervised stage</t>
  </si>
  <si>
    <t>de Oliveira, Maria Joselia; Guedes Farias, Maria Giovanna</t>
  </si>
  <si>
    <t>REVISTA IBERO-AMERICANA DE CIENCIA DA INFORMACAO</t>
  </si>
  <si>
    <t>JAN-APR 2020</t>
  </si>
  <si>
    <t>10.26512/rici.v13.n1.2020.24444</t>
  </si>
  <si>
    <t>Conceptual Model of Personal Competence Integrator Based on Blockchain Technology</t>
  </si>
  <si>
    <t>Dymek, Dariusz; Konkol, Pawel; Put, Dariusz; Stal, Janusz; Trabka, Jan</t>
  </si>
  <si>
    <t>AMCIS 2020 PROCEEDINGS</t>
  </si>
  <si>
    <t>Conference of the Association-for-Information-Systems (AMCIS)</t>
  </si>
  <si>
    <t>AUG 10-14, 2020</t>
  </si>
  <si>
    <t>NEW TEACHING MODELS, SUPPORTED BY RESEARCH AND INDUSTRY, GUIDING STUDENTS AND GRADUATES TOWARDS NEW MARKET CHALLENGES</t>
  </si>
  <si>
    <t>Errico, F.; Corallo, A.; Greco, R.</t>
  </si>
  <si>
    <t>Complexity as new normality: What is going on? A response collected at SEFI 2019</t>
  </si>
  <si>
    <t>Kalman, Aniko; Citterio, Linda</t>
  </si>
  <si>
    <t>INFORMACIOS TARSADALOM</t>
  </si>
  <si>
    <t>10.22503/inftars.XX.2020.2.2</t>
  </si>
  <si>
    <t>Managing Emergent Knowledge: Addressing the Competency Expectations of Biomedical Employers</t>
  </si>
  <si>
    <t>Kloop, Ryan A.; Rancourt, Derrick E.</t>
  </si>
  <si>
    <t>Digitalization of Higher Education (On the Example of Distance Course of Urfu)</t>
  </si>
  <si>
    <t>Kova, Ekaterina Us; Gasparovich, Elena</t>
  </si>
  <si>
    <t>EDUCATION EXCELLENCE AND INNOVATION MANAGEMENT: A 2025 VISION TO SUSTAIN ECONOMIC DEVELOPMENT DURING GLOBAL CHALLENGES</t>
  </si>
  <si>
    <t>35th International-Business-Information-Management-Association Conference (IBIMA)</t>
  </si>
  <si>
    <t>APR 01-02, 2020</t>
  </si>
  <si>
    <t>Case Study: Transversal Skills in Secondary School Mathematics</t>
  </si>
  <si>
    <t>Lama, Gatis</t>
  </si>
  <si>
    <t>Dislere, V</t>
  </si>
  <si>
    <t>RURAL ENVIRONMENT, EDUCATION, PERSONALITY. (REEP)</t>
  </si>
  <si>
    <t>10.22616/REEP.2020.011</t>
  </si>
  <si>
    <t>13th Annual International Scientific Conference on Rural Environment, Education, Personality (REEP)</t>
  </si>
  <si>
    <t>CAN WE IMPROVE BUSINESS STUDENTS' CAREER READINESS?</t>
  </si>
  <si>
    <t>Seth, Naveen</t>
  </si>
  <si>
    <t>Integrated education practice in an accelerated world</t>
  </si>
  <si>
    <t>Vasconcelos, Rosa; Araujo, Emilia; Suleman, Fatima; Videira, Pedro</t>
  </si>
  <si>
    <t>2020 IEEE FRONTIERS IN EDUCATION CONFERENCE (FIE 2020)</t>
  </si>
  <si>
    <t>OCT 21-24, 2020</t>
  </si>
  <si>
    <t>The Oxford Handbook of Skills and Training</t>
  </si>
  <si>
    <t>Karmaeva, Natalia</t>
  </si>
  <si>
    <t>10.17323/1726-3247-2019-4-114-125</t>
  </si>
  <si>
    <t>Characteristics of the profile of the graduates of the postgraduate program in International Relations</t>
  </si>
  <si>
    <t>Fonseca-Hernandez, Raul; Humberto Cascante-Segura, Carlos</t>
  </si>
  <si>
    <t>REVISTA EDUCACION</t>
  </si>
  <si>
    <t>JUL-DEC 2019</t>
  </si>
  <si>
    <t>10.15517/revedu.v4312.31870</t>
  </si>
  <si>
    <t>THE COMPETITIONS AT SENAI SP: AN EXPERIENCE FOR PROFESSIONAL INCLUSION IN PROFESSIONAL EDUCATION</t>
  </si>
  <si>
    <t>de Azevedo, Marilia Macorin; Peterossi, Helena Gemignani; Pires de Almeida, Ivanete Bellucci; Ferraz Fernandez, Senira Anie; Rocha Braga, Anderson Barcelos</t>
  </si>
  <si>
    <t>HUMANIDADES &amp; INOVACAO</t>
  </si>
  <si>
    <t>Inter and Intra Sectoral Wage Determinants in Indian Casual-Labor Market: Agricultural and Structural Change Implications</t>
  </si>
  <si>
    <t>Balaji, S. J.; Srivastava, S. K.</t>
  </si>
  <si>
    <t>STATISTICS AND APPLICATIONS</t>
  </si>
  <si>
    <t>EFFECTS OF THE FOURTH INDUSTRIAL REVOLUTION ON ISRAELI LABOR MARKET</t>
  </si>
  <si>
    <t>Bercovici, Elisa Gotesman; Bercovici, Adrian</t>
  </si>
  <si>
    <t>Dinu, V</t>
  </si>
  <si>
    <t>2019 BASIQ INTERNATIONAL CONFERENCE: NEW TRENDS IN SUSTAINABLE BUSINESS AND CONSUMPTION</t>
  </si>
  <si>
    <t>BASIQ International Conference on New Trends in Sustainable Business and Consumption</t>
  </si>
  <si>
    <t>MAY 30-JUN 01, 2019</t>
  </si>
  <si>
    <t>SELECTED ASPECTS OF EMPLOYEE TRAINING</t>
  </si>
  <si>
    <t>Carachova, Magdalena</t>
  </si>
  <si>
    <t>SOFT SKILLS: AN ANALYSIS OF THEIR EMPLOYABILITY POSSIBILITIES IN THE CONTEXT OF THE FOURTH INDUSTRIAL REVOLUTION</t>
  </si>
  <si>
    <t>Castello Sirvent, Fernando; Garcia Garcia, Juan Manuel</t>
  </si>
  <si>
    <t>10.21125/inted.2019.1452</t>
  </si>
  <si>
    <t>Innovative Technology in the Language Class-Learning by Laughing, with Memes Under Focus</t>
  </si>
  <si>
    <t>Roceanu, I; Holotescu, C; Ciolan, L; Colibaba, AC; Radu, C</t>
  </si>
  <si>
    <t>NEW TECHNOLOGIES AND REDESIGNING LEARNING SPACES, VOL II</t>
  </si>
  <si>
    <t>10.12753/2066-026X-19-074</t>
  </si>
  <si>
    <t>15th International Scientific Conference on eLearning and Software for Education (eLSE) - New Technologies and Redesigning Learning Spaces</t>
  </si>
  <si>
    <t>APR 11-12, 2019</t>
  </si>
  <si>
    <t>FORMATION OF COMPETITIVE GRADUATES' COMPETENCIES IN EXTRACURRICULAR ACTIVITIES</t>
  </si>
  <si>
    <t>Chulanova, O. L.; Bogdan, E. S.</t>
  </si>
  <si>
    <t>Mantulenko, V</t>
  </si>
  <si>
    <t>GCPMED 2018 - INTERNATIONAL SCIENTIFIC CONFERENCE GLOBAL CHALLENGES AND PROSPECTS OF THE MODERN ECONOMIC DEVELOPMENT</t>
  </si>
  <si>
    <t>10.15405/epsbs.2019.03.18</t>
  </si>
  <si>
    <t>International Scientific Conference on Global Challenges and Prospects of the Modern Economic Development (GCPMED)</t>
  </si>
  <si>
    <t>DEC 06-08, 2018</t>
  </si>
  <si>
    <t>The Impact of E-Learning on the Future Job Market - Predicting a New Educational Type of Learning Style for The Next Generations</t>
  </si>
  <si>
    <t>Darie, Alexandru; Postelnicu, Roxana; Scarlat, Cezar</t>
  </si>
  <si>
    <t>Roceanu, I; Belgian, D; Stefan, IA; Moldoveanu, A; Matu, ST</t>
  </si>
  <si>
    <t>NEW TECHNOLOGIES AND REDESIGNING LEARNING SPACES, VOL I</t>
  </si>
  <si>
    <t>10.12753/2066-026X-19-064</t>
  </si>
  <si>
    <t>DEVELOPMENT OF A NEW COURSE ON MICROGRIDS AND DISTRIBUTED ENERGY RESOURCES</t>
  </si>
  <si>
    <t>Haghani, Sasan</t>
  </si>
  <si>
    <t>PROCEEDINGS OF THE ASME INTERNATIONAL MECHANICAL ENGINEERING CONGRESS AND EXPOSITION, 2018, VOL 5</t>
  </si>
  <si>
    <t>V005T07A053</t>
  </si>
  <si>
    <t>ASMEInternational Mechanical Engineering Congress and Exposition (IMECE2018)</t>
  </si>
  <si>
    <t>NOV 09-15, 2018</t>
  </si>
  <si>
    <t>ACTIVE AND EXPERIENTIAL LEARNING AT THE HIGHER EDUCATION LEVEL</t>
  </si>
  <si>
    <t>Klawsiuc-Zdunczyk, A.</t>
  </si>
  <si>
    <t>BUILDING SOFT SKILLS OF STUDENTS AT A TECHNICAL UNIVERSITY</t>
  </si>
  <si>
    <t>Leontyeva, Elena; Bogdanova, Anna; Khachin, Stepan</t>
  </si>
  <si>
    <t>EDULEARN19: 11TH INTERNATIONAL CONFERENCE ON EDUCATION AND NEW LEARNING TECHNOLOGIES</t>
  </si>
  <si>
    <t>11th International Conference on Education and New Learning Technologies (EDULEARN)</t>
  </si>
  <si>
    <t>JUL 01-03, 2019</t>
  </si>
  <si>
    <t>ICT skills comparison: the before and the after of introduction of the EHEA in Spain</t>
  </si>
  <si>
    <t>Llorens Garcia, Ariadna; Prat Farran, Joana d'Arc; Trullols i Farreny, Enric; Ruiz Gorrindo, Felix</t>
  </si>
  <si>
    <t>2019 IEEE FRONTIERS IN EDUCATION CONFERENCE (FIE 2019)</t>
  </si>
  <si>
    <t>10.1109/fie43999.2019.9028661</t>
  </si>
  <si>
    <t>49th IEEE Frontiers in Education Conference (FIE)</t>
  </si>
  <si>
    <t>OCT 16-19, 2019</t>
  </si>
  <si>
    <t>FIT FOR THE FUTURE - MODERNISATION OF MASTER CURRICULUM IN ICT FOR ENHANCING STUDENT EMPLOYABILITY IN BELARUS</t>
  </si>
  <si>
    <t>Maekioe, J.; Piashkun, S.; Kowal, J.; Paasivaara, M.; Surkova, E.</t>
  </si>
  <si>
    <t>SME'S AND THE NEW GENERATION OF EMPLOYEES</t>
  </si>
  <si>
    <t>Peres, Paula; Mesquita, Anabela</t>
  </si>
  <si>
    <t>EARLY STAGE REFLECTIONS ON INNOVATING WITH AN EXPERIENTIAL PROJECT-BASED INTERDISCIPLINARY CURRICULUM (EPIC) FOR UNDERGRADUATES</t>
  </si>
  <si>
    <t>Renken, M.; Collins, B.; Middlebrook, K.; Mawi, Z. E.</t>
  </si>
  <si>
    <t>Integrating Scientific Programming in Communities of Practice for Students in the Life Sciences</t>
  </si>
  <si>
    <t>Salsbury, A. M.; Brown, A. M.; Lemkul, J. A.</t>
  </si>
  <si>
    <t>PEARC '19: PROCEEDINGS OF THE PRACTICE AND EXPERIENCE IN ADVANCED RESEARCH COMPUTING ON RISE OF THE MACHINES (LEARNING)</t>
  </si>
  <si>
    <t>10.1145/3332186.3333040</t>
  </si>
  <si>
    <t>Conference on Practice and Experience in Advanced Research Computing on Rise of the Machines (learning) (PEARC)</t>
  </si>
  <si>
    <t>JUL 28-AUG 01, 2019</t>
  </si>
  <si>
    <t>HUMANITARIAN CULTURE OF PROFESSIONAL COMMUNICATOR AS A COMPETITIVENESS FACTOR IN INFORMATION SOCIETY</t>
  </si>
  <si>
    <t>Sharakhina, Larisa V.; Azarova, Liudmila V.; Kudryavceva, Maria E.; Trubnikova, Alla G.</t>
  </si>
  <si>
    <t>Viktorovna, ZM</t>
  </si>
  <si>
    <t>III POST MASS MEDIA IN THE MODERN INFORMATIONAL SOCIETY (PMMIS 2019) JOURNALISTIC TEXT IN A NEW TECHNOLOGICAL ENVIRONMENT: ACHIEVEMENTS AND PROBLEMS</t>
  </si>
  <si>
    <t>10.15405/epsbs.2019.08.02.21</t>
  </si>
  <si>
    <t>3rd Conference on Post Mass Media in the Modern Informational Society (PMMIS) - Journalistic Text in a New Technological Environment - Achievements and Problems</t>
  </si>
  <si>
    <t>MAR 28-29, 2019</t>
  </si>
  <si>
    <t>HOW BUSINESS SIMULATION METHODOLOGIES CAN IMPACT ON THE IMPROVEMENT OF STUDENTS' SKILLS</t>
  </si>
  <si>
    <t>SOFTWARE ENGINEERING EDUCATION IN COLLABORATION WITH INDUSTRY: AN EXPERIENCE REPORT</t>
  </si>
  <si>
    <t>Stapic, Zlatko; Cizmesija, Antonela; Mijac, Marko</t>
  </si>
  <si>
    <t>Alignment of Civil Engineering Technology Graduate Attributes: Employer, Graduate and Actual Performance</t>
  </si>
  <si>
    <t>Yong, Tze-Mi; Kassim, Angzzas Sari Mohd; Hamidon, Nuramidah; Rahman, Mohammad Ashraf Abdul; Ismail, Tuan Noor Hasanah Tuan; Chan, Chee-Ming</t>
  </si>
  <si>
    <t>9TH INTERNATIONAL CONFERENCE THE FUTURE OF EDUCATION</t>
  </si>
  <si>
    <t>9th International Conference on Future of Education</t>
  </si>
  <si>
    <t>JUN 27-28, 2019</t>
  </si>
  <si>
    <t>THE REQUIREMENTS OF LABOR MARKET IN RELATION TO PROFESSIONAL OF ACCOUNTING AREA: A STUDY BASED ON ON-LINE EMPLOYMENT ANNOUNCEMENTS</t>
  </si>
  <si>
    <t>Batista de Sousa, Marco Aurelio; de Oliveira, Edmara Rodrigues; Carraro, Nilton Cezar; Tissot, Sirlei Tonello</t>
  </si>
  <si>
    <t>REVISTA CIENTIFICA HERMES</t>
  </si>
  <si>
    <t>SEP-DEC 2018</t>
  </si>
  <si>
    <t>DEVELOPMENT OF TECHNICAL SKILLS MEASUREMENT MODEL AMONG ENGINEERING GRADUATES IN COMMUNITY COLLEGE USING DELPHI TECHNIQUE APPROACH AND CONFIRMATORY FACTOR ANALYSIS</t>
  </si>
  <si>
    <t>Hanapi, Zaliza; Rui, Tang Jing; Ma'arof, Nurul Nazirah Mohd Imam; Al Vengidason, Sethuprakhash; Hussain, Mohd Azlan Mohammad</t>
  </si>
  <si>
    <t>JOURNAL OF ENGINEERING SCIENCE AND TECHNOLOGY</t>
  </si>
  <si>
    <t>TRAINING OF A NEW GENERATION OF ENGINEERING CADRES IN POSTGRADUATE STUDIES: THE RESULTS OF TEMPUS PROJECT</t>
  </si>
  <si>
    <t>Baliasov, A.; Boronina, L.; Sholina, I.</t>
  </si>
  <si>
    <t>12TH INTERNATIONAL TECHNOLOGY, EDUCATION AND DEVELOPMENT CONFERENCE (INTED)</t>
  </si>
  <si>
    <t>12th International Technology, Education and Development Conference (INTED)</t>
  </si>
  <si>
    <t>MAR 05-07, 2018</t>
  </si>
  <si>
    <t>ACTIVE LABOR MARKET POLICIES - FINDINGS FROM BROD-POSAVINA COUNTY</t>
  </si>
  <si>
    <t>Bartolovic, Visnja; Vinkovic, Danijela</t>
  </si>
  <si>
    <t>Barkovic, D; Crnkovic, B; Dernoscheg, KH; Pap, N; Runzheimer, B; Wentzel, D</t>
  </si>
  <si>
    <t>INTERDISCIPLINARY MANAGEMENT RESEARCH XIV (IMR 2018)</t>
  </si>
  <si>
    <t>Interdisciplinary Management Research XIV (IMR) Conference</t>
  </si>
  <si>
    <t>MAY 18-20, 2018</t>
  </si>
  <si>
    <t>Optimized Methodology Using Multi-Choice Question Tests on Paper</t>
  </si>
  <si>
    <t>de Oliveira, Filipe Tiago</t>
  </si>
  <si>
    <t>2018 3RD INTERNATIONAL CONFERENCE OF THE PORTUGUESE SOCIETY FOR ENGINEERING EDUCATION (CISPEE)</t>
  </si>
  <si>
    <t>3rd International Conference of the Portuguese-Society-for-Engineering-Education (CISPEE)</t>
  </si>
  <si>
    <t>JUN 27-29, 2018</t>
  </si>
  <si>
    <t>FEATURES OF PROFESSIONAL SELF-DETERMINATION AND PROFESSIONAL ORIENTATION OF YOUNG PEOPLE IN THE DIGITAL ECONOMY</t>
  </si>
  <si>
    <t>Dinner, Igor; Polovinko, Vladimir</t>
  </si>
  <si>
    <t>Loster, T; Pavelka, T</t>
  </si>
  <si>
    <t>12TH INTERNATIONAL DAYS OF STATISTICS AND ECONOMICS</t>
  </si>
  <si>
    <t>12th International Days of Statistics and Economics</t>
  </si>
  <si>
    <t>SEP 06-08, 2018</t>
  </si>
  <si>
    <t>OPEN PAIR/GROUP WORK AS A CONTACT EDUCATIONAL TECHNOLOGY IN HIGHER SCHOOL</t>
  </si>
  <si>
    <t>Kitaeva, E.; Brakamonte, N. Medina; Senichkina, O.</t>
  </si>
  <si>
    <t>11TH INTERNATIONAL CONFERENCE OF EDUCATION, RESEARCH AND INNOVATION (ICERI2018)</t>
  </si>
  <si>
    <t>11th Annual International Conference of Education, Research and Innovation (ICERI)</t>
  </si>
  <si>
    <t>NOV 12-14, 2018</t>
  </si>
  <si>
    <t>ECOKT Pilot project - Open Knowledge Technologies: Mapping and validating knowledge</t>
  </si>
  <si>
    <t>Preda, Octavian-Marius; Garabet, Mihaela; Caraman, Dorothea</t>
  </si>
  <si>
    <t>Vlada, M; Albeanu, G; Adascalitei, A; Popovici, M</t>
  </si>
  <si>
    <t>PROCEEDINGS OF THE 13TH INTERNATIONAL CONFERENCE ON VIRTUAL LEARNING, ICVL 2018</t>
  </si>
  <si>
    <t>13th International Conference on Virtual Learning (ICVL 2018)</t>
  </si>
  <si>
    <t>OCT 26-27, 2018</t>
  </si>
  <si>
    <t>IMPLEMENTATION OF A MULTIDISCIPLINARY ACTIVITY TO FOSTER SYNERGIES BETWEEN STUDENTS OF DIFFERENT BACHELOR DEGREES</t>
  </si>
  <si>
    <t>Rojo, Naiara; Gomez-de-Balugera, Zurine; Gallastegui, Gorka; Encinas, Dolores; Durana, Nieves</t>
  </si>
  <si>
    <t>SOCIO-ECONOMIC MEGATRENDS SHAPING EDUCATION</t>
  </si>
  <si>
    <t>Alonso, M. Azucena Perez; Frutos Rodriguez, M. Paz</t>
  </si>
  <si>
    <t>A Tweezer Haptic Interface for Training Surface Mount Device Assembly</t>
  </si>
  <si>
    <t>Amritha, N.; Jose, James; Rahul, E. S.; Bhavani, Rao R.</t>
  </si>
  <si>
    <t>2017 15TH IEEE INTERNATIONAL SYMPOSIUM ON HAPTIC, AUDIO AND VISUAL ENVIRONMENTS AND GAMES (HAVE)</t>
  </si>
  <si>
    <t>15th IEEE International Symposium on Haptic, Audio and Visual Environments and Games (HAVE)</t>
  </si>
  <si>
    <t>OCT 22-23, 2017</t>
  </si>
  <si>
    <t>A BLIND DATE BETWEEN ACADEMIC CURRICULUM AND JOB MARKET: THE STRATEGIC ROLE OF SOFT SKILLS</t>
  </si>
  <si>
    <t>Dias, Diana; Soares, Diana</t>
  </si>
  <si>
    <t>SUCCESS CENTER: A CENTER FOR THE DEVELOPMENT OF SOFT SKILLS AMONG UNIVERSIDAD PANAMERICANA STUDENTS</t>
  </si>
  <si>
    <t>Garcia-Higuera, M. C.; Repellin-Moreno, A.; Matienzo-Caceres, Y.</t>
  </si>
  <si>
    <t>10TH INTERNATIONAL CONFERENCE OF EDUCATION, RESEARCH AND INNOVATION (ICERI2017)</t>
  </si>
  <si>
    <t>10th Annual International Conference of Education, Research and Innovation (ICERI)</t>
  </si>
  <si>
    <t>NOV 16-18, 2017</t>
  </si>
  <si>
    <t>ATTEMPT OF ASSESSMENT OF THE LEVEL OF ENTREPRENEURIAL COMPETENCE AMONG STUDENTS OF MEDICINE AND HEALTH SCIENCES - A PILOT STUDY</t>
  </si>
  <si>
    <t>Iwanow, Lucyna; Panczyk, Mariusz; Zarzeka, Aleksander; Cieslak, Ilona; Jaworski, Mariusz; Gotlib, Joanna</t>
  </si>
  <si>
    <t>CHARACTERISTICS OF LEVELS OF FUTURE SKILLED WORKERS' COMPETITIVNESS MATURITY</t>
  </si>
  <si>
    <t>Lisovska, Olha</t>
  </si>
  <si>
    <t>SCIENCE AND EDUCATION</t>
  </si>
  <si>
    <t>10.24195/2414-4665-2017-5-18</t>
  </si>
  <si>
    <t>IMPROVING CREATIVE PROBLEM SOLVING SKILLS IN VOCATIONAL HIGHER EDUCATION STUDENTS THROUGH INTERDISCIPLINARY PROJECT-BASED LEARNING</t>
  </si>
  <si>
    <t>Martins, C.; Soares, C.; Marques, F.; Goncalves, L.; Estrela, S.</t>
  </si>
  <si>
    <t>MODERNIZATION OF ENGINEERS TRAINING SYSTEM AS A DIRECTION OF STATE EDUCATIONAL POLICY</t>
  </si>
  <si>
    <t>Nidergaus, Elena; Bannikova, Lyudmila; Sholina, Irina</t>
  </si>
  <si>
    <t>Cross-cultural Training as part of Policy and Business Strategies to Prepare Indonesian IT Engineers in Global Job Market Competition</t>
  </si>
  <si>
    <t>Prabowo, Agung; Rosmiati; Windiarti, Ika S.</t>
  </si>
  <si>
    <t>2017 4TH INTERNATIONAL CONFERENCE ON COMPUTER APPLICATIONS AND INFORMATION PROCESSING TECHNOLOGY (CAIPT)</t>
  </si>
  <si>
    <t>4th International Conference on Computer Applications and Information Processing Technology (CAIPT)</t>
  </si>
  <si>
    <t>AUG 08-10, 2017</t>
  </si>
  <si>
    <t>Providing Space for Creative Industry Sub-Sectors to Meet the Labor Market for Vocational School Graduates</t>
  </si>
  <si>
    <t>Setiadi, Bayu Rahmat; Suparmin</t>
  </si>
  <si>
    <t>Khairudin, M; Sukirno; Sutikno, T</t>
  </si>
  <si>
    <t>PROCEEDINGS OF THE INTERNATIONAL CONFERENCE ON TECHNOLOGY AND VOCATIONAL TEACHERS (ICTVT 2017)</t>
  </si>
  <si>
    <t>1st International Conference on Technology and Vocational Teachers (ICTVT)</t>
  </si>
  <si>
    <t>SEP 28, 2017</t>
  </si>
  <si>
    <t>READING THE NEW FORMS OF WORK: JOB POSTINGS FOR UNIVERSITY GRADUATES WITH NO WORK EXPERIENCE IN CAREER WEBSITES</t>
  </si>
  <si>
    <t>Coban, Sevgi</t>
  </si>
  <si>
    <t>ISTANBUL JOURNAL OF SOCIOLOGICAL STUDIES-SOSYOLOJI KONFERANSLARI</t>
  </si>
  <si>
    <t>10.18368/IU/sk.32133</t>
  </si>
  <si>
    <t>Where do they work in the 2015 the graduates of agricultural engineering degrees?</t>
  </si>
  <si>
    <t>Gonzalez Castillo, J. A.; Benedicto Schonemann, S.; Porras Prieto, C. J.; Garcia Fernandez, J. L.; Ruiz Mazarron, F.</t>
  </si>
  <si>
    <t>VIII CONGRESO IBERICO DE AGROINGENIERIA LIBRO DE ACTAS: RETOS DE LA NUEVA AGRICULTURA MEDITERRANEA</t>
  </si>
  <si>
    <t>8th Iberian Congress of Agroengineering</t>
  </si>
  <si>
    <t>JUN 01-03, 2015</t>
  </si>
  <si>
    <t>INVESTIGATING INNOVATIVE WAYS IN DEALING WITH SKILL GAPS IN SAUDI ARABIAN INDUSTRIES</t>
  </si>
  <si>
    <t>Hasanein, M.; Ababtain, J.; Ferrer, M.</t>
  </si>
  <si>
    <t>INTED2016: 10TH INTERNATIONAL TECHNOLOGY, EDUCATION AND DEVELOPMENT CONFERENCE</t>
  </si>
  <si>
    <t>10th International Technology, Education and Development Conference (INTED)</t>
  </si>
  <si>
    <t>MAR 07-09, 2016</t>
  </si>
  <si>
    <t>BRIDGING THE SKILL GAP IN INDIA: CHALLENGES AND SOLUTIONS</t>
  </si>
  <si>
    <t>Srivastava, Amit Iqbal; Hasan, Aamir</t>
  </si>
  <si>
    <t>JIMS8M-THE JOURNAL OF INDIAN MANAGEMENT &amp; STRATEGY</t>
  </si>
  <si>
    <t>JAN-MAR 2016</t>
  </si>
  <si>
    <t>10.5958/0973-9343.2016.00007.7</t>
  </si>
  <si>
    <t>TECHNICAL AND MANAGERIAL EDUCATION BASED ON QUALITY PLANNING METHODS</t>
  </si>
  <si>
    <t>Videcka, Zdenka; Korab, Vojtech</t>
  </si>
  <si>
    <t>SGEM 2016, BK 2: POLITICAL SCIENCES, LAW, FINANCE, ECONOMICS AND TOURISM CONFERENCE PROCEEDINGS, VOL IV</t>
  </si>
  <si>
    <t>3rd International Multidisciplinary Scientific Conference on Social Sciences and Arts, SGEM 2016</t>
  </si>
  <si>
    <t>AUG 24-30, 2016</t>
  </si>
  <si>
    <t>Assessing Competence in Professional Performance across Disciplines and Professions Summary and Conclusions</t>
  </si>
  <si>
    <t>Wimmers, Paul F.; Mentkowski, Marcia</t>
  </si>
  <si>
    <t>Wimmers, PF; Mentkowski, M</t>
  </si>
  <si>
    <t>ASSESSING COMPETENCE IN PROFESSIONAL PERFORMANCE ACROSS DISCIPLINES AND PROFESSIONS</t>
  </si>
  <si>
    <t>10.1007/978-3-319-30064-1_21</t>
  </si>
  <si>
    <t>Is There a Competency Gap Between Institutional and Industrial Expectations for UTHM Postgraduate Students?</t>
  </si>
  <si>
    <t>Chan, Chee-Ming; Shamsuddin, Alina; Suratkon, Azeanita</t>
  </si>
  <si>
    <t>JUL 2015</t>
  </si>
  <si>
    <t>10.1166/asl.2015.6252</t>
  </si>
  <si>
    <t>International Conference on Education (ICOED)</t>
  </si>
  <si>
    <t>JUN 02-04, 2015</t>
  </si>
  <si>
    <t>Comparing measured performance and perceived learning in group tasks of a Civil Engineering Technology course</t>
  </si>
  <si>
    <t>2015 IEEE 7TH INTERNATIONAL CONFERENCE ON ENGINEERING EDUCATION (ICEED2015)</t>
  </si>
  <si>
    <t>7th IEEE International Conference on Engineering Education (ICEED)</t>
  </si>
  <si>
    <t>NOV 17-18, 2015</t>
  </si>
  <si>
    <t>ASSESSMENT IN THE BUSINESS COMMUNICATION CLASS: CHALLENGES AND OPPORTUNITIES</t>
  </si>
  <si>
    <t>Chiper, Sorina</t>
  </si>
  <si>
    <t>PSYCHOLOGY AND PSYCHIATRY, SOCIOLOGY AND HEALTHCARE, EDUCATION, VOL II</t>
  </si>
  <si>
    <t>2nd International Multidisciplinary Scientific Conference on Social Sciences and Arts (SGEM 2015)</t>
  </si>
  <si>
    <t>AUG 26-SEP 01, 2015</t>
  </si>
  <si>
    <t>SEDUO.CZ: MOOC PLATFORM FOR BRIDGING THE SKILLS GAPS</t>
  </si>
  <si>
    <t>Dalecky, Frantisek</t>
  </si>
  <si>
    <t>DISCO 2015: FROM ANALOG EDUCATION TO DIGITAL EDUCATION</t>
  </si>
  <si>
    <t>10th Disco Conference on Analog Education to Digital Education</t>
  </si>
  <si>
    <t>JUN 22-24, 2015</t>
  </si>
  <si>
    <t>Job Market Research Analysis of Material Forming &amp; Control Engineering Specialty for Breakthrough Cultivation</t>
  </si>
  <si>
    <t>Du, Jitao</t>
  </si>
  <si>
    <t>Tan, D</t>
  </si>
  <si>
    <t>PROCEEDINGS OF THE 2015 3D INTERNATIONAL CONFERENCE ON ADVANCED INFORMATION AND COMMUNICATION TECHNOLOGY FOR EDUCATION</t>
  </si>
  <si>
    <t>3rd International Conference on Advanced Information and Communication Technology for Education (ICAICTE)</t>
  </si>
  <si>
    <t>AUG 15-16, 2015</t>
  </si>
  <si>
    <t>International assessment and local contexts: A case study of an English language initiative in higher education institutes in Egypt</t>
  </si>
  <si>
    <t>Khalifa, Hanan; Khabbazbashi, Nahal; Abdelsalam, Samar; Said, Mohsen Elmahdy</t>
  </si>
  <si>
    <t>PAPERS IN LANGUAGE TESTING AND ASSESSMENT</t>
  </si>
  <si>
    <t>Behavioral Diversity of Generation Y Students of Economics-Oriented Fields of Studies - Soft Skills</t>
  </si>
  <si>
    <t>Kruntoradova, Marketa; Fojtu, Katerina</t>
  </si>
  <si>
    <t>Simberova, I; Kocmanova, A</t>
  </si>
  <si>
    <t>PERSPECTIVES OF BUSINESS AND ENTREPRENEURSHIP DEVELOPMENT: ECONOMIC, MANAGEMENT, FINANCE AND SYSTEM ENGINEERING FROM THE ACADEMIC AND PRACTITIONERS VIEWS</t>
  </si>
  <si>
    <t>15th International Scientific Conference on Perspectives of Business and Entrepreneurship Development - Economic, Management, Finance and System Engineering from the Academic and Practioners Views</t>
  </si>
  <si>
    <t>MAY 28-29, 2015</t>
  </si>
  <si>
    <t>FIVE CRITICAL THINKING TECHNIQUES WHEN TEACHING STEM CAREER AND TECHNICAL EDUCATION</t>
  </si>
  <si>
    <t>Ricci, Frederick A.</t>
  </si>
  <si>
    <t>ICERI2015: 8TH INTERNATIONAL CONFERENCE OF EDUCATION, RESEARCH AND INNOVATION</t>
  </si>
  <si>
    <t>8th International Conference of Education, Research and Innovation (ICERI)</t>
  </si>
  <si>
    <t>NOV 16-20, 2015</t>
  </si>
  <si>
    <t>THE DEVELOPMENT OF COMPETENCE IN TECHNICAL SCHOOLS: MARKET PERCEPTIONS</t>
  </si>
  <si>
    <t>Da Rocha-Pinto, Sandra Regina; Bezerra, Katia Regina</t>
  </si>
  <si>
    <t>APR-JUN 2014</t>
  </si>
  <si>
    <t>10.13058/raep.2014.v15n2.25</t>
  </si>
  <si>
    <t>EDUCATING WOMEN FOR BETTER CHANCES ON JOB MARKET</t>
  </si>
  <si>
    <t>Bartonickova, Klara; Krejcikova, Vladimira</t>
  </si>
  <si>
    <t>ICERI2014: 7TH INTERNATIONAL CONFERENCE OF EDUCATION, RESEARCH AND INNOVATION</t>
  </si>
  <si>
    <t>7th International Conference of Education, Research and Innovation (ICERI)</t>
  </si>
  <si>
    <t>NOV 17-19, 2014</t>
  </si>
  <si>
    <t>Catalyzing the Adoption of Entrepreneurship Education in Engineering by Aligning Outcomes with ABET</t>
  </si>
  <si>
    <t>Duval-Couetil, Nathalie; Kisenwether, Elizabeth C.; Tranquillo, Joe; Wheadon, Jacob Dean</t>
  </si>
  <si>
    <t>2014 ASEE ANNUAL CONFERENCE</t>
  </si>
  <si>
    <t>ASEE Annual Conference</t>
  </si>
  <si>
    <t>JUN 15-18, 2014</t>
  </si>
  <si>
    <t>WHAT FACTORS CAN ENHANCE DYNAMIC CAREER ATTITUDES OF UNIVERSITY STUDENTS?</t>
  </si>
  <si>
    <t>Karavdic, Senad; Baumann, Michele</t>
  </si>
  <si>
    <t>Pracana, C</t>
  </si>
  <si>
    <t>INPACT 2014: INTERNATIONAL PSYCHOLOGICAL APPLICATIONS CONFERENCE AND TRENDS</t>
  </si>
  <si>
    <t>International Psychological Applications Conference and Trends (InPACT)</t>
  </si>
  <si>
    <t>APR 04-06, 2014</t>
  </si>
  <si>
    <t>TECHNICAL VOCATIONAL EDUCATION IN BRAZIL: THE CONTRACTORS' PERCEPTIONS</t>
  </si>
  <si>
    <t>da Rocha-Pinto, Sandra Regina; Cherman, Andrea; Bezerra, Katia Regina</t>
  </si>
  <si>
    <t>DEC 2013</t>
  </si>
  <si>
    <t>Engineers Transforming the Environment for Betterment of Life</t>
  </si>
  <si>
    <t>Brito, Claudio da Rocha; Ciampi, Melany M.; Vasconcelos, Rosa; Amaral, Luis; Barros, Victor F. A.</t>
  </si>
  <si>
    <t>2013 IEEE FRONTIERS IN EDUCATION CONFERENCE</t>
  </si>
  <si>
    <t>43rd Annual Frontiers in Education Conference (FIE)</t>
  </si>
  <si>
    <t>OCT 23-26, 2013</t>
  </si>
  <si>
    <t>E-PORTFOLIOS CAN SUPPORT STUDENTS WITH RECOGNITION OF PRIOR LEARNING CASE PREPARATION</t>
  </si>
  <si>
    <t>O'Leary, P.; O'Sullivan, S.</t>
  </si>
  <si>
    <t>7TH INTERNATIONAL TECHNOLOGY, EDUCATION AND DEVELOPMENT CONFERENCE (INTED2013)</t>
  </si>
  <si>
    <t>7th International Technology, Education and Development Conference (INTED)</t>
  </si>
  <si>
    <t>MAR 04-06, 2013</t>
  </si>
  <si>
    <t>From Traditional to Applied: A Case Study in Industrial Engineering Curriculum</t>
  </si>
  <si>
    <t>Shafeek, Hani; Aman, Mohammed; Marsudi, Muhammad</t>
  </si>
  <si>
    <t>Tan, DY</t>
  </si>
  <si>
    <t>PROCEEDINGS OF THE 2013 INTERNATIONAL CONFERENCE ON ADVANCED ICT AND EDUCATION</t>
  </si>
  <si>
    <t>International Conference on Advanced Information and Communication Technology for Education (ICAICTE)</t>
  </si>
  <si>
    <t>SEP 20-22, 2013</t>
  </si>
  <si>
    <t>ENGINEERING EDUCATION FOR THE IMPROVEMENT OF PRACTICE: PREPARING FOR LABOR MARKET</t>
  </si>
  <si>
    <t>Brito, Claudio da Rocha; Ciampi, Melany M.; Amaral, Luis; Vasconcelos, Rosa</t>
  </si>
  <si>
    <t>2012 ASEE ANNUAL CONFERENCE</t>
  </si>
  <si>
    <t>JUN 10-13, 2012</t>
  </si>
  <si>
    <t>Development of emotional competencies and reflective learning in communication courses</t>
  </si>
  <si>
    <t>Jarmai, Erzsebet Maria; Berces, Edit</t>
  </si>
  <si>
    <t>Bekirogullari, Z</t>
  </si>
  <si>
    <t>INTERNATIONAL CONFERENCE ON EDUCATION &amp; EDUCATIONAL PSYCHOLOGY (ICEEPSY 2012)</t>
  </si>
  <si>
    <t>10.1016/j.sbspro.2012.11.469</t>
  </si>
  <si>
    <t>3rd International Conference on Education and Educational Psychology (ICEEPSY)</t>
  </si>
  <si>
    <t>OCT 10-13, 2012</t>
  </si>
  <si>
    <t>The Contribution of E-Learning for Development of College Students</t>
  </si>
  <si>
    <t>Maria, Priscila Cipolini; da Silva, Natacha Bertoia</t>
  </si>
  <si>
    <t>REVISTA GESTAO &amp; TECNOLOGIA-JOURNAL OF MANAGEMENT AND TECHNOLOGY</t>
  </si>
  <si>
    <t>JAN-JUN 2012</t>
  </si>
  <si>
    <t>10.20397/2177-6652/2012.v12i1.351</t>
  </si>
  <si>
    <t>Observatory facility staff requirements and local labor markets</t>
  </si>
  <si>
    <t>Rabanus, David</t>
  </si>
  <si>
    <t>Angeli, GZ; Dierickx, P</t>
  </si>
  <si>
    <t>MODELING, SYSTEMS ENGINEERING, AND PROJECT MANAGEMENT FOR ASTRONOMY V</t>
  </si>
  <si>
    <t>84490J</t>
  </si>
  <si>
    <t>10.1117/12.925440</t>
  </si>
  <si>
    <t>Conference on Modeling, Systems Engineering, and Project Management for Astronomy V</t>
  </si>
  <si>
    <t>JUL 01-03, 2012</t>
  </si>
  <si>
    <t>Supply Chain ERP Simulation: A unique learning experience</t>
  </si>
  <si>
    <t>Hopkins, John L.; Foster, Sue</t>
  </si>
  <si>
    <t>AMCIS 2011 PROCEEDINGS</t>
  </si>
  <si>
    <t>17th Americas Conference on Information Systems</t>
  </si>
  <si>
    <t>AUG 04-07, 2011</t>
  </si>
  <si>
    <t>UNIVERSITY - ENTERPRISE PARTNERSHIP ASSET FOR A SUSTAINABLE DEVELOPMENT</t>
  </si>
  <si>
    <t>Radu, Stoika; Madlena, Nen; Mihail, Bancila Andi</t>
  </si>
  <si>
    <t>Duse, DM; Brindasu, PD; Beju, LD</t>
  </si>
  <si>
    <t>PROCEEDINGS OF THE 5TH INTERNATIONAL CONFERENCE ON MANUFACTURING SCIENCE AND EDUCATION (MSE 2011), VOL II</t>
  </si>
  <si>
    <t>5th International Conference on Manufacturing Science and Education on Creative Thinking in Engineering and Academic Education</t>
  </si>
  <si>
    <t>JUN 02-05, 2011</t>
  </si>
  <si>
    <t>ANALYSIS OF JOB ADVERTISING IN PUBLIC ADMINISTRATION</t>
  </si>
  <si>
    <t>Skutova, Marketa</t>
  </si>
  <si>
    <t>Machova, Z</t>
  </si>
  <si>
    <t>PROCEEDINGS FROM THE 9TH INTERNATIONAL CONFERENCE ECONOMIC POLICY IN THE EUROPEAN UNION MEMBER COUNTRIES</t>
  </si>
  <si>
    <t>9th International Conference on Economic Policy in the European Union Member Countries</t>
  </si>
  <si>
    <t>SEP 07-09, 2011</t>
  </si>
  <si>
    <t>WHICH SKILLS ARE DEMANDED AT THE HUMAN RESOURCES MARKETPLACE? - EXPLICITLY HEADED SKILLS STATED IN JOB ADVERTISEMENTS FOR FINANCE AND ACCOUNTING GRADUATES</t>
  </si>
  <si>
    <t>Ledermueller, Karl</t>
  </si>
  <si>
    <t>Chova, LG; Belenguer, DM; Torres, IC</t>
  </si>
  <si>
    <t>EDULEARN10: INTERNATIONAL CONFERENCE ON EDUCATION AND NEW LEARNING TECHNOLOGIES</t>
  </si>
  <si>
    <t>2nd International Conference on Education and New Learning Technologies (EDULEARN)</t>
  </si>
  <si>
    <t>JUL 05-07, 2010</t>
  </si>
  <si>
    <t>CONTINUOUS STUDENT DEVELOPMENT [MYCSD]: A NEW EDUCATIVE APPROACH IN RECOGNIZING STUDENT'S ACHIEVEMENT -UNIVERSITI SAINS MALAYSIA EXPERIENCE</t>
  </si>
  <si>
    <t>Zainun, Nazarudin; Hamid, Rahimah A.; Ismail, Nazru Haji; Abd Halim, Khairul Eruwan</t>
  </si>
  <si>
    <t>3RD INTERNATIONAL CONFERENCE OF EDUCATION, RESEARCH AND INNOVATION (ICERI2010)</t>
  </si>
  <si>
    <t>3rd International Conference of Education, Research and Innovation (ICERI)</t>
  </si>
  <si>
    <t>NOV 15-17, 2010</t>
  </si>
  <si>
    <t>SOFT SKILLS IN ISLAMIC HIGHER LEARNING INSTITUTIONS IN MALAYSIA AND INDONESIA: A COMPARATIVE ANALYSIS</t>
  </si>
  <si>
    <t>Abd Rahim, Rahimin Affandi; Omar, Lazim; Abd Kadir, Nor Adina; Dahlal, Nor Hayati</t>
  </si>
  <si>
    <t>JATI-JOURNAL OF SOUTHEAST ASIAN STUDIES</t>
  </si>
  <si>
    <t>SOCIAL SCIENCES IN EDUCATION OF ENGINEERS</t>
  </si>
  <si>
    <t>Safrankova, Jana</t>
  </si>
  <si>
    <t>PROBLEMS OF EDUCATION IN THE 21ST CENTURY</t>
  </si>
  <si>
    <t>Wooing IT workers</t>
  </si>
  <si>
    <t>Barron, T</t>
  </si>
  <si>
    <t>THE NEW GLOBAL ECONOMY, INFORMATION TECHNOLOGY AND RESTRUCTURING EDUCATION</t>
  </si>
  <si>
    <t>CARNOY, M</t>
  </si>
  <si>
    <t>INTERNATIONAL JOURNAL OF TECHNOLOGY MANAGEMENT</t>
  </si>
  <si>
    <t>Article</t>
  </si>
  <si>
    <t xml:space="preserve"> Authors </t>
  </si>
  <si>
    <t xml:space="preserve">Journal </t>
  </si>
  <si>
    <t xml:space="preserve">Year </t>
  </si>
  <si>
    <t xml:space="preserve">Total citations </t>
  </si>
  <si>
    <t>Average per year</t>
  </si>
  <si>
    <t>Num</t>
  </si>
  <si>
    <t>Total articles</t>
  </si>
  <si>
    <t>Total cites</t>
  </si>
  <si>
    <t>ID</t>
  </si>
  <si>
    <t>Citations</t>
  </si>
  <si>
    <t>Journals</t>
  </si>
  <si>
    <t>No. papers</t>
  </si>
  <si>
    <t>Ordered by no. of papers</t>
  </si>
  <si>
    <t>Panel A:</t>
  </si>
  <si>
    <t>Panel B:</t>
  </si>
  <si>
    <t>Ordered by no. of citations</t>
  </si>
  <si>
    <t>Affiliations</t>
  </si>
  <si>
    <t>% of 623</t>
  </si>
  <si>
    <t>MINISTRY OF EDUCATION SCIENCE OF UKRAINE</t>
  </si>
  <si>
    <t>HSE UNIVERSITY NATIONAL RESEARCH UNIVERSITY HIGHER SCHOOL OF ECONOMICS</t>
  </si>
  <si>
    <t>UNIVERSITY OF CALIFORNIA SYSTEM</t>
  </si>
  <si>
    <t>TECNOLOGICO DE MONTERREY</t>
  </si>
  <si>
    <t>UNIVERSITY OF LONDON</t>
  </si>
  <si>
    <t>UNIVERSITY SYSTEM OF OHIO</t>
  </si>
  <si>
    <t>INSTITUTO POLITECNICO DO PORTO</t>
  </si>
  <si>
    <t>NATIONAL BUREAU OF ECONOMIC RESEARCH</t>
  </si>
  <si>
    <t>UNIVERSITA CA FOSCARI VENEZIA</t>
  </si>
  <si>
    <t>UNIVERSITY OF NORTH CAROLINA</t>
  </si>
  <si>
    <t>UNIVERSITY OF TUN HUSSEIN ONN MALAYSIA</t>
  </si>
  <si>
    <t>BUCHAREST UNIVERSITY OF ECONOMIC STUDIES</t>
  </si>
  <si>
    <t>MASSACHUSETTS INSTITUTE OF TECHNOLOGY MIT</t>
  </si>
  <si>
    <t>PENNSYLVANIA COMMONWEALTH SYSTEM OF HIGHER EDUCATION PCSHE</t>
  </si>
  <si>
    <t>THE WORLD BANK</t>
  </si>
  <si>
    <t>UNIVERSIDADE DO MINHO</t>
  </si>
  <si>
    <t>UNIVERSITY OF WISCONSIN SYSTEM</t>
  </si>
  <si>
    <t>LONDON SCHOOL ECONOMICS POLITICAL SCIENCE</t>
  </si>
  <si>
    <t>NATIONAL UNIVERSITY OF SCIENCE TECHNOLOGY POLITEHNICA BUCHAREST</t>
  </si>
  <si>
    <t>UNIVERSIDADE DO PORTO</t>
  </si>
  <si>
    <t>UNIVERSITY OF BRITISH COLUMBIA</t>
  </si>
  <si>
    <t>UNIVERSITY OF CHICAGO</t>
  </si>
  <si>
    <t>UNIVERSITY OF MICHIGAN</t>
  </si>
  <si>
    <t>UNIVERSITY OF MICHIGAN SYSTEM</t>
  </si>
  <si>
    <t>UNIVERSITY OF NORTH CAROLINA CHAPEL HILL</t>
  </si>
  <si>
    <t>BRUNEL UNIVERSITY</t>
  </si>
  <si>
    <t>CRACOW UNIVERSITY OF ECONOMICS</t>
  </si>
  <si>
    <t>ECONOMIC SOCIAL RESEARCH INSTITUTE ESRI</t>
  </si>
  <si>
    <t>IZA INSTITUTE LABOR ECONOMICS</t>
  </si>
  <si>
    <t>OBUDA UNIVERSITY</t>
  </si>
  <si>
    <t>TECHNICAL UNIVERSITY OF OSTRAVA</t>
  </si>
  <si>
    <t>UNIVERSIDAD POLITECNICA DE MADRID</t>
  </si>
  <si>
    <t>UNIVERSIDADE DE SAO PAULO</t>
  </si>
  <si>
    <t>UNIVERSITI TEKNOLOGI MARA</t>
  </si>
  <si>
    <t>UNIVERSITY OF CALIFORNIA BERKELEY</t>
  </si>
  <si>
    <t>UNIVERSITY OF GUELPH</t>
  </si>
  <si>
    <t>UNIVERSITY OF MELBOURNE</t>
  </si>
  <si>
    <t>UNIVERSITY OF TORONTO</t>
  </si>
  <si>
    <t>UNIVERSITY OF WISCONSIN MADISON</t>
  </si>
  <si>
    <t>URAL FEDERAL UNIVERSITY</t>
  </si>
  <si>
    <t>CALIFORNIA STATE UNIVERSITY SYSTEM</t>
  </si>
  <si>
    <t>CENTRE FOR ORGANISATIONAL SOCIAL STUDIES OF THE POLYTECHNIC INSTITUTE OF PORTO CEOS PP</t>
  </si>
  <si>
    <t>CIPES</t>
  </si>
  <si>
    <t>EGYPTIAN KNOWLEDGE BANK EKB</t>
  </si>
  <si>
    <t>FLY FISH SRL</t>
  </si>
  <si>
    <t>GRIFFITH UNIVERSITY</t>
  </si>
  <si>
    <t>MOUNT ROYAL UNIVERSITY</t>
  </si>
  <si>
    <t>NATIONAL UNIVERSITY OF SINGAPORE</t>
  </si>
  <si>
    <t>OHIO UNIVERSITY</t>
  </si>
  <si>
    <t>PENNSYLVANIA STATE UNIVERSITY</t>
  </si>
  <si>
    <t>QATAR UNIVERSITY</t>
  </si>
  <si>
    <t>RUTGERS UNIVERSITY SYSTEM</t>
  </si>
  <si>
    <t>STATE UNIVERSITY SYSTEM OF FLORIDA</t>
  </si>
  <si>
    <t>TAYLOR S UNIVERSITY</t>
  </si>
  <si>
    <t>UNIVERSIDAD CARLOS III DE MADRID</t>
  </si>
  <si>
    <t>UNIVERSIDADE DE AVEIRO</t>
  </si>
  <si>
    <t>UNIVERSIDADE DE SANTIAGO DE COMPOSTELA</t>
  </si>
  <si>
    <t>UNIVERSIDADE DE VIGO</t>
  </si>
  <si>
    <t>UNIVERSIDADE EUROPEIA</t>
  </si>
  <si>
    <t>UNIVERSIDADE NOVA DE LISBOA</t>
  </si>
  <si>
    <t>UNIVERSITI KEBANGSAAN MALAYSIA</t>
  </si>
  <si>
    <t>UNIVERSITI MALAYA</t>
  </si>
  <si>
    <t>UNIVERSITI PUTRA MALAYSIA</t>
  </si>
  <si>
    <t>UNIVERSITI SAINS MALAYSIA</t>
  </si>
  <si>
    <t>UNIVERSITI TEKNOLOGI MALAYSIA</t>
  </si>
  <si>
    <t>UNIVERSITY COLLEGE LONDON</t>
  </si>
  <si>
    <t>UNIVERSITY OF ANTWERP</t>
  </si>
  <si>
    <t>UNIVERSITY OF CALGARY</t>
  </si>
  <si>
    <t>UNIVERSITY OF DHAKA</t>
  </si>
  <si>
    <t>UNIVERSITY OF ECONOMICS BRATISLAVA</t>
  </si>
  <si>
    <t>UNIVERSITY OF GRONINGEN</t>
  </si>
  <si>
    <t>UNIVERSITY OF ILLINOIS SYSTEM</t>
  </si>
  <si>
    <t>UNIVERSITY OF ILLINOIS URBANA CHAMPAIGN</t>
  </si>
  <si>
    <t>UNIVERSITY OF INDONESIA</t>
  </si>
  <si>
    <t>UNIVERSITY OF JOHANNESBURG</t>
  </si>
  <si>
    <t>UNIVERSITY OF LAUSANNE</t>
  </si>
  <si>
    <t>UNIVERSITY OF PENNSYLVANIA</t>
  </si>
  <si>
    <t>UNIVERSITY OF SALERNO</t>
  </si>
  <si>
    <t>UNIVERSITY OF TEXAS SYSTEM</t>
  </si>
  <si>
    <t>UNIVERSITY OF ZAGREB</t>
  </si>
  <si>
    <t>ALEXANDER DUBCEK UNIVERSITY TRENCIN</t>
  </si>
  <si>
    <t>AUSTRALIAN NATIONAL UNIVERSITY</t>
  </si>
  <si>
    <t>AUTONOMOUS UNIVERSITY OF BARCELONA</t>
  </si>
  <si>
    <t>BANDTEC DIGITAL SCH</t>
  </si>
  <si>
    <t>BRAUNSCHWEIG UNIVERSITY OF TECHNOLOGY</t>
  </si>
  <si>
    <t>BRNO UNIVERSITY OF TECHNOLOGY</t>
  </si>
  <si>
    <t>BUDAPEST UNIVERSITY OF TECHNOLOGY ECONOMICS</t>
  </si>
  <si>
    <t>CALIFORNIA STATE UNIVERSITY EAST BAY</t>
  </si>
  <si>
    <t>CAREERBUILDER</t>
  </si>
  <si>
    <t>CAREERBUILDER LLC</t>
  </si>
  <si>
    <t>CARNEGIE MELLON UNIVERSITY</t>
  </si>
  <si>
    <t>CENTER FOR ECONOMIC POLICY RESEARCH CEPR</t>
  </si>
  <si>
    <t>CENTRE NATIONAL DE LA RECHERCHE SCIENTIFIQUE CNRS</t>
  </si>
  <si>
    <t>CHALMERS UNIVERSITY OF TECHNOLOGY</t>
  </si>
  <si>
    <t>COMMUNAUTE UNIVERSITE GRENOBLE ALPES</t>
  </si>
  <si>
    <t>COMP GRAPH CTR</t>
  </si>
  <si>
    <t>CTR SVILUPPO MAT SPA CSM</t>
  </si>
  <si>
    <t>CURTIN UNIVERSITY</t>
  </si>
  <si>
    <t>CZECH TECHNICAL UNIVERSITY PRAGUE</t>
  </si>
  <si>
    <t>DEAKIN UNIVERSITY</t>
  </si>
  <si>
    <t>DORTMUND UNIVERSITY OF TECHNOLOGY</t>
  </si>
  <si>
    <t>DOSTOEVSKY OMSK STATE UNIVERSITY</t>
  </si>
  <si>
    <t>EINDHOVEN UNIVERSITY OF TECHNOLOGY</t>
  </si>
  <si>
    <t>FRAUNHOFER GESELLSCHAFT</t>
  </si>
  <si>
    <t>FRAUNHOFER IAIS</t>
  </si>
  <si>
    <t>GEORGETOWN UNIVERSITY</t>
  </si>
  <si>
    <t>GRIFFITH UNIVERSITY GOLD COAST CAMPUS</t>
  </si>
  <si>
    <t>HARVARD UNIVERSITY</t>
  </si>
  <si>
    <t>HRYHORII SKOVORODA UNIVERSITY IN PEREIASLAV</t>
  </si>
  <si>
    <t>IBN TOFAIL UNIVERSITY OF KENITRA</t>
  </si>
  <si>
    <t>INDIANA UNIVERSITY SYSTEM</t>
  </si>
  <si>
    <t>INTER AMERICAN DEVELOPMENT BANK</t>
  </si>
  <si>
    <t>IT UNIVERSITY COPENHAGEN</t>
  </si>
  <si>
    <t>JOHNS HOPKINS UNIVERSITY</t>
  </si>
  <si>
    <t>KING ABDULAZIZ UNIVERSITY</t>
  </si>
  <si>
    <t>KOBE UNIVERSITY</t>
  </si>
  <si>
    <t>KU LEUVEN</t>
  </si>
  <si>
    <t>LAVAL UNIVERSITY</t>
  </si>
  <si>
    <t>LUISS GUIDO CARLI UNIVERSITY</t>
  </si>
  <si>
    <t>MAASTRICHT UNIVERSITY</t>
  </si>
  <si>
    <t>MAX PLANCK SOCIETY</t>
  </si>
  <si>
    <t>MISSISSIPPI STATE UNIVERSITY</t>
  </si>
  <si>
    <t>MOSCOW AUTOMOBILE ROAD CONSTRUCTION STATE TECHNICAL UNIVERSITY MADI</t>
  </si>
  <si>
    <t>NATIONAL ACADEMY OF EDUCATIONAL SCIENCES OF UKRAINE</t>
  </si>
  <si>
    <t>NATIONAL UNIVERSITY OF LIFE ENVIRONMENTAL SCIENCES OF UKRAINE</t>
  </si>
  <si>
    <t>NATIONAL UNIVERSITY OF POLITICAL STUDIES PUBLIC ADMINISTRATION SNSPA ROMANIA</t>
  </si>
  <si>
    <t>NEW YORK UNIVERSITY</t>
  </si>
  <si>
    <t>NORTHEASTERN UNIVERSITY</t>
  </si>
  <si>
    <t>OHIO STATE UNIVERSITY</t>
  </si>
  <si>
    <t>OKLAHOMA STATE UNIVERSITY SYSTEM</t>
  </si>
  <si>
    <t>PARTHENOPE UNIVERSITY NAPLES</t>
  </si>
  <si>
    <t>PENNSYLVANIA STATE UNIVERSITY UNIVERSITY PARK</t>
  </si>
  <si>
    <t>PURDUE UNIVERSITY</t>
  </si>
  <si>
    <t>PURDUE UNIVERSITY SYSTEM</t>
  </si>
  <si>
    <t>ROMA TRE UNIVERSITY</t>
  </si>
  <si>
    <t>RUSSIAN STATE SOCIAL UNIVERSITY RSSU</t>
  </si>
  <si>
    <t>RUTGERS UNIVERSITY NEW BRUNSWICK</t>
  </si>
  <si>
    <t>SAFETY HLTH ENVIRONM RES ORG</t>
  </si>
  <si>
    <t>SAPIENZA UNIVERSITY ROME</t>
  </si>
  <si>
    <t>SCI EDUC RES COUNCIL</t>
  </si>
  <si>
    <t>SCUOLA SUPERIORE SANT ANNA</t>
  </si>
  <si>
    <t>SIDI MOHAMED BEN ABDELLAH UNIVERSITY OF FEZ</t>
  </si>
  <si>
    <t>SOUTH UKRAINIAN NATIONAL PEDAGOGICAL UNIVERSITY NAMED AFTER K D USHYNSKY</t>
  </si>
  <si>
    <t>STANFORD UNIVERSITY</t>
  </si>
  <si>
    <t>TILBURG UNIVERSITY</t>
  </si>
  <si>
    <t>TOMSK STATE UNIVERSITY</t>
  </si>
  <si>
    <t>TORONTO METROPOLITAN UNIVERSITY</t>
  </si>
  <si>
    <t>TRANSYLVANIA UNIVERSITY OF BRASOV</t>
  </si>
  <si>
    <t>UNIVERSIDAD DE LA SABANA</t>
  </si>
  <si>
    <t>UNIVERSIDAD INTERNACIONAL DE LA RIOJA UNIR</t>
  </si>
  <si>
    <t>UNIVERSIDADE FEDERAL DE UBERLANDIA</t>
  </si>
  <si>
    <t>UNIVERSIDADE FEDERAL FLUMINENSE</t>
  </si>
  <si>
    <t>UNIVERSIDADE FEDERAL RURAL DE PERNAMBUCO UFRPE</t>
  </si>
  <si>
    <t>UNIVERSIDADE TECNOLOGICA FEDERAL DO PARANA</t>
  </si>
  <si>
    <t>UNIVERSITA DI MODENA E REGGIO EMILIA</t>
  </si>
  <si>
    <t>UNIVERSITAT POLITECNICA DE CATALUNYA</t>
  </si>
  <si>
    <t>UNIVERSITAT RAMON LLULL</t>
  </si>
  <si>
    <t>UNIVERSITE GRENOBLE ALPES UGA</t>
  </si>
  <si>
    <t>UNIVERSITE INTERNATIONALE DE RABAT</t>
  </si>
  <si>
    <t>UNIVERSITE PARIS CITE</t>
  </si>
  <si>
    <t>UNIVERSITI TEKNOLOGI PETRONAS</t>
  </si>
  <si>
    <t>UNIVERSITY BRUNEI DARUSSALAM</t>
  </si>
  <si>
    <t>UNIVERSITY COLLEGE DUBLIN</t>
  </si>
  <si>
    <t>UNIVERSITY HA IL</t>
  </si>
  <si>
    <t>UNIVERSITY OF AMSTERDAM</t>
  </si>
  <si>
    <t>UNIVERSITY OF BARCELONA</t>
  </si>
  <si>
    <t>UNIVERSITY OF BELGRADE</t>
  </si>
  <si>
    <t>UNIVERSITY OF BONN</t>
  </si>
  <si>
    <t>UNIVERSITY OF BRADFORD</t>
  </si>
  <si>
    <t>UNIVERSITY OF CALIFORNIA SAN DIEGO</t>
  </si>
  <si>
    <t>UNIVERSITY OF CATANIA</t>
  </si>
  <si>
    <t>UNIVERSITY OF ELECTRONIC SCIENCE TECHNOLOGY OF CHINA</t>
  </si>
  <si>
    <t>UNIVERSITY OF FOGGIA</t>
  </si>
  <si>
    <t>UNIVERSITY OF GRANADA</t>
  </si>
  <si>
    <t>UNIVERSITY OF MASSACHUSETTS AMHERST</t>
  </si>
  <si>
    <t>UNIVERSITY OF MASSACHUSETTS SYSTEM</t>
  </si>
  <si>
    <t>UNIVERSITY OF MINNESOTA SYSTEM</t>
  </si>
  <si>
    <t>UNIVERSITY OF MINNESOTA TWIN CITIES</t>
  </si>
  <si>
    <t>UNIVERSITY OF MUNICH</t>
  </si>
  <si>
    <t>UNIVERSITY OF NORTH TEXAS DENTON</t>
  </si>
  <si>
    <t>UNIVERSITY OF NORTH TEXAS SYSTEM</t>
  </si>
  <si>
    <t>UNIVERSITY OF OULU</t>
  </si>
  <si>
    <t>UNIVERSITY OF PATRAS</t>
  </si>
  <si>
    <t>UNIVERSITY OF PELOPONNESE</t>
  </si>
  <si>
    <t>UNIVERSITY OF PITTSBURGH</t>
  </si>
  <si>
    <t>UNIVERSITY OF QUEBEC</t>
  </si>
  <si>
    <t>UNIVERSITY OF SALENTO</t>
  </si>
  <si>
    <t>UNIVERSITY OF SEVILLA</t>
  </si>
  <si>
    <t>UNIVERSITY OF SYDNEY</t>
  </si>
  <si>
    <t>UNIVERSITY OF TRENTO</t>
  </si>
  <si>
    <t>UNIVERSITY OF VIRGINIA</t>
  </si>
  <si>
    <t>UNIVERSITY OF WARSAW</t>
  </si>
  <si>
    <t>UNIVERSITY OF WISCONSIN MILWAUKEE</t>
  </si>
  <si>
    <t>UNIVERSITY OF ZILINA</t>
  </si>
  <si>
    <t>UNIVERSITY OF ZURICH</t>
  </si>
  <si>
    <t>UNIVERSITY SYSTEM OF MARYLAND</t>
  </si>
  <si>
    <t>UTAH SYSTEM OF HIGHER EDUCATION</t>
  </si>
  <si>
    <t>VINNYTSIA MYKHAILO KOTSIUBYNSKYI STATE PEDAGOGICAL UNIVERSITY</t>
  </si>
  <si>
    <t>VOLODYMYR VYNNYCHENKO CENTRAL UKRAINIAN STATE UNIVERSITY</t>
  </si>
  <si>
    <t>VRIJE UNIVERSITEIT AMSTERDAM</t>
  </si>
  <si>
    <t>WARSAW SCHOOL OF ECONOMICS</t>
  </si>
  <si>
    <t>WASHINGTON STATE UNIVERSITY</t>
  </si>
  <si>
    <t>WESTERN UNIVERSITY UNIVERSITY OF WESTERN ONTARIO</t>
  </si>
  <si>
    <t>AALBORG UNIVERSITY</t>
  </si>
  <si>
    <t>AALTO UNIVERSITY</t>
  </si>
  <si>
    <t>AARHUS UNIVERSITY</t>
  </si>
  <si>
    <t>ABAI KAZAKH NATIONAL PEDAGOGICAL UNIVERSITY</t>
  </si>
  <si>
    <t>ABDULLAH GUL UNIVERSITY</t>
  </si>
  <si>
    <t>ABYLAI KHAN KAZAKH UNIV</t>
  </si>
  <si>
    <t>ACAD ENGINEERS ARCHITECTS FINLAND TEK HR PLUS</t>
  </si>
  <si>
    <t>AGH UNIVERSITY OF KRAKOW</t>
  </si>
  <si>
    <t>AGR UNIV TIRANA</t>
  </si>
  <si>
    <t>AIX MARSEILLE UNIVERSITE</t>
  </si>
  <si>
    <t>AJMAN UNIVERSITY</t>
  </si>
  <si>
    <t>AL AL BAYT UNIVERSITY</t>
  </si>
  <si>
    <t>AL BALQA APPLIED UNIVERSITY</t>
  </si>
  <si>
    <t>AL YAMAMAH UNIVERSITY</t>
  </si>
  <si>
    <t>ALEXANDRU IOAN CUZA UNIVERSITY</t>
  </si>
  <si>
    <t>ALFAISAL UNIVERSITY</t>
  </si>
  <si>
    <t>ALTYNSARIN NATL ACAD EDUC</t>
  </si>
  <si>
    <t>ALVERNO COLLEGE</t>
  </si>
  <si>
    <t>AMER BAR FDN</t>
  </si>
  <si>
    <t>AMER COLL GREECE</t>
  </si>
  <si>
    <t>AMERICAN UNIVERSITY OF BEIRUT</t>
  </si>
  <si>
    <t>AMITY UNIV</t>
  </si>
  <si>
    <t>AMITY UNIVERSITY NOIDA</t>
  </si>
  <si>
    <t>AMRITA VISHWA VIDYAPEETHAM</t>
  </si>
  <si>
    <t>AMRITA VISHWA VIDYAPEETHAM COIMBATORE</t>
  </si>
  <si>
    <t>ANNUNZIO UNIV CHIETI PESCARA</t>
  </si>
  <si>
    <t>ANUNA EDUC NETWORKS</t>
  </si>
  <si>
    <t>APOLLONIA UNIVERSITY</t>
  </si>
  <si>
    <t>ARAB ACADEMY FOR SCIENCE TECHNOLOGY MARITIME TRANSPORT</t>
  </si>
  <si>
    <t>ASPIRING MINDS</t>
  </si>
  <si>
    <t>ASSISTANCE PUBLIQUE HOPITAUX PARIS APHP</t>
  </si>
  <si>
    <t>ATACAMA LARGE MILLIMETER SUBMILLIMETER ARRAY</t>
  </si>
  <si>
    <t>ATHENS UNIVERSITY OF ECONOMICS BUSINESS</t>
  </si>
  <si>
    <t>ATILIM UNIVERSITY</t>
  </si>
  <si>
    <t>ATLANTIC TECHNOLOGICAL UNIVERSITY ATU</t>
  </si>
  <si>
    <t>AUSTRALIAN CATHOLIC UNIVERSITY</t>
  </si>
  <si>
    <t>AUSTRALIAN PUBL SERV</t>
  </si>
  <si>
    <t>BABES BOLYAI UNIVERSITY FROM CLUJ</t>
  </si>
  <si>
    <t>BADAN PUSAT STAT</t>
  </si>
  <si>
    <t>BALL STATE UNIVERSITY</t>
  </si>
  <si>
    <t>BANGLADESH UNIV</t>
  </si>
  <si>
    <t>BANGLADESH UNIV PROFESS</t>
  </si>
  <si>
    <t>BANJA LUKA COLL</t>
  </si>
  <si>
    <t>BC CHILDRENS HOSPITAL</t>
  </si>
  <si>
    <t>BEIJING INSTITUTE OF TECHNOLOGY</t>
  </si>
  <si>
    <t>BELGRADE METROPOLITAN UNIV</t>
  </si>
  <si>
    <t>BOGAZICI UNIVERSITY</t>
  </si>
  <si>
    <t>BOHDAN KHMELNYTSKY NATIONAL UNIVERSITY OF CHERKASY</t>
  </si>
  <si>
    <t>BOISE STATE UNIVERSITY</t>
  </si>
  <si>
    <t>BOSTON COLLEGE</t>
  </si>
  <si>
    <t>BOSTON UNIVERSITY</t>
  </si>
  <si>
    <t>BOURNEMOUTH UNIVERSITY</t>
  </si>
  <si>
    <t>BRAWIJAYA UNIVERSITY</t>
  </si>
  <si>
    <t>BUCKNELL UNIVERSITY</t>
  </si>
  <si>
    <t>BUR ECON ANAL</t>
  </si>
  <si>
    <t>BURAPHA UNIVERSITY</t>
  </si>
  <si>
    <t>BURNING GLASS TECHNOL</t>
  </si>
  <si>
    <t>CADI AYYAD UNIVERSITY OF MARRAKECH</t>
  </si>
  <si>
    <t>CAIRO UNIVERSITY</t>
  </si>
  <si>
    <t>CALIFORNIA STATE UNIVERSITY FULLERTON</t>
  </si>
  <si>
    <t>CAMBRIDGE ENGLISH LANGUAGE ASSESSMENT</t>
  </si>
  <si>
    <t>CAPITAL UNIVERSITY OF ECONOMICS BUSINESS</t>
  </si>
  <si>
    <t>CARDIFF METROPOLITAN UNIVERSITY</t>
  </si>
  <si>
    <t>CATHOLIC UNIVERSITY OF THE SACRED HEART</t>
  </si>
  <si>
    <t>CEDLAS FCE UNLP</t>
  </si>
  <si>
    <t>CENSE LTD</t>
  </si>
  <si>
    <t>CENTRAL EUROPEAN UNIVERSITY</t>
  </si>
  <si>
    <t>CENTRE FOR ADDICTION MENTAL HEALTH CANADA</t>
  </si>
  <si>
    <t>CENTRE FOR RESEARCH TECHNOLOGY HELLAS</t>
  </si>
  <si>
    <t>CENTRO INVESTIGACAO DIDATICA TECNOLOGIA FORMACAO FORMADORES CIDTFF</t>
  </si>
  <si>
    <t>CEPR</t>
  </si>
  <si>
    <t>CEU UNIV</t>
  </si>
  <si>
    <t>CHERNIHIV POLYTECHNIC NATIONAL UNIVERSITY</t>
  </si>
  <si>
    <t>CHINESE ACADEMY OF SOCIAL SCIENCES</t>
  </si>
  <si>
    <t>CHINESE UNIVERSITY OF HONG KONG</t>
  </si>
  <si>
    <t>CITUR CTR TOURISM RES DEV INNOVAT</t>
  </si>
  <si>
    <t>CITY UNIVERSITY OF NEW YORK CUNY SYSTEM</t>
  </si>
  <si>
    <t>CIVIL IND ENGN SAPIENZA</t>
  </si>
  <si>
    <t>CLEMSON UNIVERSITY</t>
  </si>
  <si>
    <t>CNRS NATIONAL INSTITUTE FOR BIOLOGY INSB</t>
  </si>
  <si>
    <t>COCHRANE FRANCE</t>
  </si>
  <si>
    <t>COLEGIO DIVINA PROVIDENCIA</t>
  </si>
  <si>
    <t>COLEGIO PEDRO FONSECA</t>
  </si>
  <si>
    <t>COLGATE UNIVERSITY</t>
  </si>
  <si>
    <t>COLL BUSINESS ADM</t>
  </si>
  <si>
    <t>COLUMBIA UNIVERSITY</t>
  </si>
  <si>
    <t>COMENIUS UNIVERSITY BRATISLAVA</t>
  </si>
  <si>
    <t>COMMONWEALTH SCIENTIFIC INDUSTRIAL RESEARCH ORGANISATION CSIRO</t>
  </si>
  <si>
    <t>COMPLUTENSE UNIVERSITY OF MADRID</t>
  </si>
  <si>
    <t>CONESTOGA COLL ITAL</t>
  </si>
  <si>
    <t>CONSTANTIN BRANCUSI UNIVERSITY</t>
  </si>
  <si>
    <t>CORNELL UNIVERSITY</t>
  </si>
  <si>
    <t>COUNCIL ECON ADVISORS</t>
  </si>
  <si>
    <t>CREA RES CTR AGR POLICIES BIOECON</t>
  </si>
  <si>
    <t>CRISP</t>
  </si>
  <si>
    <t>CTR ALGORITMI</t>
  </si>
  <si>
    <t>CTR ESTADUAL EDUC TECNOL PAULA SOUZA</t>
  </si>
  <si>
    <t>CTR EUROPEAN POLICY STUDIES</t>
  </si>
  <si>
    <t>DAFFODIL INTERNATIONAL UNIVERSITY</t>
  </si>
  <si>
    <t>DAIR INST</t>
  </si>
  <si>
    <t>DAVID GEFFEN SCHOOL OF MEDICINE AT UCLA</t>
  </si>
  <si>
    <t>DELFT UNIVERSITY OF TECHNOLOGY</t>
  </si>
  <si>
    <t>DEPT FAMILIES FAIRNESS HOUSING</t>
  </si>
  <si>
    <t>DHBW HEILBRONN</t>
  </si>
  <si>
    <t>DHOFAR UNIVERSITY</t>
  </si>
  <si>
    <t>DONGGUK UNIVERSITY</t>
  </si>
  <si>
    <t>DOVZHENKO HLUKHIV NATL PEDAG UNIV</t>
  </si>
  <si>
    <t>DP ASSOC</t>
  </si>
  <si>
    <t>DR D Y PATIL MEDICAL COLLEGE HOSPITAL RESEARCH CENTRE</t>
  </si>
  <si>
    <t>DR DY PATIL VIDYAPEETH PUNE</t>
  </si>
  <si>
    <t>DR SOMERVELL MEM CSI MED COLL</t>
  </si>
  <si>
    <t>DRAGOMANOV UKRAINIAN STATE UNIVERSITY</t>
  </si>
  <si>
    <t>DUKE UNIVERSITY</t>
  </si>
  <si>
    <t>EAE BUSINESS SCH</t>
  </si>
  <si>
    <t>EAEEIE</t>
  </si>
  <si>
    <t>EAST SIBERIA STATE UNIVERSITY OF TECHNOLOGY MANAGEMENT</t>
  </si>
  <si>
    <t>ECOLE CENT CASABLANCA</t>
  </si>
  <si>
    <t>ECON POLICY INST</t>
  </si>
  <si>
    <t>EDITH COWAN UNIVERSITY</t>
  </si>
  <si>
    <t>EDUCATIONAL TESTING SERVICE ETS</t>
  </si>
  <si>
    <t>EKA UNIVERSITY OF APPLIED SCIENCES</t>
  </si>
  <si>
    <t>EMORY UNIVERSITY</t>
  </si>
  <si>
    <t>EMPRESA PESQUISA EXTENSAO AGR ESTADO SANTA CATAR</t>
  </si>
  <si>
    <t>ENSEM HASSAN II UNIV CASABLANCA</t>
  </si>
  <si>
    <t>ERASMUS UNIVERSITY ROTTERDAM</t>
  </si>
  <si>
    <t>ERASMUS UNIVERSITY ROTTERDAM EXCL ERASMUS MC</t>
  </si>
  <si>
    <t>ESCP BUSINESS SCHOOL</t>
  </si>
  <si>
    <t>ESCP EUROPEAN</t>
  </si>
  <si>
    <t>ESCUELA SUPERIOR POLITECNICA DEL LITORAL</t>
  </si>
  <si>
    <t>ESE PAULA FRASSINETTI</t>
  </si>
  <si>
    <t>ESEM BUSINESS SCH</t>
  </si>
  <si>
    <t>ESIC</t>
  </si>
  <si>
    <t>ESIC BUSINESS MARKETING SCHOOL</t>
  </si>
  <si>
    <t>EUROPEAN DISTANCE LEARNING NETWORK EDEN SECRETA</t>
  </si>
  <si>
    <t>EUROPEAN UNIVERSITY OF TIRANA</t>
  </si>
  <si>
    <t>FAC INFORMAT STUDIES NOVO MESTO</t>
  </si>
  <si>
    <t>FARMB DIGITAL AGR SA</t>
  </si>
  <si>
    <t>FAYETTEVILLE STATE UNIVERSITY</t>
  </si>
  <si>
    <t>FDN UNIV CATOLICA NORTE</t>
  </si>
  <si>
    <t>FED INST VOCAT EDUC TRAINING BIBB</t>
  </si>
  <si>
    <t>FEINBERG SCHOOL OF MEDICINE</t>
  </si>
  <si>
    <t>FINANCIAL UNIVERSITY UNDER THE GOVERNMENT OF RUSSIAN FEDERATION</t>
  </si>
  <si>
    <t>FLORIDA ATLANTIC UNIVERSITY</t>
  </si>
  <si>
    <t>FORSYTH TECH COMM COLL</t>
  </si>
  <si>
    <t>GADJAH MADA UNIVERSITY</t>
  </si>
  <si>
    <t>GEORGIA STATE UNIVERSITY</t>
  </si>
  <si>
    <t>GERMAN AEROSPACE CENTRE DLR</t>
  </si>
  <si>
    <t>GH ASACHI TECHNICAL UNIVERSITY</t>
  </si>
  <si>
    <t>GLOBAL SERV STRATEGY</t>
  </si>
  <si>
    <t>GOVT COLL UNIV HYDERABAD</t>
  </si>
  <si>
    <t>GRIGORE T POPA UNIVERSITY OF MEDICINE PHARMACY</t>
  </si>
  <si>
    <t>GULF UNIV</t>
  </si>
  <si>
    <t>HACETTEPE UNIVERSITY</t>
  </si>
  <si>
    <t>HANG SENG UNIVERSITY OF HONG KONG</t>
  </si>
  <si>
    <t>HEBEI UNIVERSITY</t>
  </si>
  <si>
    <t>HELLENIC OPEN UNIVERSITY</t>
  </si>
  <si>
    <t>HELMHOLTZ ASSOCIATION</t>
  </si>
  <si>
    <t>HELWAN UNIVERSITY</t>
  </si>
  <si>
    <t>HESAM UNIVERSITE</t>
  </si>
  <si>
    <t>HOLLAND BLOORVIEW KIDS REHABILITATION HOSPITAL</t>
  </si>
  <si>
    <t>HONG KONG UNIVERSITY OF SCIENCE TECHNOLOGY</t>
  </si>
  <si>
    <t>HONGIK UNIVERSITY</t>
  </si>
  <si>
    <t>HOPITAL UNIVERSITAIRE HOTEL DIEU APHP</t>
  </si>
  <si>
    <t>HOSP VET ATLANTICO</t>
  </si>
  <si>
    <t>HOSPITAL FOR SICK CHILDREN SICKKIDS</t>
  </si>
  <si>
    <t>HSE UNIV SAINT PETERSBURG</t>
  </si>
  <si>
    <t>HUMAN CAPITAL MANAGEMENT SPACE</t>
  </si>
  <si>
    <t>HUMBOLDT UNIVERSITY OF BERLIN</t>
  </si>
  <si>
    <t>HUSSON UNIVERSITY</t>
  </si>
  <si>
    <t>IADSS</t>
  </si>
  <si>
    <t>IAV GMBH</t>
  </si>
  <si>
    <t>IBU PEJABAT MARA</t>
  </si>
  <si>
    <t>ICAR NATIONAL INSTITUTE OF AGRICULTURAL ECONOMICS POLICY RESEARCH</t>
  </si>
  <si>
    <t>ICREA</t>
  </si>
  <si>
    <t>IFO INSTITUT</t>
  </si>
  <si>
    <t>IGOR SIKORSKY KYIV POLYTECHNIC INSTITUTE</t>
  </si>
  <si>
    <t>IIHMR UNIV</t>
  </si>
  <si>
    <t>IIT</t>
  </si>
  <si>
    <t>IMAM ABDULRAHMAN BIN FAISAL UNIVERSITY</t>
  </si>
  <si>
    <t>IMT SCHOOL FOR ADVANCED STUDIES LUCCA</t>
  </si>
  <si>
    <t>INDIAN COUNCIL OF AGRICULTURAL RESEARCH ICAR</t>
  </si>
  <si>
    <t>INDIANA UNIVERSITY BLOOMINGTON</t>
  </si>
  <si>
    <t>INDIANA UNIVERSITY INDIANAPOLIS</t>
  </si>
  <si>
    <t>INDIANA UNIVERSITY OF PENNSYLVANIA</t>
  </si>
  <si>
    <t>INDONESIAN COUNCIL ECON FINANCIAL LITERACY</t>
  </si>
  <si>
    <t>INFORMAT COMMUN TECHNOL COUNCIL ICTC</t>
  </si>
  <si>
    <t>INLAND PSYCHIAT MED GRP</t>
  </si>
  <si>
    <t>INST AGAMA ISLAM TAZKIA</t>
  </si>
  <si>
    <t>INST DIGITALISAT EDUC NAES UKRAINE</t>
  </si>
  <si>
    <t>INST EMPLOYMENT RES IAB</t>
  </si>
  <si>
    <t>INST HAUTE FORMAT POLIT COMMUNAUTAIRES IHF</t>
  </si>
  <si>
    <t>INST SOCIOPOLIT RES RSA</t>
  </si>
  <si>
    <t>INST STRUCT RES IBS</t>
  </si>
  <si>
    <t>INST TECNOL TIJUANA</t>
  </si>
  <si>
    <t>INST TEKNOL DEL</t>
  </si>
  <si>
    <t>INST UNIV AMER COLOMBIA</t>
  </si>
  <si>
    <t>INSTITUT NATIONAL DE LA SANTE ET DE LA RECHERCHE MEDICALE INSERM</t>
  </si>
  <si>
    <t>INSTITUTE FOR THE US CANADIAN STUDIES RUSSIAN ACADEMY OF SCIENCES</t>
  </si>
  <si>
    <t>INSTITUTE FOR WORK HEALTH</t>
  </si>
  <si>
    <t>INSTITUTE OF TECHNOLOGY BUSINESS CESKE BUDEJOVICE</t>
  </si>
  <si>
    <t>INSTITUTE OF VOCATIONAL EDUCATION OF THE NATIONAL ACADEMY OF EDUCATIONAL SCIENCES OF UKRAINE</t>
  </si>
  <si>
    <t>INSTITUTO POLITECNICO DE COIMBRA IPC</t>
  </si>
  <si>
    <t>INSTITUTO POLITECNICO DE VISEU</t>
  </si>
  <si>
    <t>INSTITUTO TECNOLOGICO DE LEON</t>
  </si>
  <si>
    <t>INSTITUTO UNIVERSITARIO DE LISBOA</t>
  </si>
  <si>
    <t>INT INNOVAT UNIV</t>
  </si>
  <si>
    <t>INT INST TECHNOL</t>
  </si>
  <si>
    <t>INT POSTGRAD SCH JOZEF STEFAN</t>
  </si>
  <si>
    <t>INTERNATIONAL INSTITUTE OF INFORMATION TECHNOLOGY BANGALORE IIIT BANGALORE</t>
  </si>
  <si>
    <t>INTERNATIONAL UNIVERSITY OF APPLIED SCIENCES GERMANY</t>
  </si>
  <si>
    <t>INTERUNIV DEPT REG URBAN STUDIES PLANNING</t>
  </si>
  <si>
    <t>ISABEL I CASTILE INT UNIV</t>
  </si>
  <si>
    <t>ISCET HIGH INST BUSINESS SCI TOURISM</t>
  </si>
  <si>
    <t>ISLAMIA UNIVERSITY OF BAHAWALPUR</t>
  </si>
  <si>
    <t>ISMA UNIV APPL SCI</t>
  </si>
  <si>
    <t>ITMO UNIVERSITY</t>
  </si>
  <si>
    <t>IULM INTERNATIONAL UNIVERSITY LANGUAGES MEDIA</t>
  </si>
  <si>
    <t>IVAN FRANKO NATIONAL UNIVERSITY LVIV</t>
  </si>
  <si>
    <t>IVY TECH COMMUNITY COLL BLOOMINGTON</t>
  </si>
  <si>
    <t>IZMIR EKONOMI UNIVERSITESI</t>
  </si>
  <si>
    <t>JAGIELLONIAN UNIVERSITY</t>
  </si>
  <si>
    <t>JAIPUR ENGN COLL RES CTR</t>
  </si>
  <si>
    <t>JECRC</t>
  </si>
  <si>
    <t>JIANGSU MARITIME INSTITUTE</t>
  </si>
  <si>
    <t>JOMO KENYATTA UNIVERSITY OF AGRICULTURE TECHNOLOGY</t>
  </si>
  <si>
    <t>JOZEF STEFAN INSTITUTE</t>
  </si>
  <si>
    <t>JR ACHIEVEMENT BULGARIA</t>
  </si>
  <si>
    <t>JSC TINKOFF BANK</t>
  </si>
  <si>
    <t>K G RAZUMOVSKY MOSCOW STATE UNIVERSITY OF TECHNOLOGIES MANAGEMENT THE FIRST COSSACK UNIVERSITY</t>
  </si>
  <si>
    <t>K J SOMAIYA INSTITUTE OF MANAGEMENT</t>
  </si>
  <si>
    <t>KAZAN NATIONAL RESEARCH TECHNOLOGICAL UNIVERSITY</t>
  </si>
  <si>
    <t>KAZIMIERZ WIELKI UNIVERSITY</t>
  </si>
  <si>
    <t>KEELE UNIVERSITY</t>
  </si>
  <si>
    <t>KHARKIV NATIONAL UNIVERSITY OF ECONOMICS</t>
  </si>
  <si>
    <t>KING FAISAL UNIVERSITY</t>
  </si>
  <si>
    <t>KOREA UNIVERSITY OF TECHNOLOGY EDUCATION</t>
  </si>
  <si>
    <t>KRIDA WACANA CHRISTIAN UNIV</t>
  </si>
  <si>
    <t>KUWAIT UNIVERSITY</t>
  </si>
  <si>
    <t>KYIV NATIONAL UNIVERSITY OF CULTURE ARTS</t>
  </si>
  <si>
    <t>LA TROBE UNIVERSITY</t>
  </si>
  <si>
    <t>LAUREATE INT UNIV</t>
  </si>
  <si>
    <t>LEARNING PLANET CTR</t>
  </si>
  <si>
    <t>LEBANESE AMERICAN UNIVERSITY</t>
  </si>
  <si>
    <t>LEHIGH UNIVERSITY</t>
  </si>
  <si>
    <t>LEUVEN AI</t>
  </si>
  <si>
    <t>LIGHTHOUSE</t>
  </si>
  <si>
    <t>LINGNAN UNIVERSITY</t>
  </si>
  <si>
    <t>LINKOPING UNIVERSITY</t>
  </si>
  <si>
    <t>LINNAEUS UNIVERSITY</t>
  </si>
  <si>
    <t>LOMONOSOV MOSCOW STATE UNIVERSITY</t>
  </si>
  <si>
    <t>LONDON SOUTH BANK UNIVERSITY</t>
  </si>
  <si>
    <t>LUND UNIVERSITY</t>
  </si>
  <si>
    <t>LUSOFONA UNIVERSITY</t>
  </si>
  <si>
    <t>LVIV STATE UNIVERSITY OF LIFE SAFETY</t>
  </si>
  <si>
    <t>MACEWAN UNIV</t>
  </si>
  <si>
    <t>MACQUARIE UNIVERSITY</t>
  </si>
  <si>
    <t>MADISON AREA TECHNICAL COLLEGE</t>
  </si>
  <si>
    <t>MANCHESTER METROPOLITAN UNIVERSITY</t>
  </si>
  <si>
    <t>MARIUPOL STATE UNIVERSITY</t>
  </si>
  <si>
    <t>MATEJ BEL UNIVERSITY</t>
  </si>
  <si>
    <t>MAYNOOTH UNIVERSITY</t>
  </si>
  <si>
    <t>MAYO CLINIC</t>
  </si>
  <si>
    <t>MCGILL UNIVERSITY</t>
  </si>
  <si>
    <t>MCMASTER UNIVERSITY</t>
  </si>
  <si>
    <t>MEDICAL UNIVERSITY OF SOUTH CAROLINA</t>
  </si>
  <si>
    <t>MEDICAL UNIVERSITY OF WARSAW</t>
  </si>
  <si>
    <t>MEXICO MINIST EDUC</t>
  </si>
  <si>
    <t>MGIMO UNIVERSITY</t>
  </si>
  <si>
    <t>MIAMI UNIVERSITY</t>
  </si>
  <si>
    <t>MICA</t>
  </si>
  <si>
    <t>MID SWEDEN UNIVERSITY</t>
  </si>
  <si>
    <t>MIDDLE TENNESSEE STATE UNIVERSITY</t>
  </si>
  <si>
    <t>MIL ACAD LOGIST</t>
  </si>
  <si>
    <t>MIL TECH ACAD</t>
  </si>
  <si>
    <t>MININ NIZHNY NOVGOROD STATE PEDAGOGICAL UNIVERSITY</t>
  </si>
  <si>
    <t>MINIST EDUC</t>
  </si>
  <si>
    <t>MINIST EDUC MALAYSIA</t>
  </si>
  <si>
    <t>MINIST HUMAN RESOURCES MOHR</t>
  </si>
  <si>
    <t>MINIST LABOUR SOCIAL AFFAIRS</t>
  </si>
  <si>
    <t>MINIST STAT PROGRAMME IMPLEMENTAT</t>
  </si>
  <si>
    <t>MINJIANG TEACHERS COLL</t>
  </si>
  <si>
    <t>MIRCEA CEL BATRAN NAVAL ACADEMY</t>
  </si>
  <si>
    <t>MKWAWA UNIV</t>
  </si>
  <si>
    <t>MOHAMMED V UNIVERSITY IN RABAT</t>
  </si>
  <si>
    <t>MOHAMMED VI POLYTECHNIC UNIVERSITY</t>
  </si>
  <si>
    <t>MONASH UNIVERSITY</t>
  </si>
  <si>
    <t>MONTCLAIR STATE UNIVERSITY</t>
  </si>
  <si>
    <t>MOOQITA</t>
  </si>
  <si>
    <t>MOSCOW POLYTECHNIC UNIVERSITY</t>
  </si>
  <si>
    <t>MOSCOW STATE INST UNIV INT RELAT</t>
  </si>
  <si>
    <t>MTSI</t>
  </si>
  <si>
    <t>MUNICIPAL ESTABLISHMENT KHARKIV HUMANITARIAN PEDAGOGICAL ACADEMY OF KHARKIV REGIONAL COUNCIL</t>
  </si>
  <si>
    <t>MUNSTER TECHNOLOGICAL UNIVERSITY MTU</t>
  </si>
  <si>
    <t>MYLIA ADV HUMANITY</t>
  </si>
  <si>
    <t>NANJING AGRICULTURAL UNIVERSITY</t>
  </si>
  <si>
    <t>NANJING UNIVERSITY</t>
  </si>
  <si>
    <t>NANJING UNIVERSITY OF SCIENCE TECHNOLOGY</t>
  </si>
  <si>
    <t>NANJING XIAOZHUANG UNIVERSITY</t>
  </si>
  <si>
    <t>NANYANG TECHNOLOGICAL UNIVERSITY</t>
  </si>
  <si>
    <t>NATIONAL ACADEMY OF SCIENCES UKRAINE</t>
  </si>
  <si>
    <t>NATIONAL AVIATION UNIVERSITY</t>
  </si>
  <si>
    <t>NATIONAL INSTITUTE OF DEVELOPMENT ADMINISTRATION THAILAND</t>
  </si>
  <si>
    <t>NATIONAL INSTITUTE OF EDUCATION NIE SINGAPORE</t>
  </si>
  <si>
    <t>NATIONAL INSTITUTE OF TECHNICAL TEACHERS TRAINING RESEARCH CHANDIGARH</t>
  </si>
  <si>
    <t>NATIONAL INSTITUTE OF TECHNOLOGY NIT SYSTEM</t>
  </si>
  <si>
    <t>NATIONAL UNIVERSITY KAOHSIUNG</t>
  </si>
  <si>
    <t>NATIONAL UNIVERSITY OF CIVIL ENGINEERING</t>
  </si>
  <si>
    <t>NATIONAL UNIVERSITY OF EDUCATIONAL PLANNING ADMINISTRATION INDIA</t>
  </si>
  <si>
    <t>NATL COLL GRIGORE MOISIL</t>
  </si>
  <si>
    <t>NATL OPEN UNIV</t>
  </si>
  <si>
    <t>NATL TECH UNIV UKRAINE IGOR SIKORSKY KYIV POLYTECH</t>
  </si>
  <si>
    <t>NCPD ORLEU REPUBL INST PROFESS DEV</t>
  </si>
  <si>
    <t>NEAPOLIS</t>
  </si>
  <si>
    <t>NEAR EAST UNIVERSITY</t>
  </si>
  <si>
    <t>NETHERLANDS ORGANIZATION APPLIED SCIENCE RESEARCH</t>
  </si>
  <si>
    <t>NEW YORK ACADEMY OF MEDICINE</t>
  </si>
  <si>
    <t>NGHE AN DEPT EDUC TRAINING</t>
  </si>
  <si>
    <t>NHF EUBA</t>
  </si>
  <si>
    <t>NICOLAUS COPERNICUS UNIVERSITY</t>
  </si>
  <si>
    <t>NIKOLA VAPTSAROV NAVAL ACADEMY</t>
  </si>
  <si>
    <t>NIPISSING UNIV</t>
  </si>
  <si>
    <t>NIPISSING UNIVERSITY</t>
  </si>
  <si>
    <t>NITI AAYOG</t>
  </si>
  <si>
    <t>NORTH CAROLINA STATE UNIVERSITY</t>
  </si>
  <si>
    <t>NORTHERN KENTUCKY UNIVERSITY</t>
  </si>
  <si>
    <t>NORTHWESTERN UNIVERSITY</t>
  </si>
  <si>
    <t>NORWEGIAN UNIVERSITY OF SCIENCE TECHNOLOGY NTNU</t>
  </si>
  <si>
    <t>NOTTINGHAM TRENT UNIVERSITY</t>
  </si>
  <si>
    <t>NOVA SOUTHEASTERN UNIVERSITY</t>
  </si>
  <si>
    <t>O M BEKETOV NATIONAL UNIVERSITY OF URBAN ECONOMY IN KHARKIV</t>
  </si>
  <si>
    <t>O P JINDAL GLOBAL UNIVERSITY</t>
  </si>
  <si>
    <t>OBLASTNI CHARITA PARDUBICE</t>
  </si>
  <si>
    <t>OKLAHOMA STATE UNIVERSITY STILLWATER</t>
  </si>
  <si>
    <t>OKLAHOMA STATE UNIVERSITY TULSA</t>
  </si>
  <si>
    <t>OLEKSANDR DOVZHENKO HLUKHIV NATIONAL PEDAGOGICAL UNIVERSITY</t>
  </si>
  <si>
    <t>OMSK STATE PEDAGOGICAL UNIVERSITY</t>
  </si>
  <si>
    <t>OMSK STATE TECHNICAL UNIVERSITY</t>
  </si>
  <si>
    <t>OPEN INSIGHTS</t>
  </si>
  <si>
    <t>ORYGEN THE NATIONAL CENTRE OF EXCELLENCE IN YOUTH MENTAL HEALTH</t>
  </si>
  <si>
    <t>OSAKA UNIVERSITY</t>
  </si>
  <si>
    <t>OTH REGENSBURG</t>
  </si>
  <si>
    <t>OTTO FRIEDRICH UNIVERSITY BAMBERG</t>
  </si>
  <si>
    <t>PANTHEON SORBONNE UNIV</t>
  </si>
  <si>
    <t>PENNSYLVANIA STATE SYSTEM OF HIGHER EDUCATION PASSHE</t>
  </si>
  <si>
    <t>PERM NATIONAL RESEARCH POLYTECHNIC UNIVERSITY</t>
  </si>
  <si>
    <t>PETER THE GREAT ST PETERSBURG POLYTECHNIC UNIVERSITY</t>
  </si>
  <si>
    <t>PITTSBURG STATE UNIVERSITY</t>
  </si>
  <si>
    <t>POLICY CTR NEW SOUTH</t>
  </si>
  <si>
    <t>POLISH JAPANESE ACAD INFORMAT TECHNOL PJAIT</t>
  </si>
  <si>
    <t>POLITECNICO DI BARI</t>
  </si>
  <si>
    <t>POLITEKNIK SULTAN SALAHUDDIN ABDUL AZIZ SHAH PERS</t>
  </si>
  <si>
    <t>POLOTSK STATE UNIVERSITY</t>
  </si>
  <si>
    <t>POLYTECH INST CAVADO AVE</t>
  </si>
  <si>
    <t>POLYTHECN INST BRAGANCA</t>
  </si>
  <si>
    <t>PONTIF CATHOLIC UNIV CATHOLIC SAO PAULO</t>
  </si>
  <si>
    <t>PONTIFICIA UNIV CATOLICA RIO DE JANEIRO</t>
  </si>
  <si>
    <t>PONTIFICIA UNIVERSIDAD CATOLICA DEL PERU</t>
  </si>
  <si>
    <t>PONTIFICIA UNIVERSIDADE CATOLICA DO RIO DE JANEIRO</t>
  </si>
  <si>
    <t>POPULAT COUNCIL</t>
  </si>
  <si>
    <t>POSIT UNIV</t>
  </si>
  <si>
    <t>PROJECT TEAM HD MINT</t>
  </si>
  <si>
    <t>PROVIDENCE PORTLAND MEDICAL CENTER</t>
  </si>
  <si>
    <t>QUEENS UNIVERSITY BELFAST</t>
  </si>
  <si>
    <t>RADBOUD UNIVERSITY NIJMEGEN</t>
  </si>
  <si>
    <t>RAND CORPORATION</t>
  </si>
  <si>
    <t>REGENERAT MED MFG SOC</t>
  </si>
  <si>
    <t>RESEARCH TRIANGLE INSTITUTE</t>
  </si>
  <si>
    <t>RESULTS EDUC FUND</t>
  </si>
  <si>
    <t>RETAIL APPRENTICESHIP MANAGER IBEC</t>
  </si>
  <si>
    <t>RIGA TECHNICAL UNIVERSITY</t>
  </si>
  <si>
    <t>RISE RESEARCH INSTITUTES OF SWEDEN</t>
  </si>
  <si>
    <t>RL TECHNOL CC TA RED LEAF</t>
  </si>
  <si>
    <t>RL TECHNOL TRADING RED LEAF</t>
  </si>
  <si>
    <t>ROCHESTER INSTITUTE OF TECHNOLOGY</t>
  </si>
  <si>
    <t>ROMANIAN AMER UNIV</t>
  </si>
  <si>
    <t>ROYAL INSTITUTE OF TECHNOLOGY</t>
  </si>
  <si>
    <t>ROYAL UNIV PHNOM PENH</t>
  </si>
  <si>
    <t>RTI INT</t>
  </si>
  <si>
    <t>RUSSIAN ACADEMY OF SCIENCES</t>
  </si>
  <si>
    <t>RUSSIAN FOREIGN TRADE ACADEMY</t>
  </si>
  <si>
    <t>RUSSIAN PRESIDENTIAL ACADEMY OF NATIONAL ECONOMY PUBLIC ADMINISTRATION</t>
  </si>
  <si>
    <t>SABSA INST</t>
  </si>
  <si>
    <t>SAINT PETERSBURG STATE ELECTROTECHNICAL UNIVERSITY</t>
  </si>
  <si>
    <t>SAINT PETERSBURG STATE UNIVERSITY</t>
  </si>
  <si>
    <t>SAKARYA UNIVERSITY</t>
  </si>
  <si>
    <t>SAN PABLO CEU UNIVERSITY</t>
  </si>
  <si>
    <t>SANTA TERESA JESUS CATHOLIC UNIVERSITY OF AVILA</t>
  </si>
  <si>
    <t>SAPIENZA</t>
  </si>
  <si>
    <t>SARDAR VALLABHBHAI NATIONAL INSTITUTE OF TECHNOLOGY</t>
  </si>
  <si>
    <t>SCH SOFTWARE</t>
  </si>
  <si>
    <t>SHAHID BEHESHTI UNIVERSITY</t>
  </si>
  <si>
    <t>SHANDIZ INST HIGHER EDUC</t>
  </si>
  <si>
    <t>SHANGHAI UNIVERSITY OF ENGINEERING SCIENCE</t>
  </si>
  <si>
    <t>SHARDA UNIVERSITY</t>
  </si>
  <si>
    <t>SHRI MATA VAISHNO DEVI UNIVERSITY</t>
  </si>
  <si>
    <t>SICHUAN UNIVERSITY</t>
  </si>
  <si>
    <t>SIMON FRASER UNIVERSITY</t>
  </si>
  <si>
    <t>SIVECO ROMANIA</t>
  </si>
  <si>
    <t>SLOVAK GOVERNANCE INST</t>
  </si>
  <si>
    <t>SLOVENIAN ACADEMY OF SCIENCES ARTS SASA</t>
  </si>
  <si>
    <t>SMITHSONIAN INSTITUTION</t>
  </si>
  <si>
    <t>SMITHSONIAN NATIONAL ZOOLOGICAL PARK CONSERVATION BIOLOGY INSTITUTE</t>
  </si>
  <si>
    <t>SOCIAL SECUR AGCY EMPLOYMENT</t>
  </si>
  <si>
    <t>SOGANG UNIVERSITY</t>
  </si>
  <si>
    <t>SOHAR UNIVERSITY</t>
  </si>
  <si>
    <t>SOMAIYA VIDYAVIHAR UNIVERSITY</t>
  </si>
  <si>
    <t>SOUTHERN ILLINOIS UNIVERSITY EDWARDSVILLE</t>
  </si>
  <si>
    <t>SOUTHERN ILLINOIS UNIVERSITY SYSTEM</t>
  </si>
  <si>
    <t>SOUTHERN METHODIST UNIVERSITY</t>
  </si>
  <si>
    <t>SOUTHERN UNIVERSITY A M COLLEGE</t>
  </si>
  <si>
    <t>SOUTHERN UNIVERSITY SYSTEM</t>
  </si>
  <si>
    <t>SOUTHERN UTAH UNIVERSITY</t>
  </si>
  <si>
    <t>SOUTHWESTERN UNIV</t>
  </si>
  <si>
    <t>SPIRU HARET UNIVERSITY</t>
  </si>
  <si>
    <t>SRI SIDDHARTHA ACAD HIGHER EDUC</t>
  </si>
  <si>
    <t>ST STEPHENS SCH</t>
  </si>
  <si>
    <t>ST THERESA INTERNATIONAL COLLEGE</t>
  </si>
  <si>
    <t>STATE MARINE TECHNICAL UNIVERSITY</t>
  </si>
  <si>
    <t>STEFAN CEL MARE UNIVERSITY OF SUCEAVA</t>
  </si>
  <si>
    <t>STMIK PALANGKA RAYA</t>
  </si>
  <si>
    <t>STOCKTON UNIVERSITY</t>
  </si>
  <si>
    <t>SUN YAT SEN UNIVERSITY</t>
  </si>
  <si>
    <t>SURGUT STATE UNIVERSITY</t>
  </si>
  <si>
    <t>SWAN MESH NETWORKS LTD</t>
  </si>
  <si>
    <t>SWEDISH MEDICAL CENTER</t>
  </si>
  <si>
    <t>SWINBURNE UNIVERSITY OF TECHNOLOGY</t>
  </si>
  <si>
    <t>TAIF UNIVERSITY</t>
  </si>
  <si>
    <t>TATA INSTITUTE OF SOCIAL SCIENCES</t>
  </si>
  <si>
    <t>TECHNICAL UNIVERSITY KOSICE</t>
  </si>
  <si>
    <t>TECHNICAL UNIVERSITY OF BERLIN</t>
  </si>
  <si>
    <t>TECHNICAL UNIVERSITY OF DENMARK</t>
  </si>
  <si>
    <t>TECHNISCHE UNIVERSITAT DRESDEN</t>
  </si>
  <si>
    <t>TECHNISCHE UNIVERSITAT WIEN</t>
  </si>
  <si>
    <t>TECHNOLOGICAL UNIVERSITY DUBLIN</t>
  </si>
  <si>
    <t>TECNOL ANTIOQUIA</t>
  </si>
  <si>
    <t>TEMPLE UNIVERSITY</t>
  </si>
  <si>
    <t>TENCENT RES INST</t>
  </si>
  <si>
    <t>TESEO MKT RES</t>
  </si>
  <si>
    <t>TEXAS A M UNIVERSITY CORPUS CHRISTI</t>
  </si>
  <si>
    <t>TEXAS A M UNIVERSITY SYSTEM</t>
  </si>
  <si>
    <t>THAMMASAT UNIVERSITY</t>
  </si>
  <si>
    <t>THE KIDS RESEARCH INSTITUTE AUSTRALIA</t>
  </si>
  <si>
    <t>THE SANTA FE INSTITUTE</t>
  </si>
  <si>
    <t>THORAC SURG RESIDENTS ASSOC</t>
  </si>
  <si>
    <t>THREE O CLOCK LTD</t>
  </si>
  <si>
    <t>TIANJIN UNIVERSITY</t>
  </si>
  <si>
    <t>TOMSK POLYTECHNIC UNIVERSITY</t>
  </si>
  <si>
    <t>TONY BLAIR INST GLOBAL CHANGE</t>
  </si>
  <si>
    <t>TRIDHARMA UNIV BALIKPAPAN</t>
  </si>
  <si>
    <t>TRINITY COLLEGE DUBLIN</t>
  </si>
  <si>
    <t>TSHWANE UNIVERSITY OF TECHNOLOGY</t>
  </si>
  <si>
    <t>TUNKU ABDUL RAHMAN UNIV MANAGEMENT TECHNOL</t>
  </si>
  <si>
    <t>TURKU UNIVERSITY OF APPLIED SCIENCES</t>
  </si>
  <si>
    <t>TYUMEN INDUSTRIAL UNIVERSITY</t>
  </si>
  <si>
    <t>UCL INSTITUTE OF EDUCATION</t>
  </si>
  <si>
    <t>UN ECONOMIC COMMISSION FOR AFRICA UNECA</t>
  </si>
  <si>
    <t>UNITED ENGINEERS MALAYSIA UEM ACAD</t>
  </si>
  <si>
    <t>UNITED STATES AGENCY FOR INTERNATIONAL DEVELOPMENT USAID</t>
  </si>
  <si>
    <t>UNIV APPL SCI EMDEN LEER</t>
  </si>
  <si>
    <t>UNIV APPL SCI GRISONS</t>
  </si>
  <si>
    <t>UNIV APPL SCI JOANNEUM</t>
  </si>
  <si>
    <t>UNIV AUTONOMA LISBOA</t>
  </si>
  <si>
    <t>UNIV BAHAMAS</t>
  </si>
  <si>
    <t>UNIV BREMER INST PROD LOGISTIK GMBH</t>
  </si>
  <si>
    <t>UNIV COLL NORTH</t>
  </si>
  <si>
    <t>UNIV DR SOETOMO</t>
  </si>
  <si>
    <t>UNIV EDUC</t>
  </si>
  <si>
    <t>UNIV EVORA POLE MITRA</t>
  </si>
  <si>
    <t>UNIV FERNANDO PESSOA UFP</t>
  </si>
  <si>
    <t>UNIV INT CUANZA</t>
  </si>
  <si>
    <t>UNIV ISABEL I</t>
  </si>
  <si>
    <t>UNIV KHAIRUN TERNATE</t>
  </si>
  <si>
    <t>UNIV NACL EXPT TACHIRA</t>
  </si>
  <si>
    <t>UNIV NORTE COLOMBIA</t>
  </si>
  <si>
    <t>UNIV OBERTA CATALUNYA UDC</t>
  </si>
  <si>
    <t>UNIV PARIS 8 VINCENNES</t>
  </si>
  <si>
    <t>UNIV PGRI YOGYAKARTA</t>
  </si>
  <si>
    <t>UNIV SAO PAULO FEA USP</t>
  </si>
  <si>
    <t>UNIV SARJANAWIYATA TAMANSISWA</t>
  </si>
  <si>
    <t>UNIV SOUTHERN MISSISSIPPI</t>
  </si>
  <si>
    <t>UNIV TECNOL NACL</t>
  </si>
  <si>
    <t>UNIV TEKNOL MARA</t>
  </si>
  <si>
    <t>UNIV TENNESSEE HLTH SCI CTR COLL PHARM</t>
  </si>
  <si>
    <t>UNIV THESSALY</t>
  </si>
  <si>
    <t>UNIVERSIDAD AUTONOMA DE BAJA CALIFORNIA</t>
  </si>
  <si>
    <t>UNIVERSIDAD AUTONOMA DE SAN LUIS POTOSI</t>
  </si>
  <si>
    <t>UNIVERSIDAD AUTONOMA DEL ESTADO DE HIDALGO</t>
  </si>
  <si>
    <t>UNIVERSIDAD CATOLICA DE TEMUCO</t>
  </si>
  <si>
    <t>UNIVERSIDAD CONTINENTAL</t>
  </si>
  <si>
    <t>UNIVERSIDAD COSTA RICA</t>
  </si>
  <si>
    <t>UNIVERSIDAD DE ALCALA</t>
  </si>
  <si>
    <t>UNIVERSIDAD DE ANTIOQUIA</t>
  </si>
  <si>
    <t>UNIVERSIDAD DE BURGOS</t>
  </si>
  <si>
    <t>UNIVERSIDAD DE CADIZ</t>
  </si>
  <si>
    <t>UNIVERSIDAD DE CASTILLA LA MANCHA</t>
  </si>
  <si>
    <t>UNIVERSIDAD DE CHILE</t>
  </si>
  <si>
    <t>UNIVERSIDAD DE CIENCIAS Y HUMANIDADES</t>
  </si>
  <si>
    <t>UNIVERSIDAD DE GUADALAJARA</t>
  </si>
  <si>
    <t>UNIVERSIDAD DE LIMA</t>
  </si>
  <si>
    <t>UNIVERSIDAD DE LOS ANDES CHILE</t>
  </si>
  <si>
    <t>UNIVERSIDAD DE MALAGA</t>
  </si>
  <si>
    <t>UNIVERSIDAD DE VALLADOLID</t>
  </si>
  <si>
    <t>UNIVERSIDAD DEL BIO BIO</t>
  </si>
  <si>
    <t>UNIVERSIDAD NACIONAL COSTA RICA</t>
  </si>
  <si>
    <t>UNIVERSIDAD NACIONAL DE COLOMBIA</t>
  </si>
  <si>
    <t>UNIVERSIDAD NACIONAL DE EDUCACION A DISTANCIA UNED</t>
  </si>
  <si>
    <t>UNIVERSIDAD NACIONAL DE EDUCACION ENRIQUE GUZMAN Y VALLE</t>
  </si>
  <si>
    <t>UNIVERSIDAD NACIONAL DE TUCUMAN</t>
  </si>
  <si>
    <t>UNIVERSIDAD PABLO DE OLAVIDE</t>
  </si>
  <si>
    <t>UNIVERSIDAD PANAMERICANA CIUDAD DE MEXICO</t>
  </si>
  <si>
    <t>UNIVERSIDAD POPULAR AUTONOMA DEL ESTADO DE PUEBLA</t>
  </si>
  <si>
    <t>UNIVERSIDAD RICARDO PALMA</t>
  </si>
  <si>
    <t>UNIVERSIDAD SENOR DE SIPAN</t>
  </si>
  <si>
    <t>UNIVERSIDADE DA CORUNA</t>
  </si>
  <si>
    <t>UNIVERSIDADE DE BRASILIA</t>
  </si>
  <si>
    <t>UNIVERSIDADE DE COIMBRA</t>
  </si>
  <si>
    <t>UNIVERSIDADE DE LISBOA</t>
  </si>
  <si>
    <t>UNIVERSIDADE DO VALE DO PARAIBA</t>
  </si>
  <si>
    <t>UNIVERSIDADE DO VALE DO RIO DOS SINOS UNISINOS</t>
  </si>
  <si>
    <t>UNIVERSIDADE FEDERAL DE AMAZONAS</t>
  </si>
  <si>
    <t>UNIVERSIDADE FEDERAL DE MATO GROSSO DO SUL</t>
  </si>
  <si>
    <t>UNIVERSIDADE FEDERAL DE SANTA CATARINA UFSC</t>
  </si>
  <si>
    <t>UNIVERSIDADE FEDERAL DE SANTA MARIA UFSM</t>
  </si>
  <si>
    <t>UNIVERSIDADE FEDERAL DO CEARA</t>
  </si>
  <si>
    <t>UNIVERSIDADE FEDERAL DO RIO DE JANEIRO</t>
  </si>
  <si>
    <t>UNIVERSIDADE FEDERAL RURAL DO SEMI ARIDO UFERSA</t>
  </si>
  <si>
    <t>UNIVERSIDADE FERNANDO PESSOA</t>
  </si>
  <si>
    <t>UNIVERSIDADE PORTUCALENSE INFANTE D HENRIQUE</t>
  </si>
  <si>
    <t>UNIVERSIDADE PRESBITERIANA MACKENZIE</t>
  </si>
  <si>
    <t>UNIVERSITA DEGLI STUDI DI BARI ALDO MORO</t>
  </si>
  <si>
    <t>UNIVERSITA KORE DI ENNA</t>
  </si>
  <si>
    <t>UNIVERSITA MEDITERRANEA DI REGGIO CALABRIA</t>
  </si>
  <si>
    <t>UNIVERSITAS MUHAMMADIYAH YOGYAKARTA</t>
  </si>
  <si>
    <t>UNIVERSITAS NEGERI MALANG</t>
  </si>
  <si>
    <t>UNIVERSITAT DE GIRONA</t>
  </si>
  <si>
    <t>UNIVERSITAT POLITECNICA DE VALENCIA</t>
  </si>
  <si>
    <t>UNIVERSITE CLERMONT AUVERGNE UCA</t>
  </si>
  <si>
    <t>UNIVERSITE DE CARTHAGE</t>
  </si>
  <si>
    <t>UNIVERSITE DE MONTREAL</t>
  </si>
  <si>
    <t>UNIVERSITE DE RENNES</t>
  </si>
  <si>
    <t>UNIVERSITE DE STRASBOURG</t>
  </si>
  <si>
    <t>UNIVERSITE IBN KHALDOUN TIARET</t>
  </si>
  <si>
    <t>UNIVERSITE LE HAVRE NORMANDIE</t>
  </si>
  <si>
    <t>UNIVERSITE LYON 2</t>
  </si>
  <si>
    <t>UNIVERSITE RENNES 2</t>
  </si>
  <si>
    <t>UNIVERSITES DE STRASBOURG ETABLISSEMENTS ASSOCIES</t>
  </si>
  <si>
    <t>UNIVERSITI MALAYSIA PERLIS</t>
  </si>
  <si>
    <t>UNIVERSITI PENDIDIKAN SULTAN IDRIS</t>
  </si>
  <si>
    <t>UNIVERSITI TENAGA NASIONAL</t>
  </si>
  <si>
    <t>UNIVERSITY HEALTH NETWORK TORONTO</t>
  </si>
  <si>
    <t>UNIVERSITY KELANIYA</t>
  </si>
  <si>
    <t>UNIVERSITY OF ABERDEEN</t>
  </si>
  <si>
    <t>UNIVERSITY OF ABERTAY DUNDEE</t>
  </si>
  <si>
    <t>UNIVERSITY OF ADELAIDE</t>
  </si>
  <si>
    <t>UNIVERSITY OF ALBERTA</t>
  </si>
  <si>
    <t>UNIVERSITY OF AUCKLAND</t>
  </si>
  <si>
    <t>UNIVERSITY OF BACAU</t>
  </si>
  <si>
    <t>UNIVERSITY OF BALOCHISTAN</t>
  </si>
  <si>
    <t>UNIVERSITY OF BASQUE COUNTRY</t>
  </si>
  <si>
    <t>UNIVERSITY OF BERGAMO</t>
  </si>
  <si>
    <t>UNIVERSITY OF BERN</t>
  </si>
  <si>
    <t>UNIVERSITY OF BRESCIA</t>
  </si>
  <si>
    <t>UNIVERSITY OF CALABRIA</t>
  </si>
  <si>
    <t>UNIVERSITY OF CALIFORNIA DAVIS</t>
  </si>
  <si>
    <t>UNIVERSITY OF CALIFORNIA LOS ANGELES</t>
  </si>
  <si>
    <t>UNIVERSITY OF CALIFORNIA LOS ANGELES MEDICAL CENTER</t>
  </si>
  <si>
    <t>UNIVERSITY OF CALIFORNIA SAN FRANCISCO</t>
  </si>
  <si>
    <t>UNIVERSITY OF CAPE TOWN</t>
  </si>
  <si>
    <t>UNIVERSITY OF CENTRAL FLORIDA</t>
  </si>
  <si>
    <t>UNIVERSITY OF CENTRAL VENEZUELA</t>
  </si>
  <si>
    <t>UNIVERSITY OF CINCINNATI</t>
  </si>
  <si>
    <t>UNIVERSITY OF COLOMBO</t>
  </si>
  <si>
    <t>UNIVERSITY OF CRAIOVA</t>
  </si>
  <si>
    <t>UNIVERSITY OF DAR ES SALAAM</t>
  </si>
  <si>
    <t>UNIVERSITY OF EASTERN FINLAND</t>
  </si>
  <si>
    <t>UNIVERSITY OF ESSEX</t>
  </si>
  <si>
    <t>UNIVERSITY OF EVORA</t>
  </si>
  <si>
    <t>UNIVERSITY OF FLORIDA</t>
  </si>
  <si>
    <t>UNIVERSITY OF GENEVA</t>
  </si>
  <si>
    <t>UNIVERSITY OF GENOA</t>
  </si>
  <si>
    <t>UNIVERSITY OF GLASGOW</t>
  </si>
  <si>
    <t>UNIVERSITY OF GREENWICH</t>
  </si>
  <si>
    <t>UNIVERSITY OF HAMBURG</t>
  </si>
  <si>
    <t>UNIVERSITY OF HELSINKI</t>
  </si>
  <si>
    <t>UNIVERSITY OF HONG KONG</t>
  </si>
  <si>
    <t>UNIVERSITY OF HOUSTON</t>
  </si>
  <si>
    <t>UNIVERSITY OF HOUSTON SYSTEM</t>
  </si>
  <si>
    <t>UNIVERSITY OF HYDERABAD</t>
  </si>
  <si>
    <t>UNIVERSITY OF IDAHO</t>
  </si>
  <si>
    <t>UNIVERSITY OF INFORMATION TECHNOLOGY MANAGEMENT RZESZOW</t>
  </si>
  <si>
    <t>UNIVERSITY OF JEDDAH</t>
  </si>
  <si>
    <t>UNIVERSITY OF KALMAR</t>
  </si>
  <si>
    <t>UNIVERSITY OF KANSAS</t>
  </si>
  <si>
    <t>UNIVERSITY OF KENT</t>
  </si>
  <si>
    <t>UNIVERSITY OF LATVIA</t>
  </si>
  <si>
    <t>UNIVERSITY OF LINCOLN</t>
  </si>
  <si>
    <t>UNIVERSITY OF LJUBLJANA</t>
  </si>
  <si>
    <t>UNIVERSITY OF LOUISVILLE</t>
  </si>
  <si>
    <t>UNIVERSITY OF LUXEMBOURG</t>
  </si>
  <si>
    <t>UNIVERSITY OF MACEDONIA</t>
  </si>
  <si>
    <t>UNIVERSITY OF MANNHEIM</t>
  </si>
  <si>
    <t>UNIVERSITY OF MARYLAND BALTIMORE</t>
  </si>
  <si>
    <t>UNIVERSITY OF MARYLAND COLLEGE PARK</t>
  </si>
  <si>
    <t>UNIVERSITY OF MIAMI</t>
  </si>
  <si>
    <t>UNIVERSITY OF MILANO BICOCCA</t>
  </si>
  <si>
    <t>UNIVERSITY OF NEBRASKA SYSTEM</t>
  </si>
  <si>
    <t>UNIVERSITY OF NIS</t>
  </si>
  <si>
    <t>UNIVERSITY OF NORTH CAROLINA GREENSBORO</t>
  </si>
  <si>
    <t>UNIVERSITY OF NOTTINGHAM</t>
  </si>
  <si>
    <t>UNIVERSITY OF OKLAHOMA NORMAN</t>
  </si>
  <si>
    <t>UNIVERSITY OF OKLAHOMA SYSTEM</t>
  </si>
  <si>
    <t>UNIVERSITY OF OPOLE</t>
  </si>
  <si>
    <t>UNIVERSITY OF ORADEA</t>
  </si>
  <si>
    <t>UNIVERSITY OF OTTAWA</t>
  </si>
  <si>
    <t>UNIVERSITY OF OVIEDO</t>
  </si>
  <si>
    <t>UNIVERSITY OF OXFORD</t>
  </si>
  <si>
    <t>UNIVERSITY OF PALERMO</t>
  </si>
  <si>
    <t>UNIVERSITY OF PERUGIA</t>
  </si>
  <si>
    <t>UNIVERSITY OF PISA</t>
  </si>
  <si>
    <t>UNIVERSITY OF PRETORIA</t>
  </si>
  <si>
    <t>UNIVERSITY OF PUNJAB</t>
  </si>
  <si>
    <t>UNIVERSITY OF QUEBEC MONTREAL</t>
  </si>
  <si>
    <t>UNIVERSITY OF QUEENSLAND</t>
  </si>
  <si>
    <t>UNIVERSITY OF REGENSBURG</t>
  </si>
  <si>
    <t>UNIVERSITY OF REGINA</t>
  </si>
  <si>
    <t>UNIVERSITY OF RIJEKA</t>
  </si>
  <si>
    <t>UNIVERSITY OF ROCHESTER</t>
  </si>
  <si>
    <t>UNIVERSITY OF ROSTOCK</t>
  </si>
  <si>
    <t>UNIVERSITY OF RWANDA</t>
  </si>
  <si>
    <t>UNIVERSITY OF SALAMANCA</t>
  </si>
  <si>
    <t>UNIVERSITY OF SHEFFIELD</t>
  </si>
  <si>
    <t>UNIVERSITY OF SLAVONSKI BROD</t>
  </si>
  <si>
    <t>UNIVERSITY OF SOUTH AFRICA</t>
  </si>
  <si>
    <t>UNIVERSITY OF SS CYRIL METHODIUS TRNAVA</t>
  </si>
  <si>
    <t>UNIVERSITY OF TEHRAN</t>
  </si>
  <si>
    <t>UNIVERSITY OF TENNESSEE KNOXVILLE</t>
  </si>
  <si>
    <t>UNIVERSITY OF TENNESSEE SYSTEM</t>
  </si>
  <si>
    <t>UNIVERSITY OF TEXAS ARLINGTON</t>
  </si>
  <si>
    <t>UNIVERSITY OF TEXAS AT TYLER</t>
  </si>
  <si>
    <t>UNIVERSITY OF TEXAS HEALTH SCIENCE CENTER HOUSTON</t>
  </si>
  <si>
    <t>UNIVERSITY OF THE DISTRICT OF COLUMBIA</t>
  </si>
  <si>
    <t>UNIVERSITY OF TRAS OS MONTES ALTO DOURO</t>
  </si>
  <si>
    <t>UNIVERSITY OF TSUKUBA</t>
  </si>
  <si>
    <t>UNIVERSITY OF TURIN</t>
  </si>
  <si>
    <t>UNIVERSITY OF TWENTE</t>
  </si>
  <si>
    <t>UNIVERSITY OF VAASA</t>
  </si>
  <si>
    <t>UNIVERSITY OF VENDA</t>
  </si>
  <si>
    <t>UNIVERSITY OF VERONA</t>
  </si>
  <si>
    <t>UNIVERSITY OF VIENNA</t>
  </si>
  <si>
    <t>UNIVERSITY OF WARMIA MAZURY</t>
  </si>
  <si>
    <t>UNIVERSITY OF WASHINGTON</t>
  </si>
  <si>
    <t>UNIVERSITY OF WASHINGTON SEATTLE</t>
  </si>
  <si>
    <t>UNIVERSITY OF WESTERN AUSTRALIA</t>
  </si>
  <si>
    <t>UNIVERSITY OF WESTMINSTER</t>
  </si>
  <si>
    <t>UNIVERSITY OF WROCLAW</t>
  </si>
  <si>
    <t>UNIVERSITY OF ZARAGOZA</t>
  </si>
  <si>
    <t>UNIVERSITY SYSTEM OF GEORGIA</t>
  </si>
  <si>
    <t>UOC UNIVERSITAT OBERTA DE CATALUNYA</t>
  </si>
  <si>
    <t>URBAN INSTITUTE</t>
  </si>
  <si>
    <t>USMANU DANFODIYO UNIV SOKOTO</t>
  </si>
  <si>
    <t>UTAH TECH UNIVERSITY</t>
  </si>
  <si>
    <t>VALORIZA RES CTR ENDOGENOUS RESOURCE VALORIZAT</t>
  </si>
  <si>
    <t>VANDERBILT UNIVERSITY</t>
  </si>
  <si>
    <t>VES BUSINESS SCH</t>
  </si>
  <si>
    <t>VICTORIA UNIVERSITY</t>
  </si>
  <si>
    <t>VINH UNIVERSITY</t>
  </si>
  <si>
    <t>VIRGINIA POLYTECHNIC INSTITUTE STATE UNIVERSITY</t>
  </si>
  <si>
    <t>VITO</t>
  </si>
  <si>
    <t>VIVEKANANDA INST PROFESS STUDIES TECH CAMPUS</t>
  </si>
  <si>
    <t>WAGENINGEN UNIVERSITY RESEARCH</t>
  </si>
  <si>
    <t>WAKE FOREST UNIVERSITY</t>
  </si>
  <si>
    <t>WALTER SISULU UNIVERSITY</t>
  </si>
  <si>
    <t>WARSAW UNIVERSITY OF LIFE SCIENCES</t>
  </si>
  <si>
    <t>WASEDA UNIVERSITY</t>
  </si>
  <si>
    <t>WASHINGTON UNIVERSITY WUSTL</t>
  </si>
  <si>
    <t>WEBER STATE UNIVERSITY</t>
  </si>
  <si>
    <t>WEBLYZARD TECHNOL</t>
  </si>
  <si>
    <t>WELLESLEY COLLEGE</t>
  </si>
  <si>
    <t>WHIRLPOOL</t>
  </si>
  <si>
    <t>WILLIAM MARY</t>
  </si>
  <si>
    <t>WROCLAW UNIVERSITY OF ECONOMICS BUSINESS</t>
  </si>
  <si>
    <t>WU VIENNA</t>
  </si>
  <si>
    <t>WU VIENNA INST ORG STUDIES</t>
  </si>
  <si>
    <t>WUHAN UNIVERSITY</t>
  </si>
  <si>
    <t>YALE UNIVERSITY</t>
  </si>
  <si>
    <t>YOUNGSTOWN STATE UNIVERSITY</t>
  </si>
  <si>
    <t>ZAPORIZHZHIA POLYTECHNIC NATIONAL UNIVERSITY</t>
  </si>
  <si>
    <t>ZAPORIZHZHIA STATE MED PHARMACEUT UNIV</t>
  </si>
  <si>
    <t>ZHYTOMYR POLYTECHNIC STATE UNIVERSITY</t>
  </si>
  <si>
    <t>6 record(s) (0.963%) do not contain data in the field being analyzed</t>
  </si>
  <si>
    <t>Affiliation with Department</t>
  </si>
  <si>
    <t>Polytechnic Institute Of Porto Higher Institute Of Accounting And Administration Of Porto</t>
  </si>
  <si>
    <t>Ca Foscari University Of Venice Department Of Management</t>
  </si>
  <si>
    <t>The University Of North Carolina At Chapel Hill College Of Arts And Sciences</t>
  </si>
  <si>
    <t>The University Of North Carolina At Chapel Hill Department Of Sociology</t>
  </si>
  <si>
    <t>Mount Royal University Bissett School Of Business</t>
  </si>
  <si>
    <t>National Research University Higher School Of Economics Faculty Of Social Sciences</t>
  </si>
  <si>
    <t>National Research University Higher School Of Economics Institute Of Education</t>
  </si>
  <si>
    <t>Qatar University College Of Business And Economics</t>
  </si>
  <si>
    <t>Universiti Tun Hussein Onn Malaysia Faculty Of Civil And Environmental Engineering</t>
  </si>
  <si>
    <t>University Of Chicago Division Of The Social Sciences</t>
  </si>
  <si>
    <t>Brno University Of Technology Faculty Of Business And Management</t>
  </si>
  <si>
    <t>Brunel University London College Of Business Arts And Social Sciences</t>
  </si>
  <si>
    <t>Griffith University Griffith Business And Government</t>
  </si>
  <si>
    <t>Griffith University Griffith Business School</t>
  </si>
  <si>
    <t>Massachusetts Institute Of Technology School Of Engineering</t>
  </si>
  <si>
    <t>National University Of Singapore Department Of Chemistry</t>
  </si>
  <si>
    <t>National University Singapore Faculty Of Science</t>
  </si>
  <si>
    <t>New York University Leonard N Stern School Of Business</t>
  </si>
  <si>
    <t>Putra Malaysia University Faculty Of Educational Studies</t>
  </si>
  <si>
    <t>The University Of Melbourne Faculty Of Business And Economics</t>
  </si>
  <si>
    <t>The University Of Melbourne Faculty Of Medicine Dentistry And Health Sciences</t>
  </si>
  <si>
    <t>Universiti Kebangsaan Malaysia Faculty Of Education</t>
  </si>
  <si>
    <t>Universiti Tun Hussein Onn Malaysia Faculty Of Technical And Vocational Education</t>
  </si>
  <si>
    <t>University Of Belgrade Faculty Of Economics</t>
  </si>
  <si>
    <t>University Of Chicago Department Of Economics</t>
  </si>
  <si>
    <t>University Of Groningen Faculty Of Economics And Business</t>
  </si>
  <si>
    <t>University Of Malaya Faculty Of Education</t>
  </si>
  <si>
    <t>University Of Minho School Of Engineering</t>
  </si>
  <si>
    <t>University Of North Texas College Of Information</t>
  </si>
  <si>
    <t>University Of Porto Faculty Of Engineering</t>
  </si>
  <si>
    <t>University Of Salento Department Of Engineering Innovation</t>
  </si>
  <si>
    <t>Aalto University School Of Business</t>
  </si>
  <si>
    <t>Agh University Of Science And Technology Faculty Of Civil Engineering And Resource Management</t>
  </si>
  <si>
    <t>Agh University Of Science And Technology Faculty Of Mechanical Engineering And Robotics</t>
  </si>
  <si>
    <t>Amrita Vishwa Vidyapeetham Amrita School Of Engineering</t>
  </si>
  <si>
    <t>Anu College Of Science</t>
  </si>
  <si>
    <t>Australian Catholic University Discipline Of Social Work And Human Services</t>
  </si>
  <si>
    <t>Australian Catholic University Faculty Of Health Sciences</t>
  </si>
  <si>
    <t>Australian Catholic University Institute Of Child Protection Studies</t>
  </si>
  <si>
    <t>Australian Catholic University School Of Allied Health</t>
  </si>
  <si>
    <t>Australian National University College Of Health And Medicine</t>
  </si>
  <si>
    <t>Australian National University Research School Of Population Health</t>
  </si>
  <si>
    <t>Babeş Bolyai University Department Of Computer Science</t>
  </si>
  <si>
    <t>Babeş Bolyai University Faculty Of Mathematics And Computer Science</t>
  </si>
  <si>
    <t>Bloorview Research Institute</t>
  </si>
  <si>
    <t>Boston College Carroll School Of Management</t>
  </si>
  <si>
    <t>Boston University Questrom School Of Business</t>
  </si>
  <si>
    <t>Brawijaya University Department Of Information System</t>
  </si>
  <si>
    <t>Brawijaya University Faculty Of Computer Sciences</t>
  </si>
  <si>
    <t>Brunel University London Business School</t>
  </si>
  <si>
    <t>Brunel University London Health Economics Research Group</t>
  </si>
  <si>
    <t>Central European University Department Of Public Policy</t>
  </si>
  <si>
    <t>Chalmers University Of Technology Department Of Technology Management And Economics</t>
  </si>
  <si>
    <t>Clemson University College Of Agriculture Forestry And Life Sciences</t>
  </si>
  <si>
    <t>Columbia Medical Center</t>
  </si>
  <si>
    <t>Columbia University Department Of Epidemiology</t>
  </si>
  <si>
    <t>Columbia University Mailman School Of Public Health</t>
  </si>
  <si>
    <t>Curtin University Faculty Of Humanities</t>
  </si>
  <si>
    <t>Curtin University School Of Education</t>
  </si>
  <si>
    <t>Deakin Business School</t>
  </si>
  <si>
    <t>Deakin University Faculty Of Business And Law</t>
  </si>
  <si>
    <t>Dhofar University College Of Engineering</t>
  </si>
  <si>
    <t>Edith Cowan University School Of Business And Law</t>
  </si>
  <si>
    <t>Farmer School Of Business</t>
  </si>
  <si>
    <t>Gadjah Mada University Department Of Computer Sciences And Electronics</t>
  </si>
  <si>
    <t>Gadjah Mada University Faculty Of Mathematics And Natural Sciences</t>
  </si>
  <si>
    <t>Georgetown University Mcdonough School Of Business</t>
  </si>
  <si>
    <t>Grigore T Popa University Of Medicine And Pharmacy Iasi Faculty Of Medicine</t>
  </si>
  <si>
    <t>Helwan University Faculty Of Applied Arts</t>
  </si>
  <si>
    <t>Imam Abdulrahman Bin Faisal University College Of Computer Science And Information Technology</t>
  </si>
  <si>
    <t>Indiana University Of Pennsylvania College Of Humanities And Social Sciences</t>
  </si>
  <si>
    <t>Indiana University Of Pennsylvania Department Of Economics</t>
  </si>
  <si>
    <t>Johns Hopkins Bloomberg School Of Public Health</t>
  </si>
  <si>
    <t>Johns Hopkins Medicine</t>
  </si>
  <si>
    <t>Johns Hopkins Medicine Department Of Psychiatry And Behavioral Sciences</t>
  </si>
  <si>
    <t>Johns Hopkins University Department Of Health Policy And Management</t>
  </si>
  <si>
    <t>Johns Hopkins University Institute For Health And Social Policy</t>
  </si>
  <si>
    <t>Johns Hopkins University School Of Medicine</t>
  </si>
  <si>
    <t>Keele University Faculty Of Humanities And Social Science</t>
  </si>
  <si>
    <t>Keele University Keele Business School</t>
  </si>
  <si>
    <t>King Abdulaziz University Faculty Of Computing And Information Technology</t>
  </si>
  <si>
    <t>King Abdulaziz University Faculty Of Engineering</t>
  </si>
  <si>
    <t>Kore University Of Enna Faculty Of Economics And Law</t>
  </si>
  <si>
    <t>Kth Royal Institute Of Technology Department Of Computer Science</t>
  </si>
  <si>
    <t>Kth Royal Institute Of Technology Department Of Industrial Economics And Management</t>
  </si>
  <si>
    <t>Kth Royal Institute Of Technology Division Of Computational Science And Technology</t>
  </si>
  <si>
    <t>Kth Royal Institute Of Technology Division Of Theoretical Computer Science</t>
  </si>
  <si>
    <t>Kth Royal Institute Of Technology School Of Electrical Engineering And Computer Science</t>
  </si>
  <si>
    <t>Kth Royal Institute Of Technology School Of Industrial Engineering And Management</t>
  </si>
  <si>
    <t>Ku Leuven Faculty Of Economics And Business</t>
  </si>
  <si>
    <t>Ku Leuven Humanities And Social Sciences Group</t>
  </si>
  <si>
    <t>Kuwait University College Of Business Administration</t>
  </si>
  <si>
    <t>Lingnan University Department Of Economics</t>
  </si>
  <si>
    <t>Lingnan University Faculty Of Social Sciences</t>
  </si>
  <si>
    <t>Linkoping University Department Of Behavioural Sciences And Learning</t>
  </si>
  <si>
    <t>Linkoping University Department Of Management And Engineering</t>
  </si>
  <si>
    <t>Linkoping University Faculty Of Ars And Sciences</t>
  </si>
  <si>
    <t>Linkoping University Institute Of Technology</t>
  </si>
  <si>
    <t>Maastricht University Faculty Of Health Medicine And Life Sciences</t>
  </si>
  <si>
    <t>Maastricht University Medical Centre Mumc</t>
  </si>
  <si>
    <t>Maastricht University School Of Business And Economics</t>
  </si>
  <si>
    <t>Macquarie University Faculty Of Science And Engineering</t>
  </si>
  <si>
    <t>Manchester Metropolitan University Department Of Computing And Mathematics</t>
  </si>
  <si>
    <t>Manchester Metropolitan University Faculty Of Science And Engineering</t>
  </si>
  <si>
    <t>Mara University Of Technology Academy Of Language Studies</t>
  </si>
  <si>
    <t>Mara University Of Technology Centre Of Statistical And Decision Science Studies</t>
  </si>
  <si>
    <t>Mara University Of Technology Faculty Of Accountancy</t>
  </si>
  <si>
    <t>Mara University Of Technology Faculty Of Computer And Mathematical Sciences</t>
  </si>
  <si>
    <t>Mara University Of Technology Faculty Of Education</t>
  </si>
  <si>
    <t>Mara University Of Technology Faculty Of Mechanical Engineering</t>
  </si>
  <si>
    <t>Massachusetts Institute Of Technology Department Of Economics</t>
  </si>
  <si>
    <t>Massachusetts Institute Of Technology Media Lab</t>
  </si>
  <si>
    <t>Massachusetts Institute Of Technology School Of Architecture And Planning</t>
  </si>
  <si>
    <t>Massachusetts Institute Of Technology School Of Humanities Arts And Social Sciences</t>
  </si>
  <si>
    <t>Massachusetts Institute Of Technology Sloan School Of Management</t>
  </si>
  <si>
    <t>Mcgill University Department Of Political Science</t>
  </si>
  <si>
    <t>Mcgill University Faculty Of Arts</t>
  </si>
  <si>
    <t>Medical Research Center Oulu</t>
  </si>
  <si>
    <t>Medical University Of Warsaw Faculty Of Health Sciences</t>
  </si>
  <si>
    <t>Mississippi State University College Of Business</t>
  </si>
  <si>
    <t>Mkwawa University College Of Education</t>
  </si>
  <si>
    <t>Mkwawa University College Of Education Faculty Of Education</t>
  </si>
  <si>
    <t>National Institute Of Technical Teachers Training And Research Chandigarh Department Of Electrical Engineering</t>
  </si>
  <si>
    <t>National Research University Higher School Of Economics Centre For Labour Market Studies</t>
  </si>
  <si>
    <t>National Research University Higher School Of Economics School Of Sociology</t>
  </si>
  <si>
    <t>National Technical University Of Ukraine Igor Sikorsky Kyiv Polytechnic Institute Faculty Of Linguistics</t>
  </si>
  <si>
    <t>National University Of Kaohsiung College Of Management</t>
  </si>
  <si>
    <t>National University Of Kaohsiung Department Of Applied Economics</t>
  </si>
  <si>
    <t>National University Of Singapore Lee Kuan Yew School Of Public Policy</t>
  </si>
  <si>
    <t>Nc State University Department Of Business Management</t>
  </si>
  <si>
    <t>Nc State University Poole College Of Management</t>
  </si>
  <si>
    <t>Northwestern University Center For Healthcare Studies</t>
  </si>
  <si>
    <t>Northwestern University Department Of Surgery</t>
  </si>
  <si>
    <t>Northwestern University Institute For Public Health And Medicine</t>
  </si>
  <si>
    <t>Northwestern University Surgical Outcomes Quality Improvement Center</t>
  </si>
  <si>
    <t>Ohio University College Of Business</t>
  </si>
  <si>
    <t>Oklahoma State University Department Of Geography</t>
  </si>
  <si>
    <t>Oklahoma State University The College Of Arts And Sciences</t>
  </si>
  <si>
    <t>Op Jindal Global University Jindal Global Business School</t>
  </si>
  <si>
    <t>Osaka University Graduate School Of Economics School Of Economics</t>
  </si>
  <si>
    <t>Polytechnic Institute Of Coimbra Higher Institute Of Accountancy And Administration Of Coimbra</t>
  </si>
  <si>
    <t>Polytechnic Institute Of Porto Center For Organizational And Social Studies</t>
  </si>
  <si>
    <t>Polytechnic Institute Of Porto Centre For Intercultural Studies</t>
  </si>
  <si>
    <t>Polytechnic Institute Of Porto E Learning And Pedagogical Innovation Unit</t>
  </si>
  <si>
    <t>Polytechnic Institute Of Porto Higher School Of Hospitality And Tourism</t>
  </si>
  <si>
    <t>Polytechnic University Of Madrid Superior Technical School Of Mines And Energy</t>
  </si>
  <si>
    <t>Purdue University Department Of Technology Leadership And Innovation</t>
  </si>
  <si>
    <t>Purdue University Polytechnic Institute</t>
  </si>
  <si>
    <t>Rochester Institute Of Technology Saunders College Of Business</t>
  </si>
  <si>
    <t>Rutgers New Brunswick Edward J Bloustein School Of Planning And Public Policy</t>
  </si>
  <si>
    <t>Rutgers New Brunswick School Of Environmental And Biological Sciences</t>
  </si>
  <si>
    <t>Sakarya University Faculty Of Political Sciences</t>
  </si>
  <si>
    <t>Science University Of Malaysia Centre For Instructional Technology And Multimedia</t>
  </si>
  <si>
    <t>Shahid Beheshti University Faculty Of Management And Accounting</t>
  </si>
  <si>
    <t>Simon Fraser University Department Of Sociology And Anthropology</t>
  </si>
  <si>
    <t>Simon Fraser University Faculty Of Arts And Social Sciences</t>
  </si>
  <si>
    <t>Southern University And A M College College Of Business</t>
  </si>
  <si>
    <t>Stanford Medicine</t>
  </si>
  <si>
    <t>Stanford University Department Of Surgery</t>
  </si>
  <si>
    <t>Stanford University School Of Medicine</t>
  </si>
  <si>
    <t>State Key Laboratory Of Software Engineering</t>
  </si>
  <si>
    <t>Sultan Idris Education University Faculty Of Technical And Vocational Education</t>
  </si>
  <si>
    <t>Tata Institute Of Social Sciences Sir Dorabji Tata Memorial Library</t>
  </si>
  <si>
    <t>Taylor S University Faculty Of Business And Law</t>
  </si>
  <si>
    <t>Taylor S University Taylor S Business School</t>
  </si>
  <si>
    <t>Technological And Higher Education Institute Of Monterrey School Engineering And Sciences</t>
  </si>
  <si>
    <t>Thammasat University Faculty Of Commerce And Accountancy</t>
  </si>
  <si>
    <t>The Chinese University Of Hong Kong Department Of Economics</t>
  </si>
  <si>
    <t>The Chinese University Of Hong Kong Faculty Of Social Sciences</t>
  </si>
  <si>
    <t>The Hang Seng University Of Hong Kong Department Of Accountancy</t>
  </si>
  <si>
    <t>The Hang Seng University Of Hong Kong School Of Business</t>
  </si>
  <si>
    <t>The Hong Kong University Of Science And Technology Division Of Public Policy</t>
  </si>
  <si>
    <t>The Hong Kong University Of Science And Technology Division Of Social Science</t>
  </si>
  <si>
    <t>The Hong Kong University Of Science And Technology Interdisciplinary Programs Office</t>
  </si>
  <si>
    <t>The Hong Kong University Of Science And Technology School Of Humanities And Social Science</t>
  </si>
  <si>
    <t>The Hospital For Sick Children Paediatric Emergency Medicine</t>
  </si>
  <si>
    <t>The London School Of Economics And Political Science Department Of Management</t>
  </si>
  <si>
    <t>The London School Of Economics And Political Science European Institute</t>
  </si>
  <si>
    <t>The Ohio State University College Of Arts And Sciences</t>
  </si>
  <si>
    <t>The Ohio State University Department Of Sociology</t>
  </si>
  <si>
    <t>The Pennsylvania State University College Of Information Sciences And Technology</t>
  </si>
  <si>
    <t>The University Of Adelaide Faculty Of Health And Medical Sciences</t>
  </si>
  <si>
    <t>The University Of Adelaide School Of Public Health</t>
  </si>
  <si>
    <t>The University Of British Columbia Department Of Sociology</t>
  </si>
  <si>
    <t>The University Of British Columbia Department Of Wood Science</t>
  </si>
  <si>
    <t>The University Of British Columbia Faculty Of Arts</t>
  </si>
  <si>
    <t>The University Of British Columbia Faculty Of Forestry</t>
  </si>
  <si>
    <t>The University Of British Columbia Faculty Of Medicine</t>
  </si>
  <si>
    <t>The University Of Melbourne Centre For Youth Mental Health</t>
  </si>
  <si>
    <t>The University Of Melbourne Department Of Economics</t>
  </si>
  <si>
    <t>The University Of Melbourne Melbourne Institute</t>
  </si>
  <si>
    <t>The University Of Melbourne Nossal Institute For Global Health</t>
  </si>
  <si>
    <t>The University Of Melbourne School Of Population And Global Health</t>
  </si>
  <si>
    <t>The University Of North Carolina At Chapel Hill Carolina Population Center</t>
  </si>
  <si>
    <t>The University Of North Carolina At Chapel Hill Department Of City And Regional Planning</t>
  </si>
  <si>
    <t>The University Of Oklahoma College Of Arts And Sciences</t>
  </si>
  <si>
    <t>The University Of Oklahoma Department Of Biology</t>
  </si>
  <si>
    <t>The University Of Sydney Business School</t>
  </si>
  <si>
    <t>The University Of Texas At Tyler Soules College Of Business</t>
  </si>
  <si>
    <t>The Wharton School</t>
  </si>
  <si>
    <t>Tianjin University School Of Education</t>
  </si>
  <si>
    <t>Tilburg University Department Of Sociology</t>
  </si>
  <si>
    <t>Tilburg University Tilburg School Of Social And Behavioral Sciences</t>
  </si>
  <si>
    <t>Tilburg University Tranzo Scientific Centre For Care And Welfare</t>
  </si>
  <si>
    <t>Toronto Metropolitan University Ted Rogers School Of Management</t>
  </si>
  <si>
    <t>Trinity College Dublin Department Of Economics</t>
  </si>
  <si>
    <t>Trinity College Dublin School Of Social Sciences And Philosophy</t>
  </si>
  <si>
    <t>Unc Greensboro College Of Arts And Sciences</t>
  </si>
  <si>
    <t>Unc Greensboro Department Of Political Science</t>
  </si>
  <si>
    <t>Universiti Brunei Darussalam School Of Business And Economics</t>
  </si>
  <si>
    <t>Universiti Kebangsaan Malaysia Faculty Of Information Science And Technology</t>
  </si>
  <si>
    <t>Universiti Tun Hussein Onn Malaysia Faculty Of Engineering Technology</t>
  </si>
  <si>
    <t>University Carlos Iii Of Madrid Department Of Business Administration</t>
  </si>
  <si>
    <t>University Of Amsterdam Amsterdam School Of Communications Research</t>
  </si>
  <si>
    <t>University Of Amsterdam Department Of Communication Sciences</t>
  </si>
  <si>
    <t>University Of Amsterdam Department Of Economics</t>
  </si>
  <si>
    <t>University Of Amsterdam Faculty Of Economics And Business</t>
  </si>
  <si>
    <t>University Of Amsterdam Faculty Of Social And Behavioural Sciences</t>
  </si>
  <si>
    <t>University Of Calabria Department Of Mathematics And Computer Science</t>
  </si>
  <si>
    <t>University Of Calabria Department Of Mechanical Engineering Energy Engineering And Management Engineering</t>
  </si>
  <si>
    <t>University Of Calgary Cumming School Of Medicine</t>
  </si>
  <si>
    <t>University Of Calgary Faculty Of Social Work</t>
  </si>
  <si>
    <t>University Of California Berkeley College Of Letters And Science</t>
  </si>
  <si>
    <t>University Of California Berkeley Department Of Mathematics</t>
  </si>
  <si>
    <t>University Of California Berkeley Division Of Mathematical And Physical Sciences</t>
  </si>
  <si>
    <t>University Of California Davis College Of Agricultural And Environmental Sciences</t>
  </si>
  <si>
    <t>University Of California Davis Department Of Animal Science</t>
  </si>
  <si>
    <t>University Of California Davis Department Of Environmental Science And Policy</t>
  </si>
  <si>
    <t>University Of California San Diego Department Of Computer Science And Engineering</t>
  </si>
  <si>
    <t>University Of California San Diego Jacobs School Of Engineering</t>
  </si>
  <si>
    <t>University Of California San Francisco Department Of Surgery</t>
  </si>
  <si>
    <t>University Of California San Francisco School Of Medicine</t>
  </si>
  <si>
    <t>University Of Carthage Faculty Of Economics And Management Of Nabeul</t>
  </si>
  <si>
    <t>University Of Central Florida Rosen College Of Hospitality Management</t>
  </si>
  <si>
    <t>University Of Chicago Department Of Sociology</t>
  </si>
  <si>
    <t>University Of Coimbra Centre For Business And Economics Research</t>
  </si>
  <si>
    <t>University Of Coimbra Faculty Of Economics</t>
  </si>
  <si>
    <t>University Of Colombo Department Of Economics</t>
  </si>
  <si>
    <t>University Of Colombo Faculty Of Arts</t>
  </si>
  <si>
    <t>University Of Craiova Faculty Of Economics And Business Administration</t>
  </si>
  <si>
    <t>University Of Electronic Science And Technology Of China Center For West African Studies</t>
  </si>
  <si>
    <t>University Of Electronic Science And Technology Of China School Of Economics And Management</t>
  </si>
  <si>
    <t>University Of Electronic Science And Technology Of China School Of Electronic Science And Engineering</t>
  </si>
  <si>
    <t>University Of Electronic Science And Technology Of China School Of Public Affairs And Administration</t>
  </si>
  <si>
    <t>University Of Engineering And Technology Faculty Of Economics And Management Sciences</t>
  </si>
  <si>
    <t>University Of Essex Institute For Social And Economic Research</t>
  </si>
  <si>
    <t>University Of Glasgow College Of Science And Engineering</t>
  </si>
  <si>
    <t>University Of Glasgow James Watt School Of Engineering</t>
  </si>
  <si>
    <t>University Of Guelph College Of Management And Economics</t>
  </si>
  <si>
    <t>University Of Guelph Department Of Population Medicine</t>
  </si>
  <si>
    <t>University Of Guelph Ontario Veterinary College</t>
  </si>
  <si>
    <t>University Of Hail College Of Engineering</t>
  </si>
  <si>
    <t>University Of Hamburg Department Of Economics</t>
  </si>
  <si>
    <t>University Of Hamburg Faculty Of Business Economics And Social Sciences</t>
  </si>
  <si>
    <t>University Of Helsinki Helsinki Institute Of Life Sciences</t>
  </si>
  <si>
    <t>University Of Helsinki Institute For Molecular Medicine Finland</t>
  </si>
  <si>
    <t>University Of Houston College Of Liberal Arts And Social Sciences</t>
  </si>
  <si>
    <t>University Of Houston Department Of Economics</t>
  </si>
  <si>
    <t>University Of Kelaniya Faculty Of Commerce And Management Studies</t>
  </si>
  <si>
    <t>University Of Kent Kent Business School</t>
  </si>
  <si>
    <t>University Of La Sabana Inalde Business School</t>
  </si>
  <si>
    <t>University Of Lisbon Faculty Of Psychology</t>
  </si>
  <si>
    <t>University Of Lisbon Research Centre For Psychological Science</t>
  </si>
  <si>
    <t>University Of Ljubljana School Of Economics And Business</t>
  </si>
  <si>
    <t>University Of Miami College Of Arts And Sciences</t>
  </si>
  <si>
    <t>University Of Miami Department Of Sociology And Criminology</t>
  </si>
  <si>
    <t>University Of Michigan College Of Literature Science And The Arts</t>
  </si>
  <si>
    <t>University Of Michigan Department Of Economics</t>
  </si>
  <si>
    <t>University Of Michigan School Of Information</t>
  </si>
  <si>
    <t>University Of Minho Centre For Textile Science And Technology</t>
  </si>
  <si>
    <t>University Of Minho Communication And Society Research Centre</t>
  </si>
  <si>
    <t>University Of Minho Department Of Communication Sciences</t>
  </si>
  <si>
    <t>University Of Minho Department Of Textile Engineering</t>
  </si>
  <si>
    <t>University Of Minho Institute Of Social Sciences</t>
  </si>
  <si>
    <t>University Of Minnesota Twin Cities Department Of Surgery</t>
  </si>
  <si>
    <t>University Of Minnesota Twin Cities Division Of Cardiothoracic Surgery</t>
  </si>
  <si>
    <t>University Of Minnesota Twin Cities School Of Medicine</t>
  </si>
  <si>
    <t>University Of Modena And Reggio Emilia Department Of Biomedical Metabolic And Neural Sciences</t>
  </si>
  <si>
    <t>University Of Modena And Reggio Emilia Faculty Of Medicine And Surgery</t>
  </si>
  <si>
    <t>University Of Naples Parthenope Department Of Engineering</t>
  </si>
  <si>
    <t>University Of Ottawa Telfer School Of Management</t>
  </si>
  <si>
    <t>University Of Palermo Department Of Agricultural And Forestry Sciences</t>
  </si>
  <si>
    <t>University Of Pennsylvania School Of Social Policy And Practice</t>
  </si>
  <si>
    <t>University Of Pisa Department Of Civil And Industrial Engineering</t>
  </si>
  <si>
    <t>University Of Pisa Department Of Energy Systems Of Land And Buildings Engineering</t>
  </si>
  <si>
    <t>University Of Pisa School Of Engineering</t>
  </si>
  <si>
    <t>University Of Pittsburgh Department Of Cardiothoracic Surgery</t>
  </si>
  <si>
    <t>University Of Pittsburgh School Of Medicine</t>
  </si>
  <si>
    <t>University Of Pittsburgh Schools Of The Health Sciences</t>
  </si>
  <si>
    <t>University Of Pretoria Department Of Information Science</t>
  </si>
  <si>
    <t>University Of Pretoria Faculty Of Engineering Built Environment And It</t>
  </si>
  <si>
    <t>University Of Pretoria School Of Information Technology</t>
  </si>
  <si>
    <t>University Of Reggio Calabria Department Of Computer Infrastructure And Sustainable Energy Engineering</t>
  </si>
  <si>
    <t>University Of Rome La Sapienza Department Of Psychology</t>
  </si>
  <si>
    <t>University Of Rome La Sapienza Faculty Of Medicine And Psychology</t>
  </si>
  <si>
    <t>University Of Salerno Department Of Business Sciences Management Innovation Systems</t>
  </si>
  <si>
    <t>University Of Salerno Department Of Humanities Philosophy And Education</t>
  </si>
  <si>
    <t>University Of South Africa College Of Science Engineering And Technology</t>
  </si>
  <si>
    <t>University Of Ss Cyril And Methodius In Trnava Faculty Of Mass Media Communication</t>
  </si>
  <si>
    <t>University Of Technology Malaysia Azman Hashim International Business School</t>
  </si>
  <si>
    <t>University Of Technology Malaysia Department Of Educational Foundation And Social Sciences</t>
  </si>
  <si>
    <t>University Of Technology Malaysia Department Of Technical And Engineering Education</t>
  </si>
  <si>
    <t>University Of Technology Malaysia Faculty Of Built Environment And Surveying</t>
  </si>
  <si>
    <t>University Of Technology Malaysia Faculty Of Social Sciences And Humanities</t>
  </si>
  <si>
    <t>University Of Technology Malaysia School Of Education</t>
  </si>
  <si>
    <t>University Of Tehran Faculty Of Social Sciences</t>
  </si>
  <si>
    <t>University Of The Peloponnese Department Of Electrical And Computer Engineering</t>
  </si>
  <si>
    <t>University Of The Punjab Department Of Economics</t>
  </si>
  <si>
    <t>University Of Toronto Dalla Lana School Of Public Health</t>
  </si>
  <si>
    <t>University Of Toronto Department Of Mathematics</t>
  </si>
  <si>
    <t>University Of Toronto Faculty Of Arts Science</t>
  </si>
  <si>
    <t>University Of Tras Os Montes And Alto Douro Centre For Transdisciplinary Development Studies</t>
  </si>
  <si>
    <t>University Of Tras Os Montes And Alto Douro Department Of Economics Sociology And Management</t>
  </si>
  <si>
    <t>University Of Turin Department Of Culture Politics And Society</t>
  </si>
  <si>
    <t>University Of Turin School Of Law Politics And Social Economics</t>
  </si>
  <si>
    <t>University Of Verona Department Of Human Sciences</t>
  </si>
  <si>
    <t>University Of Washington Department Of Surgery</t>
  </si>
  <si>
    <t>University Of Washington Division Of Cardiothoracic Surgery</t>
  </si>
  <si>
    <t>University Of Washington School Of Medicine</t>
  </si>
  <si>
    <t>University Of Westminster Business School</t>
  </si>
  <si>
    <t>University Of Wisconsin Madison Center For Demography And Ecology</t>
  </si>
  <si>
    <t>University Of Wisconsin Madison College Of Letters And Science</t>
  </si>
  <si>
    <t>University Of Wisconsin Madison Department Of Sociology</t>
  </si>
  <si>
    <t>University Of Wisconsin Madison Institute For Research On Poverty</t>
  </si>
  <si>
    <t>University Of Wisconsin Milwaukee School Of Information Studies</t>
  </si>
  <si>
    <t>University Of Zagreb Faculty Of Civil Engineering</t>
  </si>
  <si>
    <t>University Of Zagreb Faculty Of Organisation And Informatics Varaždin</t>
  </si>
  <si>
    <t>Uw Medicine</t>
  </si>
  <si>
    <t>Vu Amsterdam Department Of Economics</t>
  </si>
  <si>
    <t>Vu Amsterdam Faculty Of Sciences</t>
  </si>
  <si>
    <t>Vu Amsterdam School Of Business And Economics</t>
  </si>
  <si>
    <t>Vu University Amsterdam Institute For Environmental Studies</t>
  </si>
  <si>
    <t>Warsaw University Of Life Sciences Management Institute</t>
  </si>
  <si>
    <t>Waseda University Faculty Of Sport Sciences</t>
  </si>
  <si>
    <t>Washington State University College Of Arts And Sciences</t>
  </si>
  <si>
    <t>Washington State University Department Of Sociology</t>
  </si>
  <si>
    <t>Western Greece University Of Applied Sciences Tei Of Western Greece</t>
  </si>
  <si>
    <t>Western University Department Of Sociology</t>
  </si>
  <si>
    <t>Western University Faculty Of Social Science</t>
  </si>
  <si>
    <t>Western University Ivey Business School</t>
  </si>
  <si>
    <t>Wuhan University Faculty Of Information Sciences</t>
  </si>
  <si>
    <t>Wuhan University School Of Computer Science</t>
  </si>
  <si>
    <t>Youngstown State University Williamson College Of Business Administration</t>
  </si>
  <si>
    <t>Óbuda University Kálmán Kandó Faculty Of Electrical Engineering</t>
  </si>
  <si>
    <t>426 record(s) (68.379%) do not contain data in the field being analyzed</t>
  </si>
  <si>
    <t>No. paper</t>
  </si>
  <si>
    <t>Caratozzolo P</t>
  </si>
  <si>
    <t>Azofeifa JD</t>
  </si>
  <si>
    <t>Bonesso S</t>
  </si>
  <si>
    <t>Gerli F</t>
  </si>
  <si>
    <t>Javed F</t>
  </si>
  <si>
    <t>Mcnair M</t>
  </si>
  <si>
    <t>Bruni E</t>
  </si>
  <si>
    <t>Callea V</t>
  </si>
  <si>
    <t>Chan CM</t>
  </si>
  <si>
    <t>Ciampi MM</t>
  </si>
  <si>
    <t>Dias D</t>
  </si>
  <si>
    <t>Finch DJ</t>
  </si>
  <si>
    <t>Hindi N</t>
  </si>
  <si>
    <t>Osmani M</t>
  </si>
  <si>
    <t>Rueda-castro V</t>
  </si>
  <si>
    <t>Soares D</t>
  </si>
  <si>
    <t>Tempone R</t>
  </si>
  <si>
    <t>Ternikov AA</t>
  </si>
  <si>
    <t>Ursache M</t>
  </si>
  <si>
    <t>Vasconcelos R</t>
  </si>
  <si>
    <t>Weerakkody V</t>
  </si>
  <si>
    <t>Al-esmail R</t>
  </si>
  <si>
    <t>Alam MJ</t>
  </si>
  <si>
    <t>Amaral L</t>
  </si>
  <si>
    <t>Backes-gellner U</t>
  </si>
  <si>
    <t>Balaji J</t>
  </si>
  <si>
    <t>Balcar J</t>
  </si>
  <si>
    <t>Bercovici A</t>
  </si>
  <si>
    <t>Bertuzi R</t>
  </si>
  <si>
    <t>Bezerra KR</t>
  </si>
  <si>
    <t>Branca TA</t>
  </si>
  <si>
    <t>Brink R</t>
  </si>
  <si>
    <t>Brito CD</t>
  </si>
  <si>
    <t>Butum LC</t>
  </si>
  <si>
    <t>Cabrales A</t>
  </si>
  <si>
    <t>Caggiano V</t>
  </si>
  <si>
    <t>Camasso MJ</t>
  </si>
  <si>
    <t>Catelly YM</t>
  </si>
  <si>
    <t>Cezarino LO</t>
  </si>
  <si>
    <t>Chen JY</t>
  </si>
  <si>
    <t>Chiarotto I</t>
  </si>
  <si>
    <t>Colla V</t>
  </si>
  <si>
    <t>Da Rocha-pinto SR</t>
  </si>
  <si>
    <t>Eldabi T</t>
  </si>
  <si>
    <t>Fornai B</t>
  </si>
  <si>
    <t>Gonzalez-gomez LJ</t>
  </si>
  <si>
    <t>Hasan A</t>
  </si>
  <si>
    <t>Heckman JJ</t>
  </si>
  <si>
    <t>Hoang P</t>
  </si>
  <si>
    <t>Hora MT</t>
  </si>
  <si>
    <t>Idrus H</t>
  </si>
  <si>
    <t>Ifatunji MA</t>
  </si>
  <si>
    <t>Jagannathan R</t>
  </si>
  <si>
    <t>Lara-prieto V</t>
  </si>
  <si>
    <t>Levallet N</t>
  </si>
  <si>
    <t>Liboni LB</t>
  </si>
  <si>
    <t>Mahoney T</t>
  </si>
  <si>
    <t>Mareque M</t>
  </si>
  <si>
    <t>Matrisciano A</t>
  </si>
  <si>
    <t>Mcguinness S</t>
  </si>
  <si>
    <t>Mesquita A</t>
  </si>
  <si>
    <t>Membrillo-hernández J</t>
  </si>
  <si>
    <t>Noguez J</t>
  </si>
  <si>
    <t>Ogawa K</t>
  </si>
  <si>
    <t>Payan-carreira R</t>
  </si>
  <si>
    <t>Peres P</t>
  </si>
  <si>
    <t>Rasul MS</t>
  </si>
  <si>
    <t>Rebelo H</t>
  </si>
  <si>
    <t>Roscigno VJ</t>
  </si>
  <si>
    <t>Scerri S</t>
  </si>
  <si>
    <t>Shamsuddin A</t>
  </si>
  <si>
    <t>Sholina I</t>
  </si>
  <si>
    <t>Sibarani EM</t>
  </si>
  <si>
    <t>Silva P</t>
  </si>
  <si>
    <t>Silva R</t>
  </si>
  <si>
    <t>Stal J</t>
  </si>
  <si>
    <t>Suratkon A</t>
  </si>
  <si>
    <t>Ternikov A</t>
  </si>
  <si>
    <t>Turner JJ</t>
  </si>
  <si>
    <t>Tzimas G</t>
  </si>
  <si>
    <t>Yasin RM</t>
  </si>
  <si>
    <t>Zervas P</t>
  </si>
  <si>
    <t>Zhang J</t>
  </si>
  <si>
    <t>Zhao M</t>
  </si>
  <si>
    <t>Zueva I</t>
  </si>
  <si>
    <t>Ab Rahman A</t>
  </si>
  <si>
    <t>Ababtain J</t>
  </si>
  <si>
    <t>Abayadeera N</t>
  </si>
  <si>
    <t>Abd Halim KE</t>
  </si>
  <si>
    <t>Abd Kadir NA</t>
  </si>
  <si>
    <t>Abd Karim R</t>
  </si>
  <si>
    <t>Abd Rahim RA</t>
  </si>
  <si>
    <t>Abd Rauf RA</t>
  </si>
  <si>
    <t>Abdelsalam S</t>
  </si>
  <si>
    <t>Abdelwahed NAA</t>
  </si>
  <si>
    <t>Abdullah NH</t>
  </si>
  <si>
    <t>Abidin N</t>
  </si>
  <si>
    <t>Abraham KG</t>
  </si>
  <si>
    <t>Abu Zarin H</t>
  </si>
  <si>
    <t>Abubakre AO</t>
  </si>
  <si>
    <t>Abujbara NK</t>
  </si>
  <si>
    <t>Acevedo MC</t>
  </si>
  <si>
    <t>Acevedo P</t>
  </si>
  <si>
    <t>Achcaoucaou F</t>
  </si>
  <si>
    <t>Adamova M</t>
  </si>
  <si>
    <t>Adams T</t>
  </si>
  <si>
    <t>Adhvaryu A</t>
  </si>
  <si>
    <t>Adnan AHM</t>
  </si>
  <si>
    <t>Afiahayati</t>
  </si>
  <si>
    <t>Aggarwal A</t>
  </si>
  <si>
    <t>Aggarwal V</t>
  </si>
  <si>
    <t>Agostini E</t>
  </si>
  <si>
    <t>Agudo-peregrina AF</t>
  </si>
  <si>
    <t>Ahmad A</t>
  </si>
  <si>
    <t>Ahmad K</t>
  </si>
  <si>
    <t>Ahn TY</t>
  </si>
  <si>
    <t>Ahsan AM</t>
  </si>
  <si>
    <t>Aichouni M</t>
  </si>
  <si>
    <t>Ajana S</t>
  </si>
  <si>
    <t>Akhtar K</t>
  </si>
  <si>
    <t>Al Said N</t>
  </si>
  <si>
    <t>Al Vengidason S</t>
  </si>
  <si>
    <t>Al-mejren A</t>
  </si>
  <si>
    <t>Al-rawashdeh BZ</t>
  </si>
  <si>
    <t>Alaedini P</t>
  </si>
  <si>
    <t>Alao A</t>
  </si>
  <si>
    <t>Alasmari T</t>
  </si>
  <si>
    <t>Alcid A</t>
  </si>
  <si>
    <t>Alcindo JF</t>
  </si>
  <si>
    <t>Aleksandrova EA</t>
  </si>
  <si>
    <t>Alekseeva YA</t>
  </si>
  <si>
    <t>Alfaro-pozo R</t>
  </si>
  <si>
    <t>Alghamdi R</t>
  </si>
  <si>
    <t>Aljohani NR</t>
  </si>
  <si>
    <t>Aljunaid R</t>
  </si>
  <si>
    <t>Almeida LS</t>
  </si>
  <si>
    <t>Alonso A</t>
  </si>
  <si>
    <t>Alonso AMC</t>
  </si>
  <si>
    <t>Alonso MAP</t>
  </si>
  <si>
    <t>Alonso RG</t>
  </si>
  <si>
    <t>Alseidi A</t>
  </si>
  <si>
    <t>Alshammari AEA</t>
  </si>
  <si>
    <t>Alshammari S</t>
  </si>
  <si>
    <t>Altomari L</t>
  </si>
  <si>
    <t>Altomari N</t>
  </si>
  <si>
    <t>Alves AC</t>
  </si>
  <si>
    <t>Alves JL</t>
  </si>
  <si>
    <t>Alyan N</t>
  </si>
  <si>
    <t>Amadi A</t>
  </si>
  <si>
    <t>Aman M</t>
  </si>
  <si>
    <t>Amante S</t>
  </si>
  <si>
    <t>Amarshi A</t>
  </si>
  <si>
    <t>Amashta GPP</t>
  </si>
  <si>
    <t>Amidjono DS</t>
  </si>
  <si>
    <t>Amin C</t>
  </si>
  <si>
    <t>Amirnuddin PS</t>
  </si>
  <si>
    <t>Ammar A</t>
  </si>
  <si>
    <t>Amora SSA</t>
  </si>
  <si>
    <t>Amorim TNGF</t>
  </si>
  <si>
    <t>Amritha N</t>
  </si>
  <si>
    <t>Andalib E</t>
  </si>
  <si>
    <t>Andonovikj V</t>
  </si>
  <si>
    <t>Andriopoulou E</t>
  </si>
  <si>
    <t>Angeli L</t>
  </si>
  <si>
    <t>Angelin K</t>
  </si>
  <si>
    <t>Ansari F</t>
  </si>
  <si>
    <t>Anshari M</t>
  </si>
  <si>
    <t>Antonenko I</t>
  </si>
  <si>
    <t>Antonovici CG</t>
  </si>
  <si>
    <t>Apalat H</t>
  </si>
  <si>
    <t>Arandarenko M</t>
  </si>
  <si>
    <t>Ardelian O</t>
  </si>
  <si>
    <t>Arefiev V</t>
  </si>
  <si>
    <t>Ariffian BA</t>
  </si>
  <si>
    <t>Artemenko M</t>
  </si>
  <si>
    <t>Aruleba K</t>
  </si>
  <si>
    <t>Asante IO</t>
  </si>
  <si>
    <t>Ashari ZHM</t>
  </si>
  <si>
    <t>Aslam A</t>
  </si>
  <si>
    <t>Atala A</t>
  </si>
  <si>
    <t>Athanasoula-reppa A</t>
  </si>
  <si>
    <t>Atlamaz TA</t>
  </si>
  <si>
    <t>Auguste D</t>
  </si>
  <si>
    <t>Augustin E</t>
  </si>
  <si>
    <t>Avila MJL</t>
  </si>
  <si>
    <t>Avram LG</t>
  </si>
  <si>
    <t>Ayas HM</t>
  </si>
  <si>
    <t>Aydogdu CC</t>
  </si>
  <si>
    <t>Azarova LV</t>
  </si>
  <si>
    <t>Aziz IGA</t>
  </si>
  <si>
    <t>Alcántara DH</t>
  </si>
  <si>
    <t>Amado-sánchez Y</t>
  </si>
  <si>
    <t>Antón-sancho A</t>
  </si>
  <si>
    <t>Araújo E</t>
  </si>
  <si>
    <t>Babbilid AS</t>
  </si>
  <si>
    <t>Babicky M</t>
  </si>
  <si>
    <t>Bacot H</t>
  </si>
  <si>
    <t>Bagrecha MS</t>
  </si>
  <si>
    <t>Baker F</t>
  </si>
  <si>
    <t>Baker R</t>
  </si>
  <si>
    <t>Baki A</t>
  </si>
  <si>
    <t>Bakkali S</t>
  </si>
  <si>
    <t>Balaji SJ</t>
  </si>
  <si>
    <t>Baldwin R</t>
  </si>
  <si>
    <t>Baliasov A</t>
  </si>
  <si>
    <t>Ball A</t>
  </si>
  <si>
    <t>Ballarin M</t>
  </si>
  <si>
    <t>Banerjee R</t>
  </si>
  <si>
    <t>Banks CG</t>
  </si>
  <si>
    <t>Bannikova L</t>
  </si>
  <si>
    <t>Bano S</t>
  </si>
  <si>
    <t>Barbare I</t>
  </si>
  <si>
    <t>Barenie RE</t>
  </si>
  <si>
    <t>Barhoumi E</t>
  </si>
  <si>
    <t>Barja PR</t>
  </si>
  <si>
    <t>Barlik J</t>
  </si>
  <si>
    <t>Barrera-osorio F</t>
  </si>
  <si>
    <t>Barreto BP</t>
  </si>
  <si>
    <t>Barreto R</t>
  </si>
  <si>
    <t>Barrio BL</t>
  </si>
  <si>
    <t>Barron T</t>
  </si>
  <si>
    <t>Barros VFA</t>
  </si>
  <si>
    <t>Bartek J</t>
  </si>
  <si>
    <t>Bartlett W</t>
  </si>
  <si>
    <t>Bartolovic V</t>
  </si>
  <si>
    <t>Bartonickova K</t>
  </si>
  <si>
    <t>Basilio PCD</t>
  </si>
  <si>
    <t>Batista MP</t>
  </si>
  <si>
    <t>Batita MSR</t>
  </si>
  <si>
    <t>Batool M</t>
  </si>
  <si>
    <t>Batruch A</t>
  </si>
  <si>
    <t>Baumann M</t>
  </si>
  <si>
    <t>Bautista-valhondo J</t>
  </si>
  <si>
    <t>Baytiyeh H</t>
  </si>
  <si>
    <t>Bazhmina E</t>
  </si>
  <si>
    <t>Bcinki EB</t>
  </si>
  <si>
    <t>Beblavy M</t>
  </si>
  <si>
    <t>Behrens K</t>
  </si>
  <si>
    <t>Bejinaru R</t>
  </si>
  <si>
    <t>Beland D</t>
  </si>
  <si>
    <t>Bellezza A</t>
  </si>
  <si>
    <t>Benamati J</t>
  </si>
  <si>
    <t>Benbow RJ</t>
  </si>
  <si>
    <t>Benchaaboune K</t>
  </si>
  <si>
    <t>Benchoufi M</t>
  </si>
  <si>
    <t>Bennadi D</t>
  </si>
  <si>
    <t>Benos L</t>
  </si>
  <si>
    <t>Bentaha ML</t>
  </si>
  <si>
    <t>Bercovici EG</t>
  </si>
  <si>
    <t>Berendt B</t>
  </si>
  <si>
    <t>Berfield K</t>
  </si>
  <si>
    <t>Berkovic V</t>
  </si>
  <si>
    <t>Bernardo AB</t>
  </si>
  <si>
    <t>Bernardo M</t>
  </si>
  <si>
    <t>Bernier C</t>
  </si>
  <si>
    <t>Berruto R</t>
  </si>
  <si>
    <t>Bertolini S</t>
  </si>
  <si>
    <t>Beseda J</t>
  </si>
  <si>
    <t>Beuren IM</t>
  </si>
  <si>
    <t>Bhavani RR</t>
  </si>
  <si>
    <t>Bianco V</t>
  </si>
  <si>
    <t>Biegert T</t>
  </si>
  <si>
    <t>Bikfalvi A</t>
  </si>
  <si>
    <t>Bin Islam SR</t>
  </si>
  <si>
    <t>Binda A</t>
  </si>
  <si>
    <t>Birau R</t>
  </si>
  <si>
    <t>Bishnoi MM</t>
  </si>
  <si>
    <t>Blickley JL</t>
  </si>
  <si>
    <t>Boadi EA</t>
  </si>
  <si>
    <t>Bochtis D</t>
  </si>
  <si>
    <t>Bogdan ES</t>
  </si>
  <si>
    <t>Bogdanova A</t>
  </si>
  <si>
    <t>Bokshyts O</t>
  </si>
  <si>
    <t>Boldovskaya TE</t>
  </si>
  <si>
    <t>Bonaccio S</t>
  </si>
  <si>
    <t>Bondarenko O</t>
  </si>
  <si>
    <t>Bone C</t>
  </si>
  <si>
    <t>Bonnet F</t>
  </si>
  <si>
    <t>Borges CD</t>
  </si>
  <si>
    <t>Borja A</t>
  </si>
  <si>
    <t>Borkovska I</t>
  </si>
  <si>
    <t>Borland J</t>
  </si>
  <si>
    <t>Borms L</t>
  </si>
  <si>
    <t>Borodiyenko O</t>
  </si>
  <si>
    <t>Boronina L</t>
  </si>
  <si>
    <t>Borsellino V</t>
  </si>
  <si>
    <t>Boshkoska BM</t>
  </si>
  <si>
    <t>Boskoski P</t>
  </si>
  <si>
    <t>Bostock S</t>
  </si>
  <si>
    <t>Bouet M</t>
  </si>
  <si>
    <t>Bovan A</t>
  </si>
  <si>
    <t>Bozic N</t>
  </si>
  <si>
    <t>Braga ABR</t>
  </si>
  <si>
    <t>Braga JFV</t>
  </si>
  <si>
    <t>Braga V</t>
  </si>
  <si>
    <t>Brakamonte NM</t>
  </si>
  <si>
    <t>Brante G</t>
  </si>
  <si>
    <t>Braybrook J</t>
  </si>
  <si>
    <t>Bremer KF</t>
  </si>
  <si>
    <t>Bressan M</t>
  </si>
  <si>
    <t>Bressoux P</t>
  </si>
  <si>
    <t>Briand C</t>
  </si>
  <si>
    <t>Briggs H</t>
  </si>
  <si>
    <t>Brinia V</t>
  </si>
  <si>
    <t>Britto J</t>
  </si>
  <si>
    <t>Brown AM</t>
  </si>
  <si>
    <t>Brown G</t>
  </si>
  <si>
    <t>Brudevold-newman A</t>
  </si>
  <si>
    <t>Brushe M</t>
  </si>
  <si>
    <t>Bruska A</t>
  </si>
  <si>
    <t>Brzychczy E</t>
  </si>
  <si>
    <t>Budenkova VE</t>
  </si>
  <si>
    <t>Budnyk A</t>
  </si>
  <si>
    <t>Bukhteeva E</t>
  </si>
  <si>
    <t>Bukowska U</t>
  </si>
  <si>
    <t>Bulatbayeva K</t>
  </si>
  <si>
    <t>Bulte E</t>
  </si>
  <si>
    <t>Buntat Y</t>
  </si>
  <si>
    <t>Burchak L</t>
  </si>
  <si>
    <t>Burda Y</t>
  </si>
  <si>
    <t>Burga R</t>
  </si>
  <si>
    <t>Burgos D</t>
  </si>
  <si>
    <t>Burgos-vera O</t>
  </si>
  <si>
    <t>Burk H</t>
  </si>
  <si>
    <t>Burkholder G</t>
  </si>
  <si>
    <t>Bustreo M</t>
  </si>
  <si>
    <t>Butera F</t>
  </si>
  <si>
    <t>Butterworth P</t>
  </si>
  <si>
    <t>Byron RA</t>
  </si>
  <si>
    <t>Bannò M</t>
  </si>
  <si>
    <t>Bengü E</t>
  </si>
  <si>
    <t>Bouzón R</t>
  </si>
  <si>
    <t>Bälter O</t>
  </si>
  <si>
    <t>Bérces E</t>
  </si>
  <si>
    <t>Börner K</t>
  </si>
  <si>
    <t>Böttcher A</t>
  </si>
  <si>
    <t>Bültmann U</t>
  </si>
  <si>
    <t>Cacciolatti L</t>
  </si>
  <si>
    <t>Calin A</t>
  </si>
  <si>
    <t>Campbell A</t>
  </si>
  <si>
    <t>Campbell TA</t>
  </si>
  <si>
    <t>Campello M</t>
  </si>
  <si>
    <t>Cantoral EM</t>
  </si>
  <si>
    <t>Cappelli PH</t>
  </si>
  <si>
    <t>Caraman D</t>
  </si>
  <si>
    <t>Carbonel PG</t>
  </si>
  <si>
    <t>Cardona-cano R</t>
  </si>
  <si>
    <t>Carley KM</t>
  </si>
  <si>
    <t>Carneiro P</t>
  </si>
  <si>
    <t>Carnevale AP</t>
  </si>
  <si>
    <t>Carnoy M</t>
  </si>
  <si>
    <t>Carpenter RE</t>
  </si>
  <si>
    <t>Carraro NC</t>
  </si>
  <si>
    <t>Carraro T</t>
  </si>
  <si>
    <t>Carta V</t>
  </si>
  <si>
    <t>Carutasu G</t>
  </si>
  <si>
    <t>Carutasu NL</t>
  </si>
  <si>
    <t>Carvalho AGF</t>
  </si>
  <si>
    <t>Carvalho JRH</t>
  </si>
  <si>
    <t>Carvalho R</t>
  </si>
  <si>
    <t>Casas EE</t>
  </si>
  <si>
    <t>Cascante-segura CH</t>
  </si>
  <si>
    <t>Castillo JAG</t>
  </si>
  <si>
    <t>Castro-lopez A</t>
  </si>
  <si>
    <t>Cavallone M</t>
  </si>
  <si>
    <t>Celikkan U</t>
  </si>
  <si>
    <t>Celume MP</t>
  </si>
  <si>
    <t>Cepeda C</t>
  </si>
  <si>
    <t>Cerkovskis E</t>
  </si>
  <si>
    <t>Chacon J</t>
  </si>
  <si>
    <t>Chaibate H</t>
  </si>
  <si>
    <t>Chalmers KE</t>
  </si>
  <si>
    <t>Chan RK</t>
  </si>
  <si>
    <t>Chandna VK</t>
  </si>
  <si>
    <t>Chang HC</t>
  </si>
  <si>
    <t>Chang XY</t>
  </si>
  <si>
    <t>Chapple K</t>
  </si>
  <si>
    <t>Chaudhry MA</t>
  </si>
  <si>
    <t>Chechulin A</t>
  </si>
  <si>
    <t>Chemingui MA</t>
  </si>
  <si>
    <t>Chen C</t>
  </si>
  <si>
    <t>Chen CE</t>
  </si>
  <si>
    <t>Chen HH</t>
  </si>
  <si>
    <t>Cheng CKC</t>
  </si>
  <si>
    <t>Cherbonnier A</t>
  </si>
  <si>
    <t>Cherman A</t>
  </si>
  <si>
    <t>Cherubini M</t>
  </si>
  <si>
    <t>Chew ZLK</t>
  </si>
  <si>
    <t>Chewning K</t>
  </si>
  <si>
    <t>Chiarello F</t>
  </si>
  <si>
    <t>Chinnery G</t>
  </si>
  <si>
    <t>Chio J</t>
  </si>
  <si>
    <t>Chiper S</t>
  </si>
  <si>
    <t>Chirita BA</t>
  </si>
  <si>
    <t>Chmielewska K</t>
  </si>
  <si>
    <t>Chow EYH</t>
  </si>
  <si>
    <t>Chowhan SS</t>
  </si>
  <si>
    <t>Chulanova OL</t>
  </si>
  <si>
    <t>Cieciora M</t>
  </si>
  <si>
    <t>Cieslak I</t>
  </si>
  <si>
    <t>Cirilli F</t>
  </si>
  <si>
    <t>Citterio L</t>
  </si>
  <si>
    <t>Ciubotariu VA</t>
  </si>
  <si>
    <t>Cizmesija A</t>
  </si>
  <si>
    <t>Clark WJ</t>
  </si>
  <si>
    <t>Cocorada E</t>
  </si>
  <si>
    <t>Coelli M</t>
  </si>
  <si>
    <t>Coli E</t>
  </si>
  <si>
    <t>Collins B</t>
  </si>
  <si>
    <t>Colombo E</t>
  </si>
  <si>
    <t>Constantin A</t>
  </si>
  <si>
    <t>Constantin F</t>
  </si>
  <si>
    <t>Conway CS</t>
  </si>
  <si>
    <t>Corallo A</t>
  </si>
  <si>
    <t>Coroiu A</t>
  </si>
  <si>
    <t>Cortellazzo L</t>
  </si>
  <si>
    <t>Cortini M</t>
  </si>
  <si>
    <t>Costafreda JL</t>
  </si>
  <si>
    <t>Costantino L</t>
  </si>
  <si>
    <t>Craig TR</t>
  </si>
  <si>
    <t>Creed PA</t>
  </si>
  <si>
    <t>Creese G</t>
  </si>
  <si>
    <t>Creo ED</t>
  </si>
  <si>
    <t>Cretoiu RI</t>
  </si>
  <si>
    <t>Criveanu MM</t>
  </si>
  <si>
    <t>Cruces G</t>
  </si>
  <si>
    <t>Cueva DCEN</t>
  </si>
  <si>
    <t>Cueva MRN</t>
  </si>
  <si>
    <t>Cukierman U</t>
  </si>
  <si>
    <t>Cunningham WV</t>
  </si>
  <si>
    <t>Curia G</t>
  </si>
  <si>
    <t>Calvó Armengol A</t>
  </si>
  <si>
    <t>Castillo-martínez A</t>
  </si>
  <si>
    <t>Créquit P</t>
  </si>
  <si>
    <t>Cárachová M</t>
  </si>
  <si>
    <t>D'allura GM</t>
  </si>
  <si>
    <t>Da Silva DRR</t>
  </si>
  <si>
    <t>Da Silva LBP</t>
  </si>
  <si>
    <t>Da Silva NB</t>
  </si>
  <si>
    <t>Da Veiga A</t>
  </si>
  <si>
    <t>Dada OA</t>
  </si>
  <si>
    <t>Dagiuklas T</t>
  </si>
  <si>
    <t>Dahlal NH</t>
  </si>
  <si>
    <t>Dahm J</t>
  </si>
  <si>
    <t>Daigo E</t>
  </si>
  <si>
    <t>Dalecky F</t>
  </si>
  <si>
    <t>Dalveren Y</t>
  </si>
  <si>
    <t>Daneva M</t>
  </si>
  <si>
    <t>Darchen S</t>
  </si>
  <si>
    <t>Darie A</t>
  </si>
  <si>
    <t>Darko DF</t>
  </si>
  <si>
    <t>Darmoul S</t>
  </si>
  <si>
    <t>Darnon C</t>
  </si>
  <si>
    <t>Dartanto T</t>
  </si>
  <si>
    <t>Datta AR</t>
  </si>
  <si>
    <t>Daud N</t>
  </si>
  <si>
    <t>Daud S</t>
  </si>
  <si>
    <t>De Almeida E</t>
  </si>
  <si>
    <t>De Almeida IBP</t>
  </si>
  <si>
    <t>De Azevedo MM</t>
  </si>
  <si>
    <t>De Cuyper N</t>
  </si>
  <si>
    <t>De Grip A</t>
  </si>
  <si>
    <t>De Luna ABM</t>
  </si>
  <si>
    <t>De Meo P</t>
  </si>
  <si>
    <t>De Oliveira ER</t>
  </si>
  <si>
    <t>De Oliveira FT</t>
  </si>
  <si>
    <t>De Oliveira MJ</t>
  </si>
  <si>
    <t>De Place AL</t>
  </si>
  <si>
    <t>De Prada E</t>
  </si>
  <si>
    <t>De Queiroz GF</t>
  </si>
  <si>
    <t>De Resende LMM</t>
  </si>
  <si>
    <t>De Rosa M</t>
  </si>
  <si>
    <t>De Sousa MAB</t>
  </si>
  <si>
    <t>De Souza MA</t>
  </si>
  <si>
    <t>De Souza NA</t>
  </si>
  <si>
    <t>Defranco J</t>
  </si>
  <si>
    <t>Dehtjare J</t>
  </si>
  <si>
    <t>Deiner K</t>
  </si>
  <si>
    <t>Del Carmen HR</t>
  </si>
  <si>
    <t>Delacalle M</t>
  </si>
  <si>
    <t>Delello J</t>
  </si>
  <si>
    <t>Demolliens M</t>
  </si>
  <si>
    <t>Denino WF</t>
  </si>
  <si>
    <t>Desai S</t>
  </si>
  <si>
    <t>Desrichard O</t>
  </si>
  <si>
    <t>Desrochers D</t>
  </si>
  <si>
    <t>Destefanis G</t>
  </si>
  <si>
    <t>Devyaterikova MV</t>
  </si>
  <si>
    <t>Di Fiore T</t>
  </si>
  <si>
    <t>Dickes LA</t>
  </si>
  <si>
    <t>Didier N</t>
  </si>
  <si>
    <t>Dieguez T</t>
  </si>
  <si>
    <t>Dill MB</t>
  </si>
  <si>
    <t>Dillahunt TR</t>
  </si>
  <si>
    <t>Dinis MAP</t>
  </si>
  <si>
    <t>Dinner I</t>
  </si>
  <si>
    <t>Direito I</t>
  </si>
  <si>
    <t>Djakona V</t>
  </si>
  <si>
    <t>Dobslaw F</t>
  </si>
  <si>
    <t>Doherty O</t>
  </si>
  <si>
    <t>Dolls M</t>
  </si>
  <si>
    <t>Dolot A</t>
  </si>
  <si>
    <t>Donovan C</t>
  </si>
  <si>
    <t>Doorley K</t>
  </si>
  <si>
    <t>Dornoff K</t>
  </si>
  <si>
    <t>Dragoumanos S</t>
  </si>
  <si>
    <t>Drolet MJ</t>
  </si>
  <si>
    <t>Du JT</t>
  </si>
  <si>
    <t>Duan M</t>
  </si>
  <si>
    <t>Duarte T</t>
  </si>
  <si>
    <t>Ducros T</t>
  </si>
  <si>
    <t>Duggal T</t>
  </si>
  <si>
    <t>Dummert S</t>
  </si>
  <si>
    <t>Duque LC</t>
  </si>
  <si>
    <t>Durana N</t>
  </si>
  <si>
    <t>Duval-couetil N</t>
  </si>
  <si>
    <t>Dwivedi A</t>
  </si>
  <si>
    <t>Dyck I</t>
  </si>
  <si>
    <t>Dymek D</t>
  </si>
  <si>
    <t>Dzomba B</t>
  </si>
  <si>
    <t>Dzunic M</t>
  </si>
  <si>
    <t>Düstegör D</t>
  </si>
  <si>
    <t>Eastman M</t>
  </si>
  <si>
    <t>Ehrenreich J</t>
  </si>
  <si>
    <t>El Aynaoui K</t>
  </si>
  <si>
    <t>El Marsafawy H</t>
  </si>
  <si>
    <t>El-boraie A</t>
  </si>
  <si>
    <t>Elg M</t>
  </si>
  <si>
    <t>Elkosantini S</t>
  </si>
  <si>
    <t>Ellis SC</t>
  </si>
  <si>
    <t>Elouadi A</t>
  </si>
  <si>
    <t>Encinas D</t>
  </si>
  <si>
    <t>Enstroem R</t>
  </si>
  <si>
    <t>Errico F</t>
  </si>
  <si>
    <t>Erumban AA</t>
  </si>
  <si>
    <t>Espinoza R</t>
  </si>
  <si>
    <t>Esser A</t>
  </si>
  <si>
    <t>Estrela S</t>
  </si>
  <si>
    <t>Evans JA</t>
  </si>
  <si>
    <t>Evans PD</t>
  </si>
  <si>
    <t>Fan CS</t>
  </si>
  <si>
    <t>Fan H</t>
  </si>
  <si>
    <t>Fantinelli S</t>
  </si>
  <si>
    <t>Fantoni G</t>
  </si>
  <si>
    <t>Faraci EL</t>
  </si>
  <si>
    <t>Fareen JA</t>
  </si>
  <si>
    <t>Fareri S</t>
  </si>
  <si>
    <t>Farias MGG</t>
  </si>
  <si>
    <t>Farran JDP</t>
  </si>
  <si>
    <t>Farreny ETI</t>
  </si>
  <si>
    <t>Fasone V</t>
  </si>
  <si>
    <t>Fawaz-yissi MJ</t>
  </si>
  <si>
    <t>Fayyad U</t>
  </si>
  <si>
    <t>Feh LS</t>
  </si>
  <si>
    <t>Fernandes R</t>
  </si>
  <si>
    <t>Fernandez F</t>
  </si>
  <si>
    <t>Fernandez SAF</t>
  </si>
  <si>
    <t>Ferraz JC</t>
  </si>
  <si>
    <t>Ferraz SFD</t>
  </si>
  <si>
    <t>Ferreira D</t>
  </si>
  <si>
    <t>Ferreira I</t>
  </si>
  <si>
    <t>Ferrer M</t>
  </si>
  <si>
    <t>Field E</t>
  </si>
  <si>
    <t>Figueiredo C</t>
  </si>
  <si>
    <t>Fiorentino D</t>
  </si>
  <si>
    <t>Fitriani K</t>
  </si>
  <si>
    <t>Fix M</t>
  </si>
  <si>
    <t>Fletcher J</t>
  </si>
  <si>
    <t>Fleuren BPI</t>
  </si>
  <si>
    <t>Fojtu K</t>
  </si>
  <si>
    <t>Forrier A</t>
  </si>
  <si>
    <t>Foster S</t>
  </si>
  <si>
    <t>Foster W</t>
  </si>
  <si>
    <t>Fourou T</t>
  </si>
  <si>
    <t>Fox P</t>
  </si>
  <si>
    <t>Fraefel A</t>
  </si>
  <si>
    <t>Francesconi D</t>
  </si>
  <si>
    <t>Franco A</t>
  </si>
  <si>
    <t>Franco NT</t>
  </si>
  <si>
    <t>Frank M</t>
  </si>
  <si>
    <t>Frare AB</t>
  </si>
  <si>
    <t>Frederick KD</t>
  </si>
  <si>
    <t>Freitas A</t>
  </si>
  <si>
    <t>Friend M</t>
  </si>
  <si>
    <t>Friesel A</t>
  </si>
  <si>
    <t>Fernández JLG</t>
  </si>
  <si>
    <t>Fernández-sanz L</t>
  </si>
  <si>
    <t>Fitó Bertran A</t>
  </si>
  <si>
    <t>Fonseca-hernández R</t>
  </si>
  <si>
    <t>Gaceanu R</t>
  </si>
  <si>
    <t>Gago P</t>
  </si>
  <si>
    <t>Gaitanaru A</t>
  </si>
  <si>
    <t>Galanti T</t>
  </si>
  <si>
    <t>Gallant M</t>
  </si>
  <si>
    <t>Gallastegui G</t>
  </si>
  <si>
    <t>Ganguli I</t>
  </si>
  <si>
    <t>Gao J</t>
  </si>
  <si>
    <t>Gao TY</t>
  </si>
  <si>
    <t>Garabet M</t>
  </si>
  <si>
    <t>Garbach K</t>
  </si>
  <si>
    <t>Garcia AL</t>
  </si>
  <si>
    <t>Garcia C</t>
  </si>
  <si>
    <t>Garcia-piquer A</t>
  </si>
  <si>
    <t>Gasparovich E</t>
  </si>
  <si>
    <t>Gavrel F</t>
  </si>
  <si>
    <t>Gbadegesin JT</t>
  </si>
  <si>
    <t>Gebel M</t>
  </si>
  <si>
    <t>Gedeon T</t>
  </si>
  <si>
    <t>Gertler P</t>
  </si>
  <si>
    <t>Ghannam R</t>
  </si>
  <si>
    <t>Ghogho M</t>
  </si>
  <si>
    <t>Ghosh A</t>
  </si>
  <si>
    <t>Ghosh S</t>
  </si>
  <si>
    <t>Ghrairi Z</t>
  </si>
  <si>
    <t>Ghulam H</t>
  </si>
  <si>
    <t>Giesecke J</t>
  </si>
  <si>
    <t>Gignac MAM</t>
  </si>
  <si>
    <t>Gillard H</t>
  </si>
  <si>
    <t>Gilyazova OS</t>
  </si>
  <si>
    <t>Giotopoulos K</t>
  </si>
  <si>
    <t>Giotopoulos KC</t>
  </si>
  <si>
    <t>Glasserman-morales LD</t>
  </si>
  <si>
    <t>Glassey R</t>
  </si>
  <si>
    <t>Glazunova OG</t>
  </si>
  <si>
    <t>Glendon AI</t>
  </si>
  <si>
    <t>Glumac O</t>
  </si>
  <si>
    <t>Gnecco G</t>
  </si>
  <si>
    <t>Gobena E</t>
  </si>
  <si>
    <t>Goglio V</t>
  </si>
  <si>
    <t>Gogolova M</t>
  </si>
  <si>
    <t>Goh HY</t>
  </si>
  <si>
    <t>Goh YG</t>
  </si>
  <si>
    <t>Gomez SM</t>
  </si>
  <si>
    <t>Gomez-jaramillo S</t>
  </si>
  <si>
    <t>Gopinathan R</t>
  </si>
  <si>
    <t>Gora E</t>
  </si>
  <si>
    <t>Goron L</t>
  </si>
  <si>
    <t>Gorrindo FR</t>
  </si>
  <si>
    <t>Gotesman Bercovici E</t>
  </si>
  <si>
    <t>Gotlib J</t>
  </si>
  <si>
    <t>Gouda H</t>
  </si>
  <si>
    <t>Goulart AR</t>
  </si>
  <si>
    <t>Goulart VG</t>
  </si>
  <si>
    <t>Gradinscak M</t>
  </si>
  <si>
    <t>Graglia MAV</t>
  </si>
  <si>
    <t>Graham JR</t>
  </si>
  <si>
    <t>Grancharova V</t>
  </si>
  <si>
    <t>Greco R</t>
  </si>
  <si>
    <t>Green GM</t>
  </si>
  <si>
    <t>Greer TH</t>
  </si>
  <si>
    <t>Gremyr I</t>
  </si>
  <si>
    <t>Grigoroiu MC</t>
  </si>
  <si>
    <t>Grimes PW</t>
  </si>
  <si>
    <t>Groh M</t>
  </si>
  <si>
    <t>Groot W</t>
  </si>
  <si>
    <t>Guajardo-flores S</t>
  </si>
  <si>
    <t>Guanciale R</t>
  </si>
  <si>
    <t>Guevara AV</t>
  </si>
  <si>
    <t>Gulnaz F</t>
  </si>
  <si>
    <t>Gunawan W</t>
  </si>
  <si>
    <t>Guri G</t>
  </si>
  <si>
    <t>García JMG</t>
  </si>
  <si>
    <t>García MG</t>
  </si>
  <si>
    <t>García-alvarez J</t>
  </si>
  <si>
    <t>García-garcía R</t>
  </si>
  <si>
    <t>García-garnica M</t>
  </si>
  <si>
    <t>García-higuera MC</t>
  </si>
  <si>
    <t>García-laso A</t>
  </si>
  <si>
    <t>García-pérez L</t>
  </si>
  <si>
    <t>García-romero D</t>
  </si>
  <si>
    <t>González FC</t>
  </si>
  <si>
    <t>González-bernal J</t>
  </si>
  <si>
    <t>González-geraldo JL</t>
  </si>
  <si>
    <t>Gonçalves L</t>
  </si>
  <si>
    <t>Grencíkova A</t>
  </si>
  <si>
    <t>Guerra-garcía C</t>
  </si>
  <si>
    <t>Guitart-tarrés L</t>
  </si>
  <si>
    <t>Gómez-puente SM</t>
  </si>
  <si>
    <t>Gómez-de-balugera Z</t>
  </si>
  <si>
    <t>Hadek A</t>
  </si>
  <si>
    <t>Haelermans C</t>
  </si>
  <si>
    <t>Haenggli M</t>
  </si>
  <si>
    <t>Hafiz FMN</t>
  </si>
  <si>
    <t>Hagan J</t>
  </si>
  <si>
    <t>Hagan JM</t>
  </si>
  <si>
    <t>Haghani S</t>
  </si>
  <si>
    <t>Haidar JI</t>
  </si>
  <si>
    <t>Haita C</t>
  </si>
  <si>
    <t>Hajri-gabouj S</t>
  </si>
  <si>
    <t>Hakamada R</t>
  </si>
  <si>
    <t>Hall M</t>
  </si>
  <si>
    <t>Haller P</t>
  </si>
  <si>
    <t>Hamid RA</t>
  </si>
  <si>
    <t>Hamidon N</t>
  </si>
  <si>
    <t>Hamilton LK</t>
  </si>
  <si>
    <t>Hamilton M</t>
  </si>
  <si>
    <t>Hampton C</t>
  </si>
  <si>
    <t>Hamutcu H</t>
  </si>
  <si>
    <t>Hamzah HZ</t>
  </si>
  <si>
    <t>Hamzah SH</t>
  </si>
  <si>
    <t>Han F</t>
  </si>
  <si>
    <t>Han GH</t>
  </si>
  <si>
    <t>Hanapi Z</t>
  </si>
  <si>
    <t>Handlbauer S</t>
  </si>
  <si>
    <t>Hapenciuc CV</t>
  </si>
  <si>
    <t>Harada M</t>
  </si>
  <si>
    <t>Hardy W</t>
  </si>
  <si>
    <t>Harlin U</t>
  </si>
  <si>
    <t>Harris AH</t>
  </si>
  <si>
    <t>Hasan K</t>
  </si>
  <si>
    <t>Hasanein M</t>
  </si>
  <si>
    <t>Hashim AS</t>
  </si>
  <si>
    <t>Hashim HA</t>
  </si>
  <si>
    <t>Hassan AH</t>
  </si>
  <si>
    <t>Hassan SU</t>
  </si>
  <si>
    <t>Hawamdeh S</t>
  </si>
  <si>
    <t>Hayat MA</t>
  </si>
  <si>
    <t>He Z</t>
  </si>
  <si>
    <t>Healy C</t>
  </si>
  <si>
    <t>Hebig R</t>
  </si>
  <si>
    <t>Heidelberger M</t>
  </si>
  <si>
    <t>Heller O</t>
  </si>
  <si>
    <t>Heller SB</t>
  </si>
  <si>
    <t>Hemon B</t>
  </si>
  <si>
    <t>Henriques CO</t>
  </si>
  <si>
    <t>Herath HMTS</t>
  </si>
  <si>
    <t>Herghelegiu E</t>
  </si>
  <si>
    <t>Hernandez FR</t>
  </si>
  <si>
    <t>Hernandez-munoz SM</t>
  </si>
  <si>
    <t>Herrera OA</t>
  </si>
  <si>
    <t>Herrera-giraldo N</t>
  </si>
  <si>
    <t>Hertz R</t>
  </si>
  <si>
    <t>Hirschi A</t>
  </si>
  <si>
    <t>Hirudayaraj M</t>
  </si>
  <si>
    <t>Hizi G</t>
  </si>
  <si>
    <t>Hoener P</t>
  </si>
  <si>
    <t>Holik I</t>
  </si>
  <si>
    <t>Holtzman DM</t>
  </si>
  <si>
    <t>Homrich PO</t>
  </si>
  <si>
    <t>Hopkins JL</t>
  </si>
  <si>
    <t>Horak J</t>
  </si>
  <si>
    <t>Hossain A</t>
  </si>
  <si>
    <t>Hosseini S</t>
  </si>
  <si>
    <t>Hou YL</t>
  </si>
  <si>
    <t>Houben E</t>
  </si>
  <si>
    <t>Hrad J</t>
  </si>
  <si>
    <t>Hrnciar M</t>
  </si>
  <si>
    <t>Hsiao JCY</t>
  </si>
  <si>
    <t>Huang AR</t>
  </si>
  <si>
    <t>Huang Y</t>
  </si>
  <si>
    <t>Hughes D</t>
  </si>
  <si>
    <t>Huguet P</t>
  </si>
  <si>
    <t>Hui BW</t>
  </si>
  <si>
    <t>Huikari S</t>
  </si>
  <si>
    <t>Hunsberger JG</t>
  </si>
  <si>
    <t>Hurloiu LR</t>
  </si>
  <si>
    <t>Hurst E</t>
  </si>
  <si>
    <t>Husain AJA</t>
  </si>
  <si>
    <t>Hussain D</t>
  </si>
  <si>
    <t>Hussain MAM</t>
  </si>
  <si>
    <t>Hussain NFM</t>
  </si>
  <si>
    <t>Hussein MG</t>
  </si>
  <si>
    <t>Hernández-de-menéndez M</t>
  </si>
  <si>
    <t>Horváthová A</t>
  </si>
  <si>
    <t>Iazzolino G</t>
  </si>
  <si>
    <t>Ibourk A</t>
  </si>
  <si>
    <t>Idris S</t>
  </si>
  <si>
    <t>Idrovo-carlier S</t>
  </si>
  <si>
    <t>Iervese S</t>
  </si>
  <si>
    <t>Iglesias-pradas S</t>
  </si>
  <si>
    <t>Ionescu L</t>
  </si>
  <si>
    <t>Ipeirotis PG</t>
  </si>
  <si>
    <t>Iqbal J</t>
  </si>
  <si>
    <t>Iqbal M</t>
  </si>
  <si>
    <t>Iriondo I</t>
  </si>
  <si>
    <t>Isa CMM</t>
  </si>
  <si>
    <t>Ishak S</t>
  </si>
  <si>
    <t>Ishengoma JM</t>
  </si>
  <si>
    <t>Ishida M</t>
  </si>
  <si>
    <t>Ismail N</t>
  </si>
  <si>
    <t>Ismail NH</t>
  </si>
  <si>
    <t>Ismail TNHT</t>
  </si>
  <si>
    <t>Issac AS</t>
  </si>
  <si>
    <t>Iwanow L</t>
  </si>
  <si>
    <t>Jabbari J</t>
  </si>
  <si>
    <t>Jackson D</t>
  </si>
  <si>
    <t>Jacob F</t>
  </si>
  <si>
    <t>Jain M</t>
  </si>
  <si>
    <t>Jain V</t>
  </si>
  <si>
    <t>Jamal WN</t>
  </si>
  <si>
    <t>Jamaluddin R</t>
  </si>
  <si>
    <t>Jamet E</t>
  </si>
  <si>
    <t>Jandric M</t>
  </si>
  <si>
    <t>Jaworski M</t>
  </si>
  <si>
    <t>Jensen KN</t>
  </si>
  <si>
    <t>Jetha A</t>
  </si>
  <si>
    <t>Jiang HQ</t>
  </si>
  <si>
    <t>Jin XN</t>
  </si>
  <si>
    <t>Johnson G</t>
  </si>
  <si>
    <t>Johnson L</t>
  </si>
  <si>
    <t>Johnson WR</t>
  </si>
  <si>
    <t>Johnston CS</t>
  </si>
  <si>
    <t>Jolley GJ</t>
  </si>
  <si>
    <t>Jones M</t>
  </si>
  <si>
    <t>Jones ME</t>
  </si>
  <si>
    <t>Jose J</t>
  </si>
  <si>
    <t>Jung SM</t>
  </si>
  <si>
    <t>Justice C</t>
  </si>
  <si>
    <t>Jiménez S</t>
  </si>
  <si>
    <t>Juárez-ramírez R</t>
  </si>
  <si>
    <t>Jármai EM</t>
  </si>
  <si>
    <t>Kabir M</t>
  </si>
  <si>
    <t>Kaburise P</t>
  </si>
  <si>
    <t>Kacem RBH</t>
  </si>
  <si>
    <t>Kadir KM</t>
  </si>
  <si>
    <t>Kakarountas A</t>
  </si>
  <si>
    <t>Kala N</t>
  </si>
  <si>
    <t>Kalejaiye PO</t>
  </si>
  <si>
    <t>Kalney O</t>
  </si>
  <si>
    <t>Kamal NNM</t>
  </si>
  <si>
    <t>Kamarthi S</t>
  </si>
  <si>
    <t>Kamenska I</t>
  </si>
  <si>
    <t>Kamin Y</t>
  </si>
  <si>
    <t>Kang TA</t>
  </si>
  <si>
    <t>Kankaanranta A</t>
  </si>
  <si>
    <t>Kant I</t>
  </si>
  <si>
    <t>Kapoor K</t>
  </si>
  <si>
    <t>Kara A</t>
  </si>
  <si>
    <t>Karakitsios A</t>
  </si>
  <si>
    <t>Karavdic S</t>
  </si>
  <si>
    <t>Karmaeva N</t>
  </si>
  <si>
    <t>Kashive N</t>
  </si>
  <si>
    <t>Kassab M</t>
  </si>
  <si>
    <t>Kassim ASM</t>
  </si>
  <si>
    <t>Kassou I</t>
  </si>
  <si>
    <t>Kateris D</t>
  </si>
  <si>
    <t>Kauffeld S</t>
  </si>
  <si>
    <t>Kaulio M</t>
  </si>
  <si>
    <t>Kaushal U</t>
  </si>
  <si>
    <t>Kautz T</t>
  </si>
  <si>
    <t>Keister R</t>
  </si>
  <si>
    <t>Kelemen-erdos A</t>
  </si>
  <si>
    <t>Kelly E</t>
  </si>
  <si>
    <t>Kenayathulla HB</t>
  </si>
  <si>
    <t>Keng SH</t>
  </si>
  <si>
    <t>Kessler JB</t>
  </si>
  <si>
    <t>Khabbazbashi N</t>
  </si>
  <si>
    <t>Khachin S</t>
  </si>
  <si>
    <t>Khadidos AO</t>
  </si>
  <si>
    <t>Khalifa H</t>
  </si>
  <si>
    <t>Khan AR</t>
  </si>
  <si>
    <t>Khanna VT</t>
  </si>
  <si>
    <t>Khaouja I</t>
  </si>
  <si>
    <t>Khokhlova AN</t>
  </si>
  <si>
    <t>Khokhlova OA</t>
  </si>
  <si>
    <t>Kholodnytska A</t>
  </si>
  <si>
    <t>Khoo SE</t>
  </si>
  <si>
    <t>Khosravi S</t>
  </si>
  <si>
    <t>Khwaja AI</t>
  </si>
  <si>
    <t>Killackey E</t>
  </si>
  <si>
    <t>Kingsnorth S</t>
  </si>
  <si>
    <t>Kisenwether EC</t>
  </si>
  <si>
    <t>Kitaeva E</t>
  </si>
  <si>
    <t>Klawsiuc-zdunczyk A</t>
  </si>
  <si>
    <t>Klepka A</t>
  </si>
  <si>
    <t>Kloop RA</t>
  </si>
  <si>
    <t>Klyukina E</t>
  </si>
  <si>
    <t>Kmec JA</t>
  </si>
  <si>
    <t>Knox A</t>
  </si>
  <si>
    <t>Koczynski M</t>
  </si>
  <si>
    <t>Koh L</t>
  </si>
  <si>
    <t>Kokkodis M</t>
  </si>
  <si>
    <t>Kokthi E</t>
  </si>
  <si>
    <t>Kolomiiets O</t>
  </si>
  <si>
    <t>Kolosova H</t>
  </si>
  <si>
    <t>Kondrakhina NG</t>
  </si>
  <si>
    <t>Kong Y</t>
  </si>
  <si>
    <t>Konkol P</t>
  </si>
  <si>
    <t>Korab V</t>
  </si>
  <si>
    <t>Kordos M</t>
  </si>
  <si>
    <t>Korhonen M</t>
  </si>
  <si>
    <t>Korolchuk VI</t>
  </si>
  <si>
    <t>Korshunov IA</t>
  </si>
  <si>
    <t>Kousar S</t>
  </si>
  <si>
    <t>Kova EU</t>
  </si>
  <si>
    <t>Kovbych T</t>
  </si>
  <si>
    <t>Kowal B</t>
  </si>
  <si>
    <t>Kowal J</t>
  </si>
  <si>
    <t>Kozak RA</t>
  </si>
  <si>
    <t>Kozma K</t>
  </si>
  <si>
    <t>Kozubska I</t>
  </si>
  <si>
    <t>Kraaykamp G</t>
  </si>
  <si>
    <t>Kraft EM</t>
  </si>
  <si>
    <t>Krasas J</t>
  </si>
  <si>
    <t>Krause M</t>
  </si>
  <si>
    <t>Krejcikova V</t>
  </si>
  <si>
    <t>Krichna G</t>
  </si>
  <si>
    <t>Kritzinger E</t>
  </si>
  <si>
    <t>Krulicky T</t>
  </si>
  <si>
    <t>Kruntoradova M</t>
  </si>
  <si>
    <t>Kudryavceva ME</t>
  </si>
  <si>
    <t>Kugler A</t>
  </si>
  <si>
    <t>Kumari V</t>
  </si>
  <si>
    <t>Kuntschik P</t>
  </si>
  <si>
    <t>Kutzner I</t>
  </si>
  <si>
    <t>Kvasny L</t>
  </si>
  <si>
    <t>Kychko I</t>
  </si>
  <si>
    <t>Kyndt E</t>
  </si>
  <si>
    <t>Kyrousi AG</t>
  </si>
  <si>
    <t>Kyselova K</t>
  </si>
  <si>
    <t>Kattein-pornói R</t>
  </si>
  <si>
    <t>Kolláriková T</t>
  </si>
  <si>
    <t>Krüger C</t>
  </si>
  <si>
    <t>Kuperová M</t>
  </si>
  <si>
    <t>Kureková LM</t>
  </si>
  <si>
    <t>Kálmán A</t>
  </si>
  <si>
    <t>Kämper A</t>
  </si>
  <si>
    <t>Kässer-pawelka G</t>
  </si>
  <si>
    <t>Lacatus ML</t>
  </si>
  <si>
    <t>Lacher I</t>
  </si>
  <si>
    <t>Laciak M</t>
  </si>
  <si>
    <t>Lacuesta R</t>
  </si>
  <si>
    <t>Lafleur J</t>
  </si>
  <si>
    <t>Laguna-gutierrez E</t>
  </si>
  <si>
    <t>Lai CS</t>
  </si>
  <si>
    <t>Lakhrissi Y</t>
  </si>
  <si>
    <t>Lam KCK</t>
  </si>
  <si>
    <t>Lama G</t>
  </si>
  <si>
    <t>Lampridi M</t>
  </si>
  <si>
    <t>Lan A</t>
  </si>
  <si>
    <t>Landi S</t>
  </si>
  <si>
    <t>Lapaine T</t>
  </si>
  <si>
    <t>Lapar DJ</t>
  </si>
  <si>
    <t>Lategan MJ</t>
  </si>
  <si>
    <t>Laved F</t>
  </si>
  <si>
    <t>Lavrysh Y</t>
  </si>
  <si>
    <t>Lawrence S</t>
  </si>
  <si>
    <t>Laycock K</t>
  </si>
  <si>
    <t>Lazar JF</t>
  </si>
  <si>
    <t>Lazarenko N</t>
  </si>
  <si>
    <t>Lazaridou I</t>
  </si>
  <si>
    <t>Lazaroiu G</t>
  </si>
  <si>
    <t>Le D</t>
  </si>
  <si>
    <t>Le TW</t>
  </si>
  <si>
    <t>Leao CP</t>
  </si>
  <si>
    <t>Lebedeva LF</t>
  </si>
  <si>
    <t>Leblanc J</t>
  </si>
  <si>
    <t>Leboeuf R</t>
  </si>
  <si>
    <t>Lee J</t>
  </si>
  <si>
    <t>Lee JHY</t>
  </si>
  <si>
    <t>Lee KW</t>
  </si>
  <si>
    <t>Lee MF</t>
  </si>
  <si>
    <t>Lee SH</t>
  </si>
  <si>
    <t>Lee ST</t>
  </si>
  <si>
    <t>Lee SY</t>
  </si>
  <si>
    <t>Lee Z</t>
  </si>
  <si>
    <t>Leitner P</t>
  </si>
  <si>
    <t>Leivadi S</t>
  </si>
  <si>
    <t>Lemke A</t>
  </si>
  <si>
    <t>Lemkul JA</t>
  </si>
  <si>
    <t>Lemos M</t>
  </si>
  <si>
    <t>Lensink R</t>
  </si>
  <si>
    <t>Leontyeva E</t>
  </si>
  <si>
    <t>Leskova I</t>
  </si>
  <si>
    <t>Lewandowski P</t>
  </si>
  <si>
    <t>Leyva-townsend P</t>
  </si>
  <si>
    <t>Li GY</t>
  </si>
  <si>
    <t>Li M</t>
  </si>
  <si>
    <t>Li PL</t>
  </si>
  <si>
    <t>Li W</t>
  </si>
  <si>
    <t>Li X</t>
  </si>
  <si>
    <t>Liberato D</t>
  </si>
  <si>
    <t>Lindsay S</t>
  </si>
  <si>
    <t>Lisovska O</t>
  </si>
  <si>
    <t>Liu AJ</t>
  </si>
  <si>
    <t>Liu J</t>
  </si>
  <si>
    <t>Liu XZ</t>
  </si>
  <si>
    <t>Livinti R</t>
  </si>
  <si>
    <t>Loia V</t>
  </si>
  <si>
    <t>Lokhvytska L</t>
  </si>
  <si>
    <t>Loo SM</t>
  </si>
  <si>
    <t>Loock M</t>
  </si>
  <si>
    <t>Loor G</t>
  </si>
  <si>
    <t>Lopes MC</t>
  </si>
  <si>
    <t>Lopes RD</t>
  </si>
  <si>
    <t>Lopez-agudo LA</t>
  </si>
  <si>
    <t>Lopus JS</t>
  </si>
  <si>
    <t>Lorenzo C</t>
  </si>
  <si>
    <t>Lorenzo E</t>
  </si>
  <si>
    <t>Loureiro M</t>
  </si>
  <si>
    <t>Loureiro N</t>
  </si>
  <si>
    <t>Loureiro P</t>
  </si>
  <si>
    <t>Lowe N</t>
  </si>
  <si>
    <t>Lu AJ</t>
  </si>
  <si>
    <t>Luca FA</t>
  </si>
  <si>
    <t>Lucas J</t>
  </si>
  <si>
    <t>Lucchetta J</t>
  </si>
  <si>
    <t>Ludwick T</t>
  </si>
  <si>
    <t>Ludwig B</t>
  </si>
  <si>
    <t>Luo YZ</t>
  </si>
  <si>
    <t>Lutzkanova S</t>
  </si>
  <si>
    <t>Lyashov D</t>
  </si>
  <si>
    <t>Lytvyn S</t>
  </si>
  <si>
    <t>Lyu WJ</t>
  </si>
  <si>
    <t>Ledermüller K</t>
  </si>
  <si>
    <t>Llulluy-nuñez D</t>
  </si>
  <si>
    <t>Lopez-sánchez J</t>
  </si>
  <si>
    <t>Lourenço D</t>
  </si>
  <si>
    <t>Lévano MA</t>
  </si>
  <si>
    <t>López CB</t>
  </si>
  <si>
    <t>López-baldominos I</t>
  </si>
  <si>
    <t>Ma CW</t>
  </si>
  <si>
    <t>Ma ST</t>
  </si>
  <si>
    <t>Ma'arof NNMI</t>
  </si>
  <si>
    <t>Machaka P</t>
  </si>
  <si>
    <t>Machat Z</t>
  </si>
  <si>
    <t>Maciel JD</t>
  </si>
  <si>
    <t>Macke RA</t>
  </si>
  <si>
    <t>Madlena N</t>
  </si>
  <si>
    <t>Maertens SU</t>
  </si>
  <si>
    <t>Magano J</t>
  </si>
  <si>
    <t>Maghsoudi M</t>
  </si>
  <si>
    <t>Mahal A</t>
  </si>
  <si>
    <t>Mahaney RC</t>
  </si>
  <si>
    <t>Maican C</t>
  </si>
  <si>
    <t>Maican MA</t>
  </si>
  <si>
    <t>Maier T</t>
  </si>
  <si>
    <t>Mainga W</t>
  </si>
  <si>
    <t>Maisarah M</t>
  </si>
  <si>
    <t>Mak S</t>
  </si>
  <si>
    <t>Maksimenko N</t>
  </si>
  <si>
    <t>Makushkin SA</t>
  </si>
  <si>
    <t>Malkus T</t>
  </si>
  <si>
    <t>Maltseva V</t>
  </si>
  <si>
    <t>Malykhina V</t>
  </si>
  <si>
    <t>Manna R</t>
  </si>
  <si>
    <t>Mansouri G</t>
  </si>
  <si>
    <t>Maoulida H</t>
  </si>
  <si>
    <t>Maphisa X</t>
  </si>
  <si>
    <t>Marcenaro-gutierrez OD</t>
  </si>
  <si>
    <t>Marchant T</t>
  </si>
  <si>
    <t>Marciniak J</t>
  </si>
  <si>
    <t>Marengo A</t>
  </si>
  <si>
    <t>Maria PC</t>
  </si>
  <si>
    <t>Marinkovic S</t>
  </si>
  <si>
    <t>Marinoudi V</t>
  </si>
  <si>
    <t>Marques F</t>
  </si>
  <si>
    <t>Marsden N</t>
  </si>
  <si>
    <t>Marsh J</t>
  </si>
  <si>
    <t>Marshall L</t>
  </si>
  <si>
    <t>Marsudi M</t>
  </si>
  <si>
    <t>Martin J</t>
  </si>
  <si>
    <t>Martinez R</t>
  </si>
  <si>
    <t>Martinez S</t>
  </si>
  <si>
    <t>Martins C</t>
  </si>
  <si>
    <t>Martins H</t>
  </si>
  <si>
    <t>Martovytska N</t>
  </si>
  <si>
    <t>Masterov DV</t>
  </si>
  <si>
    <t>Matrisciano L</t>
  </si>
  <si>
    <t>Matsuoka H</t>
  </si>
  <si>
    <t>Maurya A</t>
  </si>
  <si>
    <t>Mawi ZE</t>
  </si>
  <si>
    <t>Mazenod V</t>
  </si>
  <si>
    <t>Mbarika VWA</t>
  </si>
  <si>
    <t>Mccann RJ</t>
  </si>
  <si>
    <t>Mcdougall C</t>
  </si>
  <si>
    <t>Mcgovern ME</t>
  </si>
  <si>
    <t>Mcgowan N</t>
  </si>
  <si>
    <t>Mckenzie D</t>
  </si>
  <si>
    <t>Mcknight K</t>
  </si>
  <si>
    <t>Mclaren AT</t>
  </si>
  <si>
    <t>Mcwhorter RR</t>
  </si>
  <si>
    <t>Medina MP</t>
  </si>
  <si>
    <t>Meek MH</t>
  </si>
  <si>
    <t>Mehdaoui A</t>
  </si>
  <si>
    <t>Meiklejohn A</t>
  </si>
  <si>
    <t>Mella N</t>
  </si>
  <si>
    <t>Melnichuk AV</t>
  </si>
  <si>
    <t>Melnichuk MV</t>
  </si>
  <si>
    <t>Melo A</t>
  </si>
  <si>
    <t>Melo C</t>
  </si>
  <si>
    <t>Menna-dack D</t>
  </si>
  <si>
    <t>Mentkowski M</t>
  </si>
  <si>
    <t>Mercorio F</t>
  </si>
  <si>
    <t>Mergener A</t>
  </si>
  <si>
    <t>Meyer B</t>
  </si>
  <si>
    <t>Meyer-miner A</t>
  </si>
  <si>
    <t>Mezhoudi N</t>
  </si>
  <si>
    <t>Mezzanzanica M</t>
  </si>
  <si>
    <t>Mezzour G</t>
  </si>
  <si>
    <t>Mgaiwa SJ</t>
  </si>
  <si>
    <t>Miceli M</t>
  </si>
  <si>
    <t>Micheletto V</t>
  </si>
  <si>
    <t>Michelin CD</t>
  </si>
  <si>
    <t>Michinov E</t>
  </si>
  <si>
    <t>Michinov N</t>
  </si>
  <si>
    <t>Middlebrook K</t>
  </si>
  <si>
    <t>Miettunen J</t>
  </si>
  <si>
    <t>Mihail BA</t>
  </si>
  <si>
    <t>Mihic M</t>
  </si>
  <si>
    <t>Mijac M</t>
  </si>
  <si>
    <t>Mikhailova SV</t>
  </si>
  <si>
    <t>Miller P</t>
  </si>
  <si>
    <t>Milovanovic J</t>
  </si>
  <si>
    <t>Milto L</t>
  </si>
  <si>
    <t>Mingaleva ZA</t>
  </si>
  <si>
    <t>Miranda CD</t>
  </si>
  <si>
    <t>Miranda S</t>
  </si>
  <si>
    <t>Miravitlles-matamoros P</t>
  </si>
  <si>
    <t>Mishel L</t>
  </si>
  <si>
    <t>Mitev N</t>
  </si>
  <si>
    <t>Moalla N</t>
  </si>
  <si>
    <t>Mogaji E</t>
  </si>
  <si>
    <t>Moghaddam M</t>
  </si>
  <si>
    <t>Mohamed H</t>
  </si>
  <si>
    <t>Mohammed FS</t>
  </si>
  <si>
    <t>Mokhtar M</t>
  </si>
  <si>
    <t>Molina AL</t>
  </si>
  <si>
    <t>Molina EC</t>
  </si>
  <si>
    <t>Molina HP</t>
  </si>
  <si>
    <t>Molinero CM</t>
  </si>
  <si>
    <t>Mong SN</t>
  </si>
  <si>
    <t>Montalvan RAV</t>
  </si>
  <si>
    <t>Montalvo C</t>
  </si>
  <si>
    <t>Montanari S</t>
  </si>
  <si>
    <t>Monteiro S</t>
  </si>
  <si>
    <t>Monteleone S</t>
  </si>
  <si>
    <t>Montero JA</t>
  </si>
  <si>
    <t>Moore G</t>
  </si>
  <si>
    <t>Morales YAR</t>
  </si>
  <si>
    <t>Morales-menendez R</t>
  </si>
  <si>
    <t>Moreira F</t>
  </si>
  <si>
    <t>Moreno-cadavid J</t>
  </si>
  <si>
    <t>Moreno-ger P</t>
  </si>
  <si>
    <t>Morris SA</t>
  </si>
  <si>
    <t>Moumen A</t>
  </si>
  <si>
    <t>Moura D</t>
  </si>
  <si>
    <t>Mourelatos E</t>
  </si>
  <si>
    <t>Moxey R</t>
  </si>
  <si>
    <t>Mrak MK</t>
  </si>
  <si>
    <t>Muffels R</t>
  </si>
  <si>
    <t>Muhamad WMW</t>
  </si>
  <si>
    <t>Muhambetzhanova S</t>
  </si>
  <si>
    <t>Mujinga M</t>
  </si>
  <si>
    <t>Mukesh</t>
  </si>
  <si>
    <t>Mulholland G</t>
  </si>
  <si>
    <t>Murciano-goroff R</t>
  </si>
  <si>
    <t>Murphy-braynen MB</t>
  </si>
  <si>
    <t>Murri MM</t>
  </si>
  <si>
    <t>Mursula LA</t>
  </si>
  <si>
    <t>Murtazina E</t>
  </si>
  <si>
    <t>Musa BA</t>
  </si>
  <si>
    <t>Musa H</t>
  </si>
  <si>
    <t>Muschalla B</t>
  </si>
  <si>
    <t>Mustofa SS</t>
  </si>
  <si>
    <t>Mutum J</t>
  </si>
  <si>
    <t>Mwim E</t>
  </si>
  <si>
    <t>Myrnyi D</t>
  </si>
  <si>
    <t>Martín DA</t>
  </si>
  <si>
    <t>Martín RD</t>
  </si>
  <si>
    <t>Martínez JCT</t>
  </si>
  <si>
    <t>Martínez-argüelles MJ</t>
  </si>
  <si>
    <t>Matienzo-cáceres Y</t>
  </si>
  <si>
    <t>Mexía SG</t>
  </si>
  <si>
    <t>Miklosíková M</t>
  </si>
  <si>
    <t>Mäkiö J</t>
  </si>
  <si>
    <t>Naeem MZ</t>
  </si>
  <si>
    <t>Nagy KK</t>
  </si>
  <si>
    <t>Nagy M</t>
  </si>
  <si>
    <t>Nametkulova F</t>
  </si>
  <si>
    <t>Napathorn C</t>
  </si>
  <si>
    <t>Nascimento P</t>
  </si>
  <si>
    <t>Navarra M</t>
  </si>
  <si>
    <t>Navarro CX</t>
  </si>
  <si>
    <t>Nawakitphaitoon K</t>
  </si>
  <si>
    <t>Neal DA</t>
  </si>
  <si>
    <t>Neamtu DM</t>
  </si>
  <si>
    <t>Nelson JS</t>
  </si>
  <si>
    <t>Neto AA</t>
  </si>
  <si>
    <t>Neto JDD</t>
  </si>
  <si>
    <t>Neumann C</t>
  </si>
  <si>
    <t>Nguyen A</t>
  </si>
  <si>
    <t>Nguyen GCT</t>
  </si>
  <si>
    <t>Nguyen NT</t>
  </si>
  <si>
    <t>Nguyen TA</t>
  </si>
  <si>
    <t>Nguyen TC</t>
  </si>
  <si>
    <t>Nicolescu L</t>
  </si>
  <si>
    <t>Nidergaus E</t>
  </si>
  <si>
    <t>Nightingale DS</t>
  </si>
  <si>
    <t>Nikjoo A</t>
  </si>
  <si>
    <t>Nikolic TM</t>
  </si>
  <si>
    <t>Nisar H</t>
  </si>
  <si>
    <t>Nistor F</t>
  </si>
  <si>
    <t>Nkadimeng M</t>
  </si>
  <si>
    <t>Nogueira T</t>
  </si>
  <si>
    <t>Noor NNM</t>
  </si>
  <si>
    <t>Nordin M</t>
  </si>
  <si>
    <t>Norgaard B</t>
  </si>
  <si>
    <t>Norhishamuddin WRW</t>
  </si>
  <si>
    <t>Norman C</t>
  </si>
  <si>
    <t>Notario B</t>
  </si>
  <si>
    <t>Nouib H</t>
  </si>
  <si>
    <t>Nugraha RA</t>
  </si>
  <si>
    <t>Nusrat M</t>
  </si>
  <si>
    <t>Nyshadham A</t>
  </si>
  <si>
    <t>Núñez-carballosa A</t>
  </si>
  <si>
    <t>O'connell PJ</t>
  </si>
  <si>
    <t>O'leary P</t>
  </si>
  <si>
    <t>O'reilly K</t>
  </si>
  <si>
    <t>O'sullivan S</t>
  </si>
  <si>
    <t>Obaido G</t>
  </si>
  <si>
    <t>Ochola E</t>
  </si>
  <si>
    <t>Odell DD</t>
  </si>
  <si>
    <t>Oder N</t>
  </si>
  <si>
    <t>Ofosu N</t>
  </si>
  <si>
    <t>Ohei KN</t>
  </si>
  <si>
    <t>Oladokun SO</t>
  </si>
  <si>
    <t>Olaru I</t>
  </si>
  <si>
    <t>Olmedo-moreno EM</t>
  </si>
  <si>
    <t>Olsen D</t>
  </si>
  <si>
    <t>Omar L</t>
  </si>
  <si>
    <t>Omar MK</t>
  </si>
  <si>
    <t>One YY</t>
  </si>
  <si>
    <t>Orakova A</t>
  </si>
  <si>
    <t>Orciuoli F</t>
  </si>
  <si>
    <t>Ortiz L</t>
  </si>
  <si>
    <t>Osadchaya G</t>
  </si>
  <si>
    <t>Osipova VM</t>
  </si>
  <si>
    <t>Osorio CR</t>
  </si>
  <si>
    <t>Ovando C</t>
  </si>
  <si>
    <t>Ozdamli F</t>
  </si>
  <si>
    <t>Paasivaara M</t>
  </si>
  <si>
    <t>Padayachee K</t>
  </si>
  <si>
    <t>Pagano A</t>
  </si>
  <si>
    <t>Pahlevansharif S</t>
  </si>
  <si>
    <t>Palacios-navarro G</t>
  </si>
  <si>
    <t>Palaniappan AK</t>
  </si>
  <si>
    <t>Paliwoda-pekosz G</t>
  </si>
  <si>
    <t>Pallonetto F</t>
  </si>
  <si>
    <t>Palma P</t>
  </si>
  <si>
    <t>Palumbo R</t>
  </si>
  <si>
    <t>Panas O</t>
  </si>
  <si>
    <t>Panczyk M</t>
  </si>
  <si>
    <t>Pansu P</t>
  </si>
  <si>
    <t>Parham D</t>
  </si>
  <si>
    <t>Parra JL</t>
  </si>
  <si>
    <t>Parubets O</t>
  </si>
  <si>
    <t>Patel JS</t>
  </si>
  <si>
    <t>Paulus A</t>
  </si>
  <si>
    <t>Pavoni N</t>
  </si>
  <si>
    <t>Payton FC</t>
  </si>
  <si>
    <t>Peacock M</t>
  </si>
  <si>
    <t>Pearson S</t>
  </si>
  <si>
    <t>Pedrini G</t>
  </si>
  <si>
    <t>Peijen R</t>
  </si>
  <si>
    <t>Pelaez-sanchez IC</t>
  </si>
  <si>
    <t>Peng G</t>
  </si>
  <si>
    <t>Pereira CS</t>
  </si>
  <si>
    <t>Perek-bialas J</t>
  </si>
  <si>
    <t>Perez-gonzalez HG</t>
  </si>
  <si>
    <t>Perini M</t>
  </si>
  <si>
    <t>Perminova V</t>
  </si>
  <si>
    <t>Peter L</t>
  </si>
  <si>
    <t>Peterossi HG</t>
  </si>
  <si>
    <t>Petitcollot B</t>
  </si>
  <si>
    <t>Petrone L</t>
  </si>
  <si>
    <t>Pham HT</t>
  </si>
  <si>
    <t>Pham T</t>
  </si>
  <si>
    <t>Piashkun S</t>
  </si>
  <si>
    <t>Pichkurova Z</t>
  </si>
  <si>
    <t>Pickering PM</t>
  </si>
  <si>
    <t>Pieterse V</t>
  </si>
  <si>
    <t>Pietrykowski B</t>
  </si>
  <si>
    <t>Pietrzak P</t>
  </si>
  <si>
    <t>Pinela A</t>
  </si>
  <si>
    <t>Pinto J</t>
  </si>
  <si>
    <t>Pistelli MI</t>
  </si>
  <si>
    <t>Pizarro M</t>
  </si>
  <si>
    <t>Plana-erta D</t>
  </si>
  <si>
    <t>Plank B</t>
  </si>
  <si>
    <t>Plutino D</t>
  </si>
  <si>
    <t>Pobochenko L</t>
  </si>
  <si>
    <t>Podvolotska O</t>
  </si>
  <si>
    <t>Pogatsnik M</t>
  </si>
  <si>
    <t>Pogrebnaya IA</t>
  </si>
  <si>
    <t>Pojani D</t>
  </si>
  <si>
    <t>Pole A</t>
  </si>
  <si>
    <t>Poletti C</t>
  </si>
  <si>
    <t>Poliak M</t>
  </si>
  <si>
    <t>Pollard J</t>
  </si>
  <si>
    <t>Polovinko V</t>
  </si>
  <si>
    <t>Polozhentseva I</t>
  </si>
  <si>
    <t>Polyakova T</t>
  </si>
  <si>
    <t>Ponomarenko V</t>
  </si>
  <si>
    <t>Pontes J</t>
  </si>
  <si>
    <t>Poole-da-costa MC</t>
  </si>
  <si>
    <t>Popa C</t>
  </si>
  <si>
    <t>Popa D</t>
  </si>
  <si>
    <t>Porensky LM</t>
  </si>
  <si>
    <t>Portela-pino I</t>
  </si>
  <si>
    <t>Pospelova V</t>
  </si>
  <si>
    <t>Possumah BT</t>
  </si>
  <si>
    <t>Postelnicu R</t>
  </si>
  <si>
    <t>Pouezevara S</t>
  </si>
  <si>
    <t>Pouliakas K</t>
  </si>
  <si>
    <t>Powers S</t>
  </si>
  <si>
    <t>Poza-lujan JL</t>
  </si>
  <si>
    <t>Prabowo A</t>
  </si>
  <si>
    <t>Prakasam GR</t>
  </si>
  <si>
    <t>Pranav P</t>
  </si>
  <si>
    <t>Pranita D</t>
  </si>
  <si>
    <t>Preda OM</t>
  </si>
  <si>
    <t>Pregaldini D</t>
  </si>
  <si>
    <t>Presa L</t>
  </si>
  <si>
    <t>Prieto CJP</t>
  </si>
  <si>
    <t>Prybora T</t>
  </si>
  <si>
    <t>Przytula S</t>
  </si>
  <si>
    <t>Puad MHM</t>
  </si>
  <si>
    <t>Pujol-jover M</t>
  </si>
  <si>
    <t>Put D</t>
  </si>
  <si>
    <t>Puteh S</t>
  </si>
  <si>
    <t>Puya MVPD</t>
  </si>
  <si>
    <t>Padrón N</t>
  </si>
  <si>
    <t>Pavlicková M</t>
  </si>
  <si>
    <t>Pongrácz E</t>
  </si>
  <si>
    <t>Pröbster M</t>
  </si>
  <si>
    <t>Qin XZ</t>
  </si>
  <si>
    <t>Qostal A</t>
  </si>
  <si>
    <t>Quan TR</t>
  </si>
  <si>
    <t>Quaratino L</t>
  </si>
  <si>
    <t>Quattrone G</t>
  </si>
  <si>
    <t>Quddus SA</t>
  </si>
  <si>
    <t>Quingla C</t>
  </si>
  <si>
    <t>Rabadanova R</t>
  </si>
  <si>
    <t>Rabanus D</t>
  </si>
  <si>
    <t>Raby S</t>
  </si>
  <si>
    <t>Radu MC</t>
  </si>
  <si>
    <t>Radu S</t>
  </si>
  <si>
    <t>Rahhal I</t>
  </si>
  <si>
    <t>Rahim R</t>
  </si>
  <si>
    <t>Rahim RA</t>
  </si>
  <si>
    <t>Rahim SABD</t>
  </si>
  <si>
    <t>Rahman M</t>
  </si>
  <si>
    <t>Rahman MAA</t>
  </si>
  <si>
    <t>Rahmat M</t>
  </si>
  <si>
    <t>Rahul ES</t>
  </si>
  <si>
    <t>Rahwan I</t>
  </si>
  <si>
    <t>Rajadurai J</t>
  </si>
  <si>
    <t>Ramakrishnan S</t>
  </si>
  <si>
    <t>Ramos-monge E</t>
  </si>
  <si>
    <t>Ranasinghe A</t>
  </si>
  <si>
    <t>Rancourt DE</t>
  </si>
  <si>
    <t>Randelovic S</t>
  </si>
  <si>
    <t>Rangga AJW</t>
  </si>
  <si>
    <t>Raptis G</t>
  </si>
  <si>
    <t>Rashid AM</t>
  </si>
  <si>
    <t>Raskina II</t>
  </si>
  <si>
    <t>Ravaud P</t>
  </si>
  <si>
    <t>Raveica IC</t>
  </si>
  <si>
    <t>Rawal I</t>
  </si>
  <si>
    <t>Read RH</t>
  </si>
  <si>
    <t>Redek T</t>
  </si>
  <si>
    <t>Redko SS</t>
  </si>
  <si>
    <t>Redmond P</t>
  </si>
  <si>
    <t>Reeson A</t>
  </si>
  <si>
    <t>Rego MAS</t>
  </si>
  <si>
    <t>Reisinger J</t>
  </si>
  <si>
    <t>Remigi G</t>
  </si>
  <si>
    <t>Ren JX</t>
  </si>
  <si>
    <t>Ren JY</t>
  </si>
  <si>
    <t>Renken M</t>
  </si>
  <si>
    <t>Repellin-moreno A</t>
  </si>
  <si>
    <t>Reza SMA</t>
  </si>
  <si>
    <t>Rezania D</t>
  </si>
  <si>
    <t>Riant M</t>
  </si>
  <si>
    <t>Riashchenko V</t>
  </si>
  <si>
    <t>Ribeiro J</t>
  </si>
  <si>
    <t>Riccaboni M</t>
  </si>
  <si>
    <t>Ricci FA</t>
  </si>
  <si>
    <t>Rice FE</t>
  </si>
  <si>
    <t>Riera-prunera MC</t>
  </si>
  <si>
    <t>Ring BM</t>
  </si>
  <si>
    <t>Robert A</t>
  </si>
  <si>
    <t>Roberto MS</t>
  </si>
  <si>
    <t>Roberts M</t>
  </si>
  <si>
    <t>Robinson K</t>
  </si>
  <si>
    <t>Rocha-feregrino G</t>
  </si>
  <si>
    <t>Rodriguez AJ</t>
  </si>
  <si>
    <t>Rodriguez-perez MA</t>
  </si>
  <si>
    <t>Rodzalan SA</t>
  </si>
  <si>
    <t>Rodzinka J</t>
  </si>
  <si>
    <t>Roe T</t>
  </si>
  <si>
    <t>Rogalska E</t>
  </si>
  <si>
    <t>Rohayati MI</t>
  </si>
  <si>
    <t>Rojo N</t>
  </si>
  <si>
    <t>Rokicki S</t>
  </si>
  <si>
    <t>Roll S</t>
  </si>
  <si>
    <t>Romanenko YN</t>
  </si>
  <si>
    <t>Romani-dias M</t>
  </si>
  <si>
    <t>Rooth DO</t>
  </si>
  <si>
    <t>Rosa CDR</t>
  </si>
  <si>
    <t>Rosas N</t>
  </si>
  <si>
    <t>Roshid MM</t>
  </si>
  <si>
    <t>Rosmiati</t>
  </si>
  <si>
    <t>Rosnawati B</t>
  </si>
  <si>
    <t>Rossi A</t>
  </si>
  <si>
    <t>Roy R</t>
  </si>
  <si>
    <t>Rubinstein Y</t>
  </si>
  <si>
    <t>Rudmann O</t>
  </si>
  <si>
    <t>Rudnytska N</t>
  </si>
  <si>
    <t>Rui TJ</t>
  </si>
  <si>
    <t>Ruiz MF</t>
  </si>
  <si>
    <t>Rumiantsev A</t>
  </si>
  <si>
    <t>Rutherford A</t>
  </si>
  <si>
    <t>Redomero-echeverría T</t>
  </si>
  <si>
    <t>Rievajová E</t>
  </si>
  <si>
    <t>Rincón RMR</t>
  </si>
  <si>
    <t>Rodicio-garcía ML</t>
  </si>
  <si>
    <t>Rodríguez MPF</t>
  </si>
  <si>
    <t>Ruiz-de-azcárate C</t>
  </si>
  <si>
    <t>Régner I</t>
  </si>
  <si>
    <t>Rêgo BS</t>
  </si>
  <si>
    <t>Saari A</t>
  </si>
  <si>
    <t>Saat MM</t>
  </si>
  <si>
    <t>Sabri Z</t>
  </si>
  <si>
    <t>Safrankova J</t>
  </si>
  <si>
    <t>Sahin YG</t>
  </si>
  <si>
    <t>Said M</t>
  </si>
  <si>
    <t>Said ME</t>
  </si>
  <si>
    <t>Sait MA</t>
  </si>
  <si>
    <t>Salaj AT</t>
  </si>
  <si>
    <t>Salam MA</t>
  </si>
  <si>
    <t>Salgado A</t>
  </si>
  <si>
    <t>Salsbury AM</t>
  </si>
  <si>
    <t>Sample C</t>
  </si>
  <si>
    <t>Sampson D</t>
  </si>
  <si>
    <t>Samuel G</t>
  </si>
  <si>
    <t>Samus T</t>
  </si>
  <si>
    <t>Sanchez RA</t>
  </si>
  <si>
    <t>Sandru M</t>
  </si>
  <si>
    <t>Sanford R</t>
  </si>
  <si>
    <t>Sanrey C</t>
  </si>
  <si>
    <t>Santiago-vargas EP</t>
  </si>
  <si>
    <t>Santos AS</t>
  </si>
  <si>
    <t>Sanusi IT</t>
  </si>
  <si>
    <t>Sapuan NM</t>
  </si>
  <si>
    <t>Saraih UN</t>
  </si>
  <si>
    <t>Sarceda-gorgoso MC</t>
  </si>
  <si>
    <t>Sarraipa J</t>
  </si>
  <si>
    <t>Sartori R</t>
  </si>
  <si>
    <t>Sato S</t>
  </si>
  <si>
    <t>Sato Y</t>
  </si>
  <si>
    <t>Satodiya V</t>
  </si>
  <si>
    <t>Saud MS</t>
  </si>
  <si>
    <t>Saunders C</t>
  </si>
  <si>
    <t>Savelieva EN</t>
  </si>
  <si>
    <t>Savinov YA</t>
  </si>
  <si>
    <t>Savulescu C</t>
  </si>
  <si>
    <t>Saychenko OA</t>
  </si>
  <si>
    <t>Sayinzoga A</t>
  </si>
  <si>
    <t>Scarlat C</t>
  </si>
  <si>
    <t>Schedlbauer J</t>
  </si>
  <si>
    <t>Scheef AR</t>
  </si>
  <si>
    <t>Schislyaeva ER</t>
  </si>
  <si>
    <t>Schleutker K</t>
  </si>
  <si>
    <t>Schmaltz R</t>
  </si>
  <si>
    <t>Schmidt H</t>
  </si>
  <si>
    <t>Schnakovszky C</t>
  </si>
  <si>
    <t>Schneider H</t>
  </si>
  <si>
    <t>Schofield T</t>
  </si>
  <si>
    <t>Schonemann SB</t>
  </si>
  <si>
    <t>Schrey-niemenmaa K</t>
  </si>
  <si>
    <t>Schroeder AJ</t>
  </si>
  <si>
    <t>Schultheiss T</t>
  </si>
  <si>
    <t>Schwartz MW</t>
  </si>
  <si>
    <t>Scindor RBKR</t>
  </si>
  <si>
    <t>Scott KM</t>
  </si>
  <si>
    <t>Scrivner O</t>
  </si>
  <si>
    <t>Scroccaro A</t>
  </si>
  <si>
    <t>Sealey D</t>
  </si>
  <si>
    <t>Sebastiao L</t>
  </si>
  <si>
    <t>Sellamy K</t>
  </si>
  <si>
    <t>Sem RMD</t>
  </si>
  <si>
    <t>Semenova VV</t>
  </si>
  <si>
    <t>Senichkina O</t>
  </si>
  <si>
    <t>Serrano AL</t>
  </si>
  <si>
    <t>Seth K</t>
  </si>
  <si>
    <t>Seth N</t>
  </si>
  <si>
    <t>Setiadi BR</t>
  </si>
  <si>
    <t>Settle JE</t>
  </si>
  <si>
    <t>Sevillano X</t>
  </si>
  <si>
    <t>Seward B</t>
  </si>
  <si>
    <t>Seyfi S</t>
  </si>
  <si>
    <t>Shacklock K</t>
  </si>
  <si>
    <t>Shafeek H</t>
  </si>
  <si>
    <t>Shah DR</t>
  </si>
  <si>
    <t>Shah NMTL</t>
  </si>
  <si>
    <t>Shahril MHM</t>
  </si>
  <si>
    <t>Shahzadi S</t>
  </si>
  <si>
    <t>Shaikh AA</t>
  </si>
  <si>
    <t>Shamaee A</t>
  </si>
  <si>
    <t>Shandrenko O</t>
  </si>
  <si>
    <t>Sharakhina LV</t>
  </si>
  <si>
    <t>Sharif N</t>
  </si>
  <si>
    <t>Sharma H</t>
  </si>
  <si>
    <t>Sharma SK</t>
  </si>
  <si>
    <t>Shier ML</t>
  </si>
  <si>
    <t>Shimi SL</t>
  </si>
  <si>
    <t>Shimizu K</t>
  </si>
  <si>
    <t>Shirkova NN</t>
  </si>
  <si>
    <t>Shishov S</t>
  </si>
  <si>
    <t>Shorchuk A</t>
  </si>
  <si>
    <t>Shukla B</t>
  </si>
  <si>
    <t>Shvets I</t>
  </si>
  <si>
    <t>Sigurdsson SO</t>
  </si>
  <si>
    <t>Silliman M</t>
  </si>
  <si>
    <t>Silva C</t>
  </si>
  <si>
    <t>Silva V</t>
  </si>
  <si>
    <t>Silverman K</t>
  </si>
  <si>
    <t>Simelane S</t>
  </si>
  <si>
    <t>Simic D</t>
  </si>
  <si>
    <t>Simmons MB</t>
  </si>
  <si>
    <t>Simoes M</t>
  </si>
  <si>
    <t>Singh HSI</t>
  </si>
  <si>
    <t>Singh JKN</t>
  </si>
  <si>
    <t>Singh R</t>
  </si>
  <si>
    <t>Sioziou K</t>
  </si>
  <si>
    <t>Sirvent FC</t>
  </si>
  <si>
    <t>Skagert K</t>
  </si>
  <si>
    <t>Small E</t>
  </si>
  <si>
    <t>Small L</t>
  </si>
  <si>
    <t>Smatkova I</t>
  </si>
  <si>
    <t>Smith JP</t>
  </si>
  <si>
    <t>Smith P</t>
  </si>
  <si>
    <t>Smith WC</t>
  </si>
  <si>
    <t>Smolyakova LN</t>
  </si>
  <si>
    <t>Smyth E</t>
  </si>
  <si>
    <t>Soares C</t>
  </si>
  <si>
    <t>Soares F</t>
  </si>
  <si>
    <t>Sohod SNM</t>
  </si>
  <si>
    <t>Sokolic D</t>
  </si>
  <si>
    <t>Sommer E</t>
  </si>
  <si>
    <t>Sommet N</t>
  </si>
  <si>
    <t>Sonniks SD</t>
  </si>
  <si>
    <t>Soomro BA</t>
  </si>
  <si>
    <t>Soomro KA</t>
  </si>
  <si>
    <t>Sooraksa N</t>
  </si>
  <si>
    <t>Sorensen CG</t>
  </si>
  <si>
    <t>Sorokin PS</t>
  </si>
  <si>
    <t>Sotomayor-beltran C</t>
  </si>
  <si>
    <t>Soylu S</t>
  </si>
  <si>
    <t>Sparber C</t>
  </si>
  <si>
    <t>Spence KL</t>
  </si>
  <si>
    <t>Spencer N</t>
  </si>
  <si>
    <t>Spetic W</t>
  </si>
  <si>
    <t>Sprock AS</t>
  </si>
  <si>
    <t>Spulbar C</t>
  </si>
  <si>
    <t>Sridhar V</t>
  </si>
  <si>
    <t>Srikant S</t>
  </si>
  <si>
    <t>Srivastava AI</t>
  </si>
  <si>
    <t>Srivastava SK</t>
  </si>
  <si>
    <t>Staboulis M</t>
  </si>
  <si>
    <t>Staiculescu C</t>
  </si>
  <si>
    <t>Stan SO</t>
  </si>
  <si>
    <t>Stanczak A</t>
  </si>
  <si>
    <t>Stankovic JJ</t>
  </si>
  <si>
    <t>Stapic Z</t>
  </si>
  <si>
    <t>Stavropoulos P</t>
  </si>
  <si>
    <t>Stefanic J</t>
  </si>
  <si>
    <t>Steigleder Q</t>
  </si>
  <si>
    <t>Stein W</t>
  </si>
  <si>
    <t>Stemper S</t>
  </si>
  <si>
    <t>Stepanova M</t>
  </si>
  <si>
    <t>Stephens S</t>
  </si>
  <si>
    <t>Stoycheva M</t>
  </si>
  <si>
    <t>Streppa E</t>
  </si>
  <si>
    <t>Stricker P</t>
  </si>
  <si>
    <t>Strigel C</t>
  </si>
  <si>
    <t>Strode J</t>
  </si>
  <si>
    <t>Succi C</t>
  </si>
  <si>
    <t>Sulbaran-rangel B</t>
  </si>
  <si>
    <t>Suleman F</t>
  </si>
  <si>
    <t>Sultana N</t>
  </si>
  <si>
    <t>Sulthoni</t>
  </si>
  <si>
    <t>Sulym V</t>
  </si>
  <si>
    <t>Sumner M</t>
  </si>
  <si>
    <t>Sun YF</t>
  </si>
  <si>
    <t>Suomi A</t>
  </si>
  <si>
    <t>Suparmin</t>
  </si>
  <si>
    <t>Suprapto</t>
  </si>
  <si>
    <t>Suradi S</t>
  </si>
  <si>
    <t>Suraj S</t>
  </si>
  <si>
    <t>Surkova E</t>
  </si>
  <si>
    <t>Susanti H</t>
  </si>
  <si>
    <t>Sys C</t>
  </si>
  <si>
    <t>Szandi-varga P</t>
  </si>
  <si>
    <t>Szydlo R</t>
  </si>
  <si>
    <t>Szymanska-czaplak E</t>
  </si>
  <si>
    <t>Santamaría OQ</t>
  </si>
  <si>
    <t>Santos-gonzález MD</t>
  </si>
  <si>
    <t>Schröder AJ</t>
  </si>
  <si>
    <t>Skutová M</t>
  </si>
  <si>
    <t>Socoró JC</t>
  </si>
  <si>
    <t>Spakovská K</t>
  </si>
  <si>
    <t>Sáez-gambín D</t>
  </si>
  <si>
    <t>Tahir MHM</t>
  </si>
  <si>
    <t>Talwar T</t>
  </si>
  <si>
    <t>Tambe P</t>
  </si>
  <si>
    <t>Tampu NC</t>
  </si>
  <si>
    <t>Tan T</t>
  </si>
  <si>
    <t>Tapia-ibarra V</t>
  </si>
  <si>
    <t>Tarca E</t>
  </si>
  <si>
    <t>Tarca V</t>
  </si>
  <si>
    <t>Tchantchaleishvili V</t>
  </si>
  <si>
    <t>Telang R</t>
  </si>
  <si>
    <t>Telukdarie A</t>
  </si>
  <si>
    <t>Teng WL</t>
  </si>
  <si>
    <t>Tentua MN</t>
  </si>
  <si>
    <t>Thai TV</t>
  </si>
  <si>
    <t>Thompson L</t>
  </si>
  <si>
    <t>Thomran M</t>
  </si>
  <si>
    <t>Thorpe M</t>
  </si>
  <si>
    <t>Thurner V</t>
  </si>
  <si>
    <t>Tierney MJ</t>
  </si>
  <si>
    <t>Tiew SY</t>
  </si>
  <si>
    <t>Tikhomirova D</t>
  </si>
  <si>
    <t>Tissot ST</t>
  </si>
  <si>
    <t>Titko J</t>
  </si>
  <si>
    <t>Tiwari G</t>
  </si>
  <si>
    <t>Tiwari R</t>
  </si>
  <si>
    <t>Tolpezhnikova T</t>
  </si>
  <si>
    <t>Tommasi F</t>
  </si>
  <si>
    <t>Tomory I</t>
  </si>
  <si>
    <t>Tompa E</t>
  </si>
  <si>
    <t>Tong JR</t>
  </si>
  <si>
    <t>Tong MJ</t>
  </si>
  <si>
    <t>Tordai Z</t>
  </si>
  <si>
    <t>Torp O</t>
  </si>
  <si>
    <t>Torracca J</t>
  </si>
  <si>
    <t>Touahmia M</t>
  </si>
  <si>
    <t>Toumani F</t>
  </si>
  <si>
    <t>Tovar E</t>
  </si>
  <si>
    <t>Trabka J</t>
  </si>
  <si>
    <t>Tracz-krupa K</t>
  </si>
  <si>
    <t>Tranquillo J</t>
  </si>
  <si>
    <t>Tregubova A</t>
  </si>
  <si>
    <t>Treinta FT</t>
  </si>
  <si>
    <t>Treurniet M</t>
  </si>
  <si>
    <t>Tripon C</t>
  </si>
  <si>
    <t>Trokhimtchouk M</t>
  </si>
  <si>
    <t>Trubnikova AG</t>
  </si>
  <si>
    <t>Tsareva E</t>
  </si>
  <si>
    <t>Tubon T</t>
  </si>
  <si>
    <t>Tucker LB</t>
  </si>
  <si>
    <t>Turcas I</t>
  </si>
  <si>
    <t>Turek K</t>
  </si>
  <si>
    <t>Turner J</t>
  </si>
  <si>
    <t>Tyranska M</t>
  </si>
  <si>
    <t>Tzoumaka E</t>
  </si>
  <si>
    <t>Ubfal D</t>
  </si>
  <si>
    <t>Umkehrer M</t>
  </si>
  <si>
    <t>Upreti A</t>
  </si>
  <si>
    <t>Urraca-ruiz A</t>
  </si>
  <si>
    <t>Ursino D</t>
  </si>
  <si>
    <t>Usacheva E</t>
  </si>
  <si>
    <t>Uvalic M</t>
  </si>
  <si>
    <t>Uzoka FM</t>
  </si>
  <si>
    <t>Vaaramo M</t>
  </si>
  <si>
    <t>Vaganova OI</t>
  </si>
  <si>
    <t>Vakaliuk TA</t>
  </si>
  <si>
    <t>Valaskova K</t>
  </si>
  <si>
    <t>Valencia J</t>
  </si>
  <si>
    <t>Valencia-arias A</t>
  </si>
  <si>
    <t>Valentin E</t>
  </si>
  <si>
    <t>Vallejos-cartes R</t>
  </si>
  <si>
    <t>Van Amelsvoort LGPM</t>
  </si>
  <si>
    <t>Van De Werfhorst HG</t>
  </si>
  <si>
    <t>Van Den Brink HM</t>
  </si>
  <si>
    <t>Van Den Heijkant L</t>
  </si>
  <si>
    <t>Van Opstal W</t>
  </si>
  <si>
    <t>Van Schie A</t>
  </si>
  <si>
    <t>Van Selm M</t>
  </si>
  <si>
    <t>Vanek M</t>
  </si>
  <si>
    <t>Vanelslander T</t>
  </si>
  <si>
    <t>Varia F</t>
  </si>
  <si>
    <t>Vasconcelos S</t>
  </si>
  <si>
    <t>Vasilieva OI</t>
  </si>
  <si>
    <t>Velasco ED</t>
  </si>
  <si>
    <t>Velasco MS</t>
  </si>
  <si>
    <t>Venter DM</t>
  </si>
  <si>
    <t>Vergara D</t>
  </si>
  <si>
    <t>Vergilino CD</t>
  </si>
  <si>
    <t>Verhetsel A</t>
  </si>
  <si>
    <t>Vescan A</t>
  </si>
  <si>
    <t>Videcka Z</t>
  </si>
  <si>
    <t>Videira P</t>
  </si>
  <si>
    <t>Villa CC</t>
  </si>
  <si>
    <t>Villaba-condori KO</t>
  </si>
  <si>
    <t>Vilmin S</t>
  </si>
  <si>
    <t>Vinichenko MV</t>
  </si>
  <si>
    <t>Vinkovic D</t>
  </si>
  <si>
    <t>Vishwanath T</t>
  </si>
  <si>
    <t>Visintin EP</t>
  </si>
  <si>
    <t>Visser B</t>
  </si>
  <si>
    <t>Vives E</t>
  </si>
  <si>
    <t>Vivot A</t>
  </si>
  <si>
    <t>Vladi B</t>
  </si>
  <si>
    <t>Vo H</t>
  </si>
  <si>
    <t>Voloshyna TV</t>
  </si>
  <si>
    <t>Vooren M</t>
  </si>
  <si>
    <t>Vorontsova M</t>
  </si>
  <si>
    <t>Vrabec N</t>
  </si>
  <si>
    <t>Vukovic NA</t>
  </si>
  <si>
    <t>Villaseñor P</t>
  </si>
  <si>
    <t>Vitória A</t>
  </si>
  <si>
    <t>Waldvogel R</t>
  </si>
  <si>
    <t>Walker ZM</t>
  </si>
  <si>
    <t>Wallo A</t>
  </si>
  <si>
    <t>Walters D</t>
  </si>
  <si>
    <t>Wang BX</t>
  </si>
  <si>
    <t>Wang C</t>
  </si>
  <si>
    <t>Wang CY</t>
  </si>
  <si>
    <t>Wang G</t>
  </si>
  <si>
    <t>Wang SM</t>
  </si>
  <si>
    <t>Wang Y</t>
  </si>
  <si>
    <t>Warner S</t>
  </si>
  <si>
    <t>Wassink J</t>
  </si>
  <si>
    <t>Watty K</t>
  </si>
  <si>
    <t>Weaver A</t>
  </si>
  <si>
    <t>Wedi A</t>
  </si>
  <si>
    <t>Wei B</t>
  </si>
  <si>
    <t>Wei XD</t>
  </si>
  <si>
    <t>Weichselbraun A</t>
  </si>
  <si>
    <t>Wheadon JD</t>
  </si>
  <si>
    <t>Wheeler JS</t>
  </si>
  <si>
    <t>Whitson S</t>
  </si>
  <si>
    <t>Wieandt M</t>
  </si>
  <si>
    <t>Wiggberg M</t>
  </si>
  <si>
    <t>Wikle TA</t>
  </si>
  <si>
    <t>Wilkerson ML</t>
  </si>
  <si>
    <t>Williamsson A</t>
  </si>
  <si>
    <t>Wilson G</t>
  </si>
  <si>
    <t>Wimmers PF</t>
  </si>
  <si>
    <t>Windiarti IS</t>
  </si>
  <si>
    <t>Winford EM</t>
  </si>
  <si>
    <t>Wisniewska S</t>
  </si>
  <si>
    <t>Wlodarz D</t>
  </si>
  <si>
    <t>Wong CWW</t>
  </si>
  <si>
    <t>Wongmonta S</t>
  </si>
  <si>
    <t>Woolf B</t>
  </si>
  <si>
    <t>Workman H</t>
  </si>
  <si>
    <t>Worley JA</t>
  </si>
  <si>
    <t>Wowczko IA</t>
  </si>
  <si>
    <t>Wright CF</t>
  </si>
  <si>
    <t>Wu HM</t>
  </si>
  <si>
    <t>Wu LF</t>
  </si>
  <si>
    <t>Xu QP</t>
  </si>
  <si>
    <t>Xu WP</t>
  </si>
  <si>
    <t>Yadav AKS</t>
  </si>
  <si>
    <t>Yager SE</t>
  </si>
  <si>
    <t>Yahaya MA</t>
  </si>
  <si>
    <t>Yahaya N</t>
  </si>
  <si>
    <t>Yanaze LKH</t>
  </si>
  <si>
    <t>Yang K</t>
  </si>
  <si>
    <t>Yasin NYBM</t>
  </si>
  <si>
    <t>Yerger DB</t>
  </si>
  <si>
    <t>Yew BK</t>
  </si>
  <si>
    <t>Yigit B</t>
  </si>
  <si>
    <t>Yong TM</t>
  </si>
  <si>
    <t>Yoshino RT</t>
  </si>
  <si>
    <t>Young M</t>
  </si>
  <si>
    <t>Youssef SJ</t>
  </si>
  <si>
    <t>Yuan CX</t>
  </si>
  <si>
    <t>Yudina T</t>
  </si>
  <si>
    <t>Yueying O</t>
  </si>
  <si>
    <t>Yunusa AA</t>
  </si>
  <si>
    <t>Yusof AM</t>
  </si>
  <si>
    <t>Zadorina O</t>
  </si>
  <si>
    <t>Zadorozhna O</t>
  </si>
  <si>
    <t>Zafar B</t>
  </si>
  <si>
    <t>Zahid Z</t>
  </si>
  <si>
    <t>Zainal NFA</t>
  </si>
  <si>
    <t>Zainuddin ZAA</t>
  </si>
  <si>
    <t>Zainun N</t>
  </si>
  <si>
    <t>Zakaria A</t>
  </si>
  <si>
    <t>Zakiy M</t>
  </si>
  <si>
    <t>Zaldivar S</t>
  </si>
  <si>
    <t>Zamoshchansky II</t>
  </si>
  <si>
    <t>Zapata-jaramillo CM</t>
  </si>
  <si>
    <t>Zappatore M</t>
  </si>
  <si>
    <t>Zarifa D</t>
  </si>
  <si>
    <t>Zarzeka A</t>
  </si>
  <si>
    <t>Zavrski I</t>
  </si>
  <si>
    <t>Zehner M</t>
  </si>
  <si>
    <t>Zelenyuk AN</t>
  </si>
  <si>
    <t>Zhaitapova A</t>
  </si>
  <si>
    <t>Zhang BZ</t>
  </si>
  <si>
    <t>Zhang JS</t>
  </si>
  <si>
    <t>Zhang MK</t>
  </si>
  <si>
    <t>Zhang TT</t>
  </si>
  <si>
    <t>Zheng HT</t>
  </si>
  <si>
    <t>Zhou WJ</t>
  </si>
  <si>
    <t>Zhu Y</t>
  </si>
  <si>
    <t>Zijlstra FRH</t>
  </si>
  <si>
    <t>Zilberstein S</t>
  </si>
  <si>
    <t>Zotes LP</t>
  </si>
  <si>
    <t>Zotos N</t>
  </si>
  <si>
    <t>Zouaoui I</t>
  </si>
  <si>
    <t>Zudina AA</t>
  </si>
  <si>
    <t>Zulkifly UK</t>
  </si>
  <si>
    <t>Zvarikova K</t>
  </si>
  <si>
    <t>Zvobgo K</t>
  </si>
  <si>
    <t>Zatrochová M</t>
  </si>
  <si>
    <t>De Araújo MS</t>
  </si>
  <si>
    <t>Çakmak BY</t>
  </si>
  <si>
    <t>Çoban S</t>
  </si>
  <si>
    <t>Öberg LM</t>
  </si>
  <si>
    <t>Publication Years</t>
  </si>
  <si>
    <t>Record Count</t>
  </si>
  <si>
    <t>% of 625</t>
  </si>
  <si>
    <t>Research Areas</t>
  </si>
  <si>
    <t>Education Educational Research</t>
  </si>
  <si>
    <t>Business Economics</t>
  </si>
  <si>
    <t>Computer Science</t>
  </si>
  <si>
    <t>Engineering</t>
  </si>
  <si>
    <t>Social Sciences Other Topics</t>
  </si>
  <si>
    <t>Psychology</t>
  </si>
  <si>
    <t>Science Technology Other Topics</t>
  </si>
  <si>
    <t>Sociology</t>
  </si>
  <si>
    <t>Environmental Sciences Ecology</t>
  </si>
  <si>
    <t>Development Studies</t>
  </si>
  <si>
    <t>Public Administration</t>
  </si>
  <si>
    <t>Information Science Library Science</t>
  </si>
  <si>
    <t>Operations Research Management Science</t>
  </si>
  <si>
    <t>Demography</t>
  </si>
  <si>
    <t>Area Studies</t>
  </si>
  <si>
    <t>Communication</t>
  </si>
  <si>
    <t>Linguistics</t>
  </si>
  <si>
    <t>Telecommunications</t>
  </si>
  <si>
    <t>Arts Humanities Other Topics</t>
  </si>
  <si>
    <t>Government Law</t>
  </si>
  <si>
    <t>Public Environmental Occupational Health</t>
  </si>
  <si>
    <t>Energy Fuels</t>
  </si>
  <si>
    <t>Health Care Sciences Services</t>
  </si>
  <si>
    <t>Mathematics</t>
  </si>
  <si>
    <t>Geography</t>
  </si>
  <si>
    <t>Materials Science</t>
  </si>
  <si>
    <t>Medical Informatics</t>
  </si>
  <si>
    <t>Urban Studies</t>
  </si>
  <si>
    <t>Chemistry</t>
  </si>
  <si>
    <t>Family Studies</t>
  </si>
  <si>
    <t>Agriculture</t>
  </si>
  <si>
    <t>Automation Control Systems</t>
  </si>
  <si>
    <t>Biodiversity Conservation</t>
  </si>
  <si>
    <t>Forestry</t>
  </si>
  <si>
    <t>History</t>
  </si>
  <si>
    <t>Instruments Instrumentation</t>
  </si>
  <si>
    <t>Pharmacology Pharmacy</t>
  </si>
  <si>
    <t>Rehabilitation</t>
  </si>
  <si>
    <t>Social Issues</t>
  </si>
  <si>
    <t>Social Work</t>
  </si>
  <si>
    <t>Surgery</t>
  </si>
  <si>
    <t>Archaeology</t>
  </si>
  <si>
    <t>Asian Studies</t>
  </si>
  <si>
    <t>Astronomy Astrophysics</t>
  </si>
  <si>
    <t>Behavioral Sciences</t>
  </si>
  <si>
    <t>Cardiovascular System Cardiology</t>
  </si>
  <si>
    <t>Cell Biology</t>
  </si>
  <si>
    <t>Cultural Studies</t>
  </si>
  <si>
    <t>Ethnic Studies</t>
  </si>
  <si>
    <t>Film Radio Television</t>
  </si>
  <si>
    <t>Gastroenterology Hepatology</t>
  </si>
  <si>
    <t>Geology</t>
  </si>
  <si>
    <t>History Philosophy Of Science</t>
  </si>
  <si>
    <t>International Relations</t>
  </si>
  <si>
    <t>Literature</t>
  </si>
  <si>
    <t>Microbiology</t>
  </si>
  <si>
    <t>Neurosciences Neurology</t>
  </si>
  <si>
    <t>Optics</t>
  </si>
  <si>
    <t>Physics</t>
  </si>
  <si>
    <t>Psychiatry</t>
  </si>
  <si>
    <t>Religion</t>
  </si>
  <si>
    <t>Respiratory System</t>
  </si>
  <si>
    <t>Robotics</t>
  </si>
  <si>
    <t>Substance Abuse</t>
  </si>
  <si>
    <t>Transportation</t>
  </si>
  <si>
    <t>Veterinary Sciences</t>
  </si>
  <si>
    <t>Women S Studies</t>
  </si>
  <si>
    <t>2 record(s) (0.320%) do not contain data in the field being analyzed</t>
  </si>
  <si>
    <t>SumCitation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</si>
</sst>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indexed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/>
      <right/>
      <top style="thick">
        <color auto="1"/>
      </top>
      <bottom style="thick">
        <color auto="1"/>
      </bottom>
      <diagonal/>
    </border>
    <border>
      <left/>
      <right/>
      <top/>
      <bottom style="thick">
        <color auto="1"/>
      </bottom>
      <diagonal/>
    </border>
    <border>
      <left/>
      <right/>
      <top style="thick">
        <color auto="1"/>
      </top>
      <bottom/>
      <diagonal/>
    </border>
  </borders>
  <cellStyleXfs count="1">
    <xf numFmtId="0" fontId="0" fillId="0" borderId="0"/>
  </cellStyleXfs>
  <cellXfs count="24">
    <xf numFmtId="0" fontId="0" fillId="0" borderId="0" xfId="0"/>
    <xf numFmtId="0" fontId="0" fillId="0" borderId="0" xfId="0" applyAlignment="1">
      <alignment horizontal="center" vertical="center"/>
    </xf>
    <xf numFmtId="0" fontId="0" fillId="0" borderId="0" xfId="0" applyAlignment="1">
      <alignment wrapText="1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wrapText="1"/>
    </xf>
    <xf numFmtId="0" fontId="0" fillId="0" borderId="1" xfId="0" applyBorder="1"/>
    <xf numFmtId="0" fontId="0" fillId="0" borderId="2" xfId="0" applyBorder="1" applyAlignment="1">
      <alignment horizontal="center" vertical="center"/>
    </xf>
    <xf numFmtId="0" fontId="0" fillId="0" borderId="2" xfId="0" applyBorder="1" applyAlignment="1">
      <alignment wrapText="1"/>
    </xf>
    <xf numFmtId="0" fontId="0" fillId="0" borderId="2" xfId="0" applyBorder="1"/>
    <xf numFmtId="0" fontId="0" fillId="0" borderId="0" xfId="0" applyAlignment="1">
      <alignment horizontal="left" vertical="center"/>
    </xf>
    <xf numFmtId="0" fontId="0" fillId="0" borderId="0" xfId="0" applyAlignment="1">
      <alignment horizontal="left" vertical="top"/>
    </xf>
    <xf numFmtId="0" fontId="0" fillId="0" borderId="0" xfId="0" applyAlignment="1">
      <alignment horizontal="left" vertical="top" wrapText="1"/>
    </xf>
    <xf numFmtId="0" fontId="0" fillId="0" borderId="0" xfId="0" applyAlignment="1">
      <alignment horizontal="center" vertical="top"/>
    </xf>
    <xf numFmtId="0" fontId="0" fillId="0" borderId="0" xfId="0" applyAlignment="1">
      <alignment vertical="top"/>
    </xf>
    <xf numFmtId="0" fontId="0" fillId="0" borderId="3" xfId="0" applyBorder="1"/>
    <xf numFmtId="0" fontId="0" fillId="0" borderId="1" xfId="0" applyBorder="1" applyAlignment="1">
      <alignment horizontal="center" vertical="top"/>
    </xf>
    <xf numFmtId="0" fontId="0" fillId="0" borderId="1" xfId="0" applyBorder="1" applyAlignment="1">
      <alignment vertical="top"/>
    </xf>
    <xf numFmtId="0" fontId="0" fillId="0" borderId="1" xfId="0" applyBorder="1" applyAlignment="1">
      <alignment horizontal="left" vertical="top" wrapText="1"/>
    </xf>
    <xf numFmtId="0" fontId="0" fillId="0" borderId="1" xfId="0" applyBorder="1" applyAlignment="1">
      <alignment horizontal="left" vertical="top"/>
    </xf>
    <xf numFmtId="0" fontId="0" fillId="0" borderId="2" xfId="0" applyBorder="1" applyAlignment="1">
      <alignment horizontal="left" vertical="center"/>
    </xf>
    <xf numFmtId="0" fontId="0" fillId="0" borderId="2" xfId="0" applyBorder="1" applyAlignment="1">
      <alignment horizontal="left" vertical="top" wrapText="1"/>
    </xf>
    <xf numFmtId="1" fontId="0" fillId="0" borderId="0" xfId="0" applyNumberFormat="1"/>
    <xf numFmtId="0" fontId="0" fillId="0" borderId="3" xfId="0" applyBorder="1" applyAlignment="1">
      <alignment horizontal="left" vertical="top"/>
    </xf>
    <xf numFmtId="0" fontId="0" fillId="0" borderId="2" xfId="0" applyBorder="1" applyAlignment="1">
      <alignment horizontal="lef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'Citation-Articles-By-Year'!$J$1</c:f>
              <c:strCache>
                <c:ptCount val="1"/>
                <c:pt idx="0">
                  <c:v>Total articles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numRef>
              <c:f>'Citation-Articles-By-Year'!$I$2:$I$27</c:f>
              <c:numCache>
                <c:formatCode>General</c:formatCode>
                <c:ptCount val="26"/>
                <c:pt idx="0">
                  <c:v>1994</c:v>
                </c:pt>
                <c:pt idx="1">
                  <c:v>1996</c:v>
                </c:pt>
                <c:pt idx="2">
                  <c:v>1998</c:v>
                </c:pt>
                <c:pt idx="3">
                  <c:v>1999</c:v>
                </c:pt>
                <c:pt idx="4">
                  <c:v>2001</c:v>
                </c:pt>
                <c:pt idx="5">
                  <c:v>2004</c:v>
                </c:pt>
                <c:pt idx="6">
                  <c:v>2005</c:v>
                </c:pt>
                <c:pt idx="7">
                  <c:v>2006</c:v>
                </c:pt>
                <c:pt idx="8">
                  <c:v>2007</c:v>
                </c:pt>
                <c:pt idx="9">
                  <c:v>2008</c:v>
                </c:pt>
                <c:pt idx="10">
                  <c:v>2009</c:v>
                </c:pt>
                <c:pt idx="11">
                  <c:v>2010</c:v>
                </c:pt>
                <c:pt idx="12">
                  <c:v>2011</c:v>
                </c:pt>
                <c:pt idx="13">
                  <c:v>2012</c:v>
                </c:pt>
                <c:pt idx="14">
                  <c:v>2013</c:v>
                </c:pt>
                <c:pt idx="15">
                  <c:v>2014</c:v>
                </c:pt>
                <c:pt idx="16">
                  <c:v>2015</c:v>
                </c:pt>
                <c:pt idx="17">
                  <c:v>2016</c:v>
                </c:pt>
                <c:pt idx="18">
                  <c:v>2017</c:v>
                </c:pt>
                <c:pt idx="19">
                  <c:v>2018</c:v>
                </c:pt>
                <c:pt idx="20">
                  <c:v>2019</c:v>
                </c:pt>
                <c:pt idx="21">
                  <c:v>2020</c:v>
                </c:pt>
                <c:pt idx="22">
                  <c:v>2021</c:v>
                </c:pt>
                <c:pt idx="23">
                  <c:v>2022</c:v>
                </c:pt>
                <c:pt idx="24">
                  <c:v>2023</c:v>
                </c:pt>
                <c:pt idx="25">
                  <c:v>2024</c:v>
                </c:pt>
              </c:numCache>
            </c:numRef>
          </c:cat>
          <c:val>
            <c:numRef>
              <c:f>'Citation-Articles-By-Year'!$J$2:$J$27</c:f>
              <c:numCache>
                <c:formatCode>General</c:formatCode>
                <c:ptCount val="26"/>
                <c:pt idx="0">
                  <c:v>1</c:v>
                </c:pt>
                <c:pt idx="1">
                  <c:v>1</c:v>
                </c:pt>
                <c:pt idx="2">
                  <c:v>1</c:v>
                </c:pt>
                <c:pt idx="3">
                  <c:v>5</c:v>
                </c:pt>
                <c:pt idx="4">
                  <c:v>1</c:v>
                </c:pt>
                <c:pt idx="5">
                  <c:v>1</c:v>
                </c:pt>
                <c:pt idx="6">
                  <c:v>1</c:v>
                </c:pt>
                <c:pt idx="7">
                  <c:v>5</c:v>
                </c:pt>
                <c:pt idx="8">
                  <c:v>4</c:v>
                </c:pt>
                <c:pt idx="9">
                  <c:v>6</c:v>
                </c:pt>
                <c:pt idx="10">
                  <c:v>3</c:v>
                </c:pt>
                <c:pt idx="11">
                  <c:v>8</c:v>
                </c:pt>
                <c:pt idx="12">
                  <c:v>9</c:v>
                </c:pt>
                <c:pt idx="13">
                  <c:v>16</c:v>
                </c:pt>
                <c:pt idx="14">
                  <c:v>10</c:v>
                </c:pt>
                <c:pt idx="15">
                  <c:v>18</c:v>
                </c:pt>
                <c:pt idx="16">
                  <c:v>19</c:v>
                </c:pt>
                <c:pt idx="17">
                  <c:v>28</c:v>
                </c:pt>
                <c:pt idx="18">
                  <c:v>43</c:v>
                </c:pt>
                <c:pt idx="19">
                  <c:v>38</c:v>
                </c:pt>
                <c:pt idx="20">
                  <c:v>60</c:v>
                </c:pt>
                <c:pt idx="21">
                  <c:v>42</c:v>
                </c:pt>
                <c:pt idx="22">
                  <c:v>62</c:v>
                </c:pt>
                <c:pt idx="23">
                  <c:v>84</c:v>
                </c:pt>
                <c:pt idx="24">
                  <c:v>67</c:v>
                </c:pt>
                <c:pt idx="25">
                  <c:v>90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64C-430D-ADAE-671447BF28FE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219"/>
        <c:axId val="300051839"/>
        <c:axId val="300041279"/>
      </c:barChart>
      <c:lineChart>
        <c:grouping val="standard"/>
        <c:varyColors val="0"/>
        <c:ser>
          <c:idx val="1"/>
          <c:order val="1"/>
          <c:tx>
            <c:strRef>
              <c:f>'Citation-Articles-By-Year'!$K$1</c:f>
              <c:strCache>
                <c:ptCount val="1"/>
                <c:pt idx="0">
                  <c:v>Total cites</c:v>
                </c:pt>
              </c:strCache>
            </c:strRef>
          </c:tx>
          <c:spPr>
            <a:ln w="28575" cap="rnd">
              <a:solidFill>
                <a:schemeClr val="accent2"/>
              </a:solidFill>
              <a:prstDash val="sysDash"/>
              <a:round/>
            </a:ln>
            <a:effectLst/>
          </c:spPr>
          <c:marker>
            <c:symbol val="none"/>
          </c:marker>
          <c:dLbls>
            <c:delete val="1"/>
          </c:dLbls>
          <c:val>
            <c:numRef>
              <c:f>'Citation-Articles-By-Year'!$K$2:$K$27</c:f>
              <c:numCache>
                <c:formatCode>General</c:formatCode>
                <c:ptCount val="26"/>
                <c:pt idx="0">
                  <c:v>0</c:v>
                </c:pt>
                <c:pt idx="1">
                  <c:v>660</c:v>
                </c:pt>
                <c:pt idx="2">
                  <c:v>1</c:v>
                </c:pt>
                <c:pt idx="3">
                  <c:v>36</c:v>
                </c:pt>
                <c:pt idx="4">
                  <c:v>94</c:v>
                </c:pt>
                <c:pt idx="5">
                  <c:v>9</c:v>
                </c:pt>
                <c:pt idx="6">
                  <c:v>77</c:v>
                </c:pt>
                <c:pt idx="7">
                  <c:v>95</c:v>
                </c:pt>
                <c:pt idx="8">
                  <c:v>57</c:v>
                </c:pt>
                <c:pt idx="9">
                  <c:v>37</c:v>
                </c:pt>
                <c:pt idx="10">
                  <c:v>25</c:v>
                </c:pt>
                <c:pt idx="11">
                  <c:v>188</c:v>
                </c:pt>
                <c:pt idx="12">
                  <c:v>178</c:v>
                </c:pt>
                <c:pt idx="13">
                  <c:v>884</c:v>
                </c:pt>
                <c:pt idx="14">
                  <c:v>303</c:v>
                </c:pt>
                <c:pt idx="15">
                  <c:v>310</c:v>
                </c:pt>
                <c:pt idx="16">
                  <c:v>347</c:v>
                </c:pt>
                <c:pt idx="17">
                  <c:v>367</c:v>
                </c:pt>
                <c:pt idx="18">
                  <c:v>335</c:v>
                </c:pt>
                <c:pt idx="19">
                  <c:v>582</c:v>
                </c:pt>
                <c:pt idx="20">
                  <c:v>582</c:v>
                </c:pt>
                <c:pt idx="21">
                  <c:v>368</c:v>
                </c:pt>
                <c:pt idx="22">
                  <c:v>431</c:v>
                </c:pt>
                <c:pt idx="23">
                  <c:v>348</c:v>
                </c:pt>
                <c:pt idx="24">
                  <c:v>130</c:v>
                </c:pt>
                <c:pt idx="25">
                  <c:v>42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C64C-430D-ADAE-671447BF28FE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marker val="1"/>
        <c:smooth val="0"/>
        <c:axId val="298624047"/>
        <c:axId val="298629807"/>
      </c:lineChart>
      <c:catAx>
        <c:axId val="30005183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00041279"/>
        <c:crosses val="autoZero"/>
        <c:auto val="1"/>
        <c:lblAlgn val="ctr"/>
        <c:lblOffset val="100"/>
        <c:noMultiLvlLbl val="0"/>
      </c:catAx>
      <c:valAx>
        <c:axId val="300041279"/>
        <c:scaling>
          <c:orientation val="minMax"/>
          <c:max val="9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00051839"/>
        <c:crosses val="autoZero"/>
        <c:crossBetween val="between"/>
      </c:valAx>
      <c:valAx>
        <c:axId val="298629807"/>
        <c:scaling>
          <c:orientation val="minMax"/>
          <c:max val="900"/>
        </c:scaling>
        <c:delete val="0"/>
        <c:axPos val="r"/>
        <c:numFmt formatCode="General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98624047"/>
        <c:crosses val="max"/>
        <c:crossBetween val="between"/>
      </c:valAx>
      <c:catAx>
        <c:axId val="298624047"/>
        <c:scaling>
          <c:orientation val="minMax"/>
        </c:scaling>
        <c:delete val="1"/>
        <c:axPos val="b"/>
        <c:majorTickMark val="out"/>
        <c:minorTickMark val="none"/>
        <c:tickLblPos val="nextTo"/>
        <c:crossAx val="298629807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571500</xdr:colOff>
      <xdr:row>5</xdr:row>
      <xdr:rowOff>83820</xdr:rowOff>
    </xdr:from>
    <xdr:to>
      <xdr:col>11</xdr:col>
      <xdr:colOff>541020</xdr:colOff>
      <xdr:row>20</xdr:row>
      <xdr:rowOff>83820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33AC2D2C-2BA6-6128-513D-DDA3B5B5D18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T634"/>
  <sheetViews>
    <sheetView tabSelected="1" topLeftCell="H1" workbookViewId="0">
      <selection activeCell="U7" sqref="U7"/>
    </sheetView>
  </sheetViews>
  <sheetFormatPr defaultRowHeight="14.4" x14ac:dyDescent="0.3"/>
  <cols>
    <col min="6" max="6" width="46.5546875" customWidth="1"/>
  </cols>
  <sheetData>
    <row r="1" spans="1:72" x14ac:dyDescent="0.3">
      <c r="A1" t="s">
        <v>0</v>
      </c>
    </row>
    <row r="2" spans="1:72" x14ac:dyDescent="0.3">
      <c r="A2" t="s">
        <v>1</v>
      </c>
    </row>
    <row r="6" spans="1:72" x14ac:dyDescent="0.3">
      <c r="A6" t="s">
        <v>2</v>
      </c>
      <c r="B6">
        <v>623</v>
      </c>
    </row>
    <row r="7" spans="1:72" x14ac:dyDescent="0.3">
      <c r="A7" t="s">
        <v>3</v>
      </c>
      <c r="B7">
        <v>6484</v>
      </c>
      <c r="T7" t="s">
        <v>6000</v>
      </c>
      <c r="U7">
        <f>SUM(T12:T634)</f>
        <v>6486</v>
      </c>
    </row>
    <row r="8" spans="1:72" x14ac:dyDescent="0.3">
      <c r="A8" t="s">
        <v>4</v>
      </c>
      <c r="B8">
        <v>10.41</v>
      </c>
    </row>
    <row r="9" spans="1:72" x14ac:dyDescent="0.3">
      <c r="A9" t="s">
        <v>5</v>
      </c>
      <c r="B9">
        <v>36</v>
      </c>
    </row>
    <row r="11" spans="1:72" x14ac:dyDescent="0.3">
      <c r="A11" t="s">
        <v>6</v>
      </c>
      <c r="B11" t="s">
        <v>7</v>
      </c>
      <c r="C11" t="s">
        <v>8</v>
      </c>
      <c r="D11" t="s">
        <v>9</v>
      </c>
      <c r="E11" t="s">
        <v>10</v>
      </c>
      <c r="F11" t="s">
        <v>11</v>
      </c>
      <c r="G11" t="s">
        <v>12</v>
      </c>
      <c r="H11" t="s">
        <v>13</v>
      </c>
      <c r="I11" t="s">
        <v>14</v>
      </c>
      <c r="J11" t="s">
        <v>15</v>
      </c>
      <c r="K11" t="s">
        <v>16</v>
      </c>
      <c r="L11" t="s">
        <v>17</v>
      </c>
      <c r="M11" t="s">
        <v>18</v>
      </c>
      <c r="N11" t="s">
        <v>19</v>
      </c>
      <c r="O11" t="s">
        <v>20</v>
      </c>
      <c r="P11" t="s">
        <v>21</v>
      </c>
      <c r="Q11" t="s">
        <v>22</v>
      </c>
      <c r="R11" t="s">
        <v>23</v>
      </c>
      <c r="S11" t="s">
        <v>24</v>
      </c>
      <c r="T11" t="s">
        <v>25</v>
      </c>
      <c r="U11" t="s">
        <v>26</v>
      </c>
      <c r="V11">
        <v>1975</v>
      </c>
      <c r="W11">
        <v>1976</v>
      </c>
      <c r="X11">
        <v>1977</v>
      </c>
      <c r="Y11">
        <v>1978</v>
      </c>
      <c r="Z11">
        <v>1979</v>
      </c>
      <c r="AA11">
        <v>1980</v>
      </c>
      <c r="AB11">
        <v>1981</v>
      </c>
      <c r="AC11">
        <v>1982</v>
      </c>
      <c r="AD11">
        <v>1983</v>
      </c>
      <c r="AE11">
        <v>1984</v>
      </c>
      <c r="AF11">
        <v>1985</v>
      </c>
      <c r="AG11">
        <v>1986</v>
      </c>
      <c r="AH11">
        <v>1987</v>
      </c>
      <c r="AI11">
        <v>1988</v>
      </c>
      <c r="AJ11">
        <v>1989</v>
      </c>
      <c r="AK11">
        <v>1990</v>
      </c>
      <c r="AL11">
        <v>1991</v>
      </c>
      <c r="AM11">
        <v>1992</v>
      </c>
      <c r="AN11">
        <v>1993</v>
      </c>
      <c r="AO11">
        <v>1994</v>
      </c>
      <c r="AP11">
        <v>1995</v>
      </c>
      <c r="AQ11">
        <v>1996</v>
      </c>
      <c r="AR11">
        <v>1997</v>
      </c>
      <c r="AS11">
        <v>1998</v>
      </c>
      <c r="AT11">
        <v>1999</v>
      </c>
      <c r="AU11">
        <v>2000</v>
      </c>
      <c r="AV11">
        <v>2001</v>
      </c>
      <c r="AW11">
        <v>2002</v>
      </c>
      <c r="AX11">
        <v>2003</v>
      </c>
      <c r="AY11">
        <v>2004</v>
      </c>
      <c r="AZ11">
        <v>2005</v>
      </c>
      <c r="BA11">
        <v>2006</v>
      </c>
      <c r="BB11">
        <v>2007</v>
      </c>
      <c r="BC11">
        <v>2008</v>
      </c>
      <c r="BD11">
        <v>2009</v>
      </c>
      <c r="BE11">
        <v>2010</v>
      </c>
      <c r="BF11">
        <v>2011</v>
      </c>
      <c r="BG11">
        <v>2012</v>
      </c>
      <c r="BH11">
        <v>2013</v>
      </c>
      <c r="BI11">
        <v>2014</v>
      </c>
      <c r="BJ11">
        <v>2015</v>
      </c>
      <c r="BK11">
        <v>2016</v>
      </c>
      <c r="BL11">
        <v>2017</v>
      </c>
      <c r="BM11">
        <v>2018</v>
      </c>
      <c r="BN11">
        <v>2019</v>
      </c>
      <c r="BO11">
        <v>2020</v>
      </c>
      <c r="BP11">
        <v>2021</v>
      </c>
      <c r="BQ11">
        <v>2022</v>
      </c>
      <c r="BR11">
        <v>2023</v>
      </c>
      <c r="BS11">
        <v>2024</v>
      </c>
    </row>
    <row r="12" spans="1:72" x14ac:dyDescent="0.3">
      <c r="A12" t="s">
        <v>27</v>
      </c>
      <c r="B12" t="s">
        <v>28</v>
      </c>
      <c r="C12" t="s">
        <v>29</v>
      </c>
      <c r="D12" t="s">
        <v>29</v>
      </c>
      <c r="E12" t="s">
        <v>29</v>
      </c>
      <c r="F12" t="s">
        <v>30</v>
      </c>
      <c r="G12" t="s">
        <v>31</v>
      </c>
      <c r="H12">
        <v>2012</v>
      </c>
      <c r="I12">
        <v>19</v>
      </c>
      <c r="J12">
        <v>4</v>
      </c>
      <c r="K12" t="s">
        <v>29</v>
      </c>
      <c r="L12" t="s">
        <v>29</v>
      </c>
      <c r="M12" t="s">
        <v>32</v>
      </c>
      <c r="N12">
        <v>451</v>
      </c>
      <c r="O12">
        <v>464</v>
      </c>
      <c r="P12" t="s">
        <v>29</v>
      </c>
      <c r="Q12" t="s">
        <v>33</v>
      </c>
      <c r="R12" t="s">
        <v>34</v>
      </c>
      <c r="S12" t="s">
        <v>35</v>
      </c>
      <c r="T12">
        <v>734</v>
      </c>
      <c r="U12">
        <v>56.46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</v>
      </c>
      <c r="AG12">
        <v>0</v>
      </c>
      <c r="AH12">
        <v>0</v>
      </c>
      <c r="AI12">
        <v>0</v>
      </c>
      <c r="AJ12">
        <v>0</v>
      </c>
      <c r="AK12">
        <v>0</v>
      </c>
      <c r="AL12">
        <v>0</v>
      </c>
      <c r="AM12">
        <v>0</v>
      </c>
      <c r="AN12">
        <v>0</v>
      </c>
      <c r="AO12">
        <v>0</v>
      </c>
      <c r="AP12">
        <v>0</v>
      </c>
      <c r="AQ12">
        <v>0</v>
      </c>
      <c r="AR12">
        <v>0</v>
      </c>
      <c r="AS12">
        <v>0</v>
      </c>
      <c r="AT12">
        <v>0</v>
      </c>
      <c r="AU12">
        <v>0</v>
      </c>
      <c r="AV12">
        <v>0</v>
      </c>
      <c r="AW12">
        <v>0</v>
      </c>
      <c r="AX12">
        <v>0</v>
      </c>
      <c r="AY12">
        <v>0</v>
      </c>
      <c r="AZ12">
        <v>0</v>
      </c>
      <c r="BA12">
        <v>0</v>
      </c>
      <c r="BB12">
        <v>0</v>
      </c>
      <c r="BC12">
        <v>0</v>
      </c>
      <c r="BD12">
        <v>0</v>
      </c>
      <c r="BE12">
        <v>0</v>
      </c>
      <c r="BF12">
        <v>0</v>
      </c>
      <c r="BG12">
        <v>0</v>
      </c>
      <c r="BH12">
        <v>8</v>
      </c>
      <c r="BI12">
        <v>21</v>
      </c>
      <c r="BJ12">
        <v>25</v>
      </c>
      <c r="BK12">
        <v>33</v>
      </c>
      <c r="BL12">
        <v>67</v>
      </c>
      <c r="BM12">
        <v>59</v>
      </c>
      <c r="BN12">
        <v>86</v>
      </c>
      <c r="BO12">
        <v>80</v>
      </c>
      <c r="BP12">
        <v>106</v>
      </c>
      <c r="BQ12">
        <v>98</v>
      </c>
      <c r="BR12">
        <v>77</v>
      </c>
      <c r="BS12">
        <v>74</v>
      </c>
      <c r="BT12">
        <f>SUM(V12:BS12)</f>
        <v>734</v>
      </c>
    </row>
    <row r="13" spans="1:72" x14ac:dyDescent="0.3">
      <c r="A13" t="s">
        <v>36</v>
      </c>
      <c r="B13" t="s">
        <v>37</v>
      </c>
      <c r="C13" t="s">
        <v>29</v>
      </c>
      <c r="D13" t="s">
        <v>29</v>
      </c>
      <c r="E13" t="s">
        <v>29</v>
      </c>
      <c r="F13" t="s">
        <v>38</v>
      </c>
      <c r="G13" t="s">
        <v>39</v>
      </c>
      <c r="H13">
        <v>1996</v>
      </c>
      <c r="I13">
        <v>104</v>
      </c>
      <c r="J13">
        <v>5</v>
      </c>
      <c r="K13" t="s">
        <v>29</v>
      </c>
      <c r="L13" t="s">
        <v>29</v>
      </c>
      <c r="M13" t="s">
        <v>29</v>
      </c>
      <c r="N13">
        <v>869</v>
      </c>
      <c r="O13">
        <v>895</v>
      </c>
      <c r="P13" t="s">
        <v>29</v>
      </c>
      <c r="Q13" t="s">
        <v>40</v>
      </c>
      <c r="R13" t="s">
        <v>29</v>
      </c>
      <c r="S13" t="s">
        <v>29</v>
      </c>
      <c r="T13">
        <v>660</v>
      </c>
      <c r="U13">
        <v>22.76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0</v>
      </c>
      <c r="AJ13">
        <v>0</v>
      </c>
      <c r="AK13">
        <v>0</v>
      </c>
      <c r="AL13">
        <v>0</v>
      </c>
      <c r="AM13">
        <v>0</v>
      </c>
      <c r="AN13">
        <v>0</v>
      </c>
      <c r="AO13">
        <v>0</v>
      </c>
      <c r="AP13">
        <v>0</v>
      </c>
      <c r="AQ13">
        <v>1</v>
      </c>
      <c r="AR13">
        <v>12</v>
      </c>
      <c r="AS13">
        <v>11</v>
      </c>
      <c r="AT13">
        <v>16</v>
      </c>
      <c r="AU13">
        <v>17</v>
      </c>
      <c r="AV13">
        <v>17</v>
      </c>
      <c r="AW13">
        <v>18</v>
      </c>
      <c r="AX13">
        <v>15</v>
      </c>
      <c r="AY13">
        <v>18</v>
      </c>
      <c r="AZ13">
        <v>15</v>
      </c>
      <c r="BA13">
        <v>25</v>
      </c>
      <c r="BB13">
        <v>31</v>
      </c>
      <c r="BC13">
        <v>22</v>
      </c>
      <c r="BD13">
        <v>25</v>
      </c>
      <c r="BE13">
        <v>34</v>
      </c>
      <c r="BF13">
        <v>42</v>
      </c>
      <c r="BG13">
        <v>25</v>
      </c>
      <c r="BH13">
        <v>22</v>
      </c>
      <c r="BI13">
        <v>36</v>
      </c>
      <c r="BJ13">
        <v>35</v>
      </c>
      <c r="BK13">
        <v>27</v>
      </c>
      <c r="BL13">
        <v>30</v>
      </c>
      <c r="BM13">
        <v>31</v>
      </c>
      <c r="BN13">
        <v>27</v>
      </c>
      <c r="BO13">
        <v>31</v>
      </c>
      <c r="BP13">
        <v>18</v>
      </c>
      <c r="BQ13">
        <v>21</v>
      </c>
      <c r="BR13">
        <v>22</v>
      </c>
      <c r="BS13">
        <v>16</v>
      </c>
      <c r="BT13">
        <f>SUM(V13:BS13)</f>
        <v>660</v>
      </c>
    </row>
    <row r="14" spans="1:72" x14ac:dyDescent="0.3">
      <c r="A14" t="s">
        <v>41</v>
      </c>
      <c r="B14" t="s">
        <v>42</v>
      </c>
      <c r="C14" t="s">
        <v>29</v>
      </c>
      <c r="D14" t="s">
        <v>29</v>
      </c>
      <c r="E14" t="s">
        <v>29</v>
      </c>
      <c r="F14" t="s">
        <v>43</v>
      </c>
      <c r="G14" t="s">
        <v>44</v>
      </c>
      <c r="H14">
        <v>2014</v>
      </c>
      <c r="I14">
        <v>60</v>
      </c>
      <c r="J14">
        <v>6</v>
      </c>
      <c r="K14" t="s">
        <v>29</v>
      </c>
      <c r="L14" t="s">
        <v>29</v>
      </c>
      <c r="M14" t="s">
        <v>32</v>
      </c>
      <c r="N14">
        <v>1452</v>
      </c>
      <c r="O14">
        <v>1469</v>
      </c>
      <c r="P14" t="s">
        <v>29</v>
      </c>
      <c r="Q14" t="s">
        <v>45</v>
      </c>
      <c r="R14" t="s">
        <v>29</v>
      </c>
      <c r="S14" t="s">
        <v>29</v>
      </c>
      <c r="T14">
        <v>204</v>
      </c>
      <c r="U14">
        <v>18.55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0</v>
      </c>
      <c r="AG14">
        <v>0</v>
      </c>
      <c r="AH14">
        <v>0</v>
      </c>
      <c r="AI14">
        <v>0</v>
      </c>
      <c r="AJ14">
        <v>0</v>
      </c>
      <c r="AK14">
        <v>0</v>
      </c>
      <c r="AL14">
        <v>0</v>
      </c>
      <c r="AM14">
        <v>0</v>
      </c>
      <c r="AN14">
        <v>0</v>
      </c>
      <c r="AO14">
        <v>0</v>
      </c>
      <c r="AP14">
        <v>0</v>
      </c>
      <c r="AQ14">
        <v>0</v>
      </c>
      <c r="AR14">
        <v>0</v>
      </c>
      <c r="AS14">
        <v>0</v>
      </c>
      <c r="AT14">
        <v>0</v>
      </c>
      <c r="AU14">
        <v>0</v>
      </c>
      <c r="AV14">
        <v>0</v>
      </c>
      <c r="AW14">
        <v>0</v>
      </c>
      <c r="AX14">
        <v>0</v>
      </c>
      <c r="AY14">
        <v>0</v>
      </c>
      <c r="AZ14">
        <v>0</v>
      </c>
      <c r="BA14">
        <v>0</v>
      </c>
      <c r="BB14">
        <v>0</v>
      </c>
      <c r="BC14">
        <v>0</v>
      </c>
      <c r="BD14">
        <v>0</v>
      </c>
      <c r="BE14">
        <v>0</v>
      </c>
      <c r="BF14">
        <v>0</v>
      </c>
      <c r="BG14">
        <v>0</v>
      </c>
      <c r="BH14">
        <v>0</v>
      </c>
      <c r="BI14">
        <v>0</v>
      </c>
      <c r="BJ14">
        <v>2</v>
      </c>
      <c r="BK14">
        <v>8</v>
      </c>
      <c r="BL14">
        <v>15</v>
      </c>
      <c r="BM14">
        <v>21</v>
      </c>
      <c r="BN14">
        <v>23</v>
      </c>
      <c r="BO14">
        <v>25</v>
      </c>
      <c r="BP14">
        <v>28</v>
      </c>
      <c r="BQ14">
        <v>22</v>
      </c>
      <c r="BR14">
        <v>30</v>
      </c>
      <c r="BS14">
        <v>30</v>
      </c>
    </row>
    <row r="15" spans="1:72" x14ac:dyDescent="0.3">
      <c r="A15" t="s">
        <v>46</v>
      </c>
      <c r="B15" t="s">
        <v>47</v>
      </c>
      <c r="C15" t="s">
        <v>29</v>
      </c>
      <c r="D15" t="s">
        <v>29</v>
      </c>
      <c r="E15" t="s">
        <v>29</v>
      </c>
      <c r="F15" t="s">
        <v>48</v>
      </c>
      <c r="G15">
        <v>2013</v>
      </c>
      <c r="H15">
        <v>2013</v>
      </c>
      <c r="I15">
        <v>55</v>
      </c>
      <c r="J15">
        <v>7</v>
      </c>
      <c r="K15" t="s">
        <v>29</v>
      </c>
      <c r="L15" t="s">
        <v>29</v>
      </c>
      <c r="M15" t="s">
        <v>29</v>
      </c>
      <c r="N15">
        <v>681</v>
      </c>
      <c r="O15" t="s">
        <v>49</v>
      </c>
      <c r="P15" t="s">
        <v>29</v>
      </c>
      <c r="Q15" t="s">
        <v>50</v>
      </c>
      <c r="R15" t="s">
        <v>29</v>
      </c>
      <c r="S15" t="s">
        <v>29</v>
      </c>
      <c r="T15">
        <v>186</v>
      </c>
      <c r="U15">
        <v>15.5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  <c r="AE15">
        <v>0</v>
      </c>
      <c r="AF15">
        <v>0</v>
      </c>
      <c r="AG15">
        <v>0</v>
      </c>
      <c r="AH15">
        <v>0</v>
      </c>
      <c r="AI15">
        <v>0</v>
      </c>
      <c r="AJ15">
        <v>0</v>
      </c>
      <c r="AK15">
        <v>0</v>
      </c>
      <c r="AL15">
        <v>0</v>
      </c>
      <c r="AM15">
        <v>0</v>
      </c>
      <c r="AN15">
        <v>0</v>
      </c>
      <c r="AO15">
        <v>0</v>
      </c>
      <c r="AP15">
        <v>0</v>
      </c>
      <c r="AQ15">
        <v>0</v>
      </c>
      <c r="AR15">
        <v>0</v>
      </c>
      <c r="AS15">
        <v>0</v>
      </c>
      <c r="AT15">
        <v>0</v>
      </c>
      <c r="AU15">
        <v>0</v>
      </c>
      <c r="AV15">
        <v>0</v>
      </c>
      <c r="AW15">
        <v>0</v>
      </c>
      <c r="AX15">
        <v>0</v>
      </c>
      <c r="AY15">
        <v>0</v>
      </c>
      <c r="AZ15">
        <v>0</v>
      </c>
      <c r="BA15">
        <v>0</v>
      </c>
      <c r="BB15">
        <v>0</v>
      </c>
      <c r="BC15">
        <v>0</v>
      </c>
      <c r="BD15">
        <v>0</v>
      </c>
      <c r="BE15">
        <v>0</v>
      </c>
      <c r="BF15">
        <v>0</v>
      </c>
      <c r="BG15">
        <v>0</v>
      </c>
      <c r="BH15">
        <v>0</v>
      </c>
      <c r="BI15">
        <v>3</v>
      </c>
      <c r="BJ15">
        <v>8</v>
      </c>
      <c r="BK15">
        <v>9</v>
      </c>
      <c r="BL15">
        <v>17</v>
      </c>
      <c r="BM15">
        <v>19</v>
      </c>
      <c r="BN15">
        <v>26</v>
      </c>
      <c r="BO15">
        <v>25</v>
      </c>
      <c r="BP15">
        <v>22</v>
      </c>
      <c r="BQ15">
        <v>30</v>
      </c>
      <c r="BR15">
        <v>15</v>
      </c>
      <c r="BS15">
        <v>12</v>
      </c>
    </row>
    <row r="16" spans="1:72" x14ac:dyDescent="0.3">
      <c r="A16" t="s">
        <v>51</v>
      </c>
      <c r="B16" t="s">
        <v>52</v>
      </c>
      <c r="C16" t="s">
        <v>29</v>
      </c>
      <c r="D16" t="s">
        <v>29</v>
      </c>
      <c r="E16" t="s">
        <v>29</v>
      </c>
      <c r="F16" t="s">
        <v>53</v>
      </c>
      <c r="G16" t="s">
        <v>54</v>
      </c>
      <c r="H16">
        <v>2015</v>
      </c>
      <c r="I16">
        <v>68</v>
      </c>
      <c r="J16">
        <v>2</v>
      </c>
      <c r="K16" t="s">
        <v>29</v>
      </c>
      <c r="L16" t="s">
        <v>29</v>
      </c>
      <c r="M16" t="s">
        <v>29</v>
      </c>
      <c r="N16">
        <v>251</v>
      </c>
      <c r="O16">
        <v>290</v>
      </c>
      <c r="P16" t="s">
        <v>29</v>
      </c>
      <c r="Q16" t="s">
        <v>55</v>
      </c>
      <c r="R16" t="s">
        <v>29</v>
      </c>
      <c r="S16" t="s">
        <v>29</v>
      </c>
      <c r="T16">
        <v>154</v>
      </c>
      <c r="U16">
        <v>15.4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0</v>
      </c>
      <c r="AF16">
        <v>0</v>
      </c>
      <c r="AG16">
        <v>0</v>
      </c>
      <c r="AH16">
        <v>0</v>
      </c>
      <c r="AI16">
        <v>0</v>
      </c>
      <c r="AJ16">
        <v>0</v>
      </c>
      <c r="AK16">
        <v>0</v>
      </c>
      <c r="AL16">
        <v>0</v>
      </c>
      <c r="AM16">
        <v>0</v>
      </c>
      <c r="AN16">
        <v>0</v>
      </c>
      <c r="AO16">
        <v>0</v>
      </c>
      <c r="AP16">
        <v>0</v>
      </c>
      <c r="AQ16">
        <v>0</v>
      </c>
      <c r="AR16">
        <v>0</v>
      </c>
      <c r="AS16">
        <v>0</v>
      </c>
      <c r="AT16">
        <v>0</v>
      </c>
      <c r="AU16">
        <v>0</v>
      </c>
      <c r="AV16">
        <v>0</v>
      </c>
      <c r="AW16">
        <v>0</v>
      </c>
      <c r="AX16">
        <v>0</v>
      </c>
      <c r="AY16">
        <v>0</v>
      </c>
      <c r="AZ16">
        <v>0</v>
      </c>
      <c r="BA16">
        <v>0</v>
      </c>
      <c r="BB16">
        <v>0</v>
      </c>
      <c r="BC16">
        <v>0</v>
      </c>
      <c r="BD16">
        <v>0</v>
      </c>
      <c r="BE16">
        <v>0</v>
      </c>
      <c r="BF16">
        <v>0</v>
      </c>
      <c r="BG16">
        <v>0</v>
      </c>
      <c r="BH16">
        <v>0</v>
      </c>
      <c r="BI16">
        <v>0</v>
      </c>
      <c r="BJ16">
        <v>1</v>
      </c>
      <c r="BK16">
        <v>4</v>
      </c>
      <c r="BL16">
        <v>8</v>
      </c>
      <c r="BM16">
        <v>9</v>
      </c>
      <c r="BN16">
        <v>22</v>
      </c>
      <c r="BO16">
        <v>31</v>
      </c>
      <c r="BP16">
        <v>21</v>
      </c>
      <c r="BQ16">
        <v>19</v>
      </c>
      <c r="BR16">
        <v>24</v>
      </c>
      <c r="BS16">
        <v>15</v>
      </c>
    </row>
    <row r="17" spans="1:71" x14ac:dyDescent="0.3">
      <c r="A17" t="s">
        <v>56</v>
      </c>
      <c r="B17" t="s">
        <v>57</v>
      </c>
      <c r="C17" t="s">
        <v>29</v>
      </c>
      <c r="D17" t="s">
        <v>29</v>
      </c>
      <c r="E17" t="s">
        <v>29</v>
      </c>
      <c r="F17" t="s">
        <v>58</v>
      </c>
      <c r="G17" t="s">
        <v>59</v>
      </c>
      <c r="H17">
        <v>2020</v>
      </c>
      <c r="I17">
        <v>118</v>
      </c>
      <c r="J17" t="s">
        <v>29</v>
      </c>
      <c r="K17" t="s">
        <v>29</v>
      </c>
      <c r="L17" t="s">
        <v>29</v>
      </c>
      <c r="M17" t="s">
        <v>29</v>
      </c>
      <c r="N17" t="s">
        <v>29</v>
      </c>
      <c r="O17" t="s">
        <v>29</v>
      </c>
      <c r="P17">
        <v>103222</v>
      </c>
      <c r="Q17" t="s">
        <v>60</v>
      </c>
      <c r="R17" t="s">
        <v>29</v>
      </c>
      <c r="S17" t="s">
        <v>29</v>
      </c>
      <c r="T17">
        <v>118</v>
      </c>
      <c r="U17">
        <v>23.6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</v>
      </c>
      <c r="AG17">
        <v>0</v>
      </c>
      <c r="AH17">
        <v>0</v>
      </c>
      <c r="AI17">
        <v>0</v>
      </c>
      <c r="AJ17">
        <v>0</v>
      </c>
      <c r="AK17">
        <v>0</v>
      </c>
      <c r="AL17">
        <v>0</v>
      </c>
      <c r="AM17">
        <v>0</v>
      </c>
      <c r="AN17">
        <v>0</v>
      </c>
      <c r="AO17">
        <v>0</v>
      </c>
      <c r="AP17">
        <v>0</v>
      </c>
      <c r="AQ17">
        <v>0</v>
      </c>
      <c r="AR17">
        <v>0</v>
      </c>
      <c r="AS17">
        <v>0</v>
      </c>
      <c r="AT17">
        <v>0</v>
      </c>
      <c r="AU17">
        <v>0</v>
      </c>
      <c r="AV17">
        <v>0</v>
      </c>
      <c r="AW17">
        <v>0</v>
      </c>
      <c r="AX17">
        <v>0</v>
      </c>
      <c r="AY17">
        <v>0</v>
      </c>
      <c r="AZ17">
        <v>0</v>
      </c>
      <c r="BA17">
        <v>0</v>
      </c>
      <c r="BB17">
        <v>0</v>
      </c>
      <c r="BC17">
        <v>0</v>
      </c>
      <c r="BD17">
        <v>0</v>
      </c>
      <c r="BE17">
        <v>0</v>
      </c>
      <c r="BF17">
        <v>0</v>
      </c>
      <c r="BG17">
        <v>0</v>
      </c>
      <c r="BH17">
        <v>0</v>
      </c>
      <c r="BI17">
        <v>0</v>
      </c>
      <c r="BJ17">
        <v>0</v>
      </c>
      <c r="BK17">
        <v>0</v>
      </c>
      <c r="BL17">
        <v>0</v>
      </c>
      <c r="BM17">
        <v>0</v>
      </c>
      <c r="BN17">
        <v>0</v>
      </c>
      <c r="BO17">
        <v>7</v>
      </c>
      <c r="BP17">
        <v>35</v>
      </c>
      <c r="BQ17">
        <v>35</v>
      </c>
      <c r="BR17">
        <v>21</v>
      </c>
      <c r="BS17">
        <v>20</v>
      </c>
    </row>
    <row r="18" spans="1:71" x14ac:dyDescent="0.3">
      <c r="A18" t="s">
        <v>61</v>
      </c>
      <c r="B18" t="s">
        <v>62</v>
      </c>
      <c r="C18" t="s">
        <v>29</v>
      </c>
      <c r="D18" t="s">
        <v>29</v>
      </c>
      <c r="E18" t="s">
        <v>29</v>
      </c>
      <c r="F18" t="s">
        <v>63</v>
      </c>
      <c r="G18" t="s">
        <v>64</v>
      </c>
      <c r="H18">
        <v>2019</v>
      </c>
      <c r="I18">
        <v>13</v>
      </c>
      <c r="J18">
        <v>3</v>
      </c>
      <c r="K18" t="s">
        <v>29</v>
      </c>
      <c r="L18" t="s">
        <v>29</v>
      </c>
      <c r="M18" t="s">
        <v>29</v>
      </c>
      <c r="N18">
        <v>909</v>
      </c>
      <c r="O18">
        <v>922</v>
      </c>
      <c r="P18" t="s">
        <v>29</v>
      </c>
      <c r="Q18" t="s">
        <v>65</v>
      </c>
      <c r="R18" t="s">
        <v>29</v>
      </c>
      <c r="S18" t="s">
        <v>29</v>
      </c>
      <c r="T18">
        <v>107</v>
      </c>
      <c r="U18">
        <v>17.829999999999998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0</v>
      </c>
      <c r="AF18">
        <v>0</v>
      </c>
      <c r="AG18">
        <v>0</v>
      </c>
      <c r="AH18">
        <v>0</v>
      </c>
      <c r="AI18">
        <v>0</v>
      </c>
      <c r="AJ18">
        <v>0</v>
      </c>
      <c r="AK18">
        <v>0</v>
      </c>
      <c r="AL18">
        <v>0</v>
      </c>
      <c r="AM18">
        <v>0</v>
      </c>
      <c r="AN18">
        <v>0</v>
      </c>
      <c r="AO18">
        <v>0</v>
      </c>
      <c r="AP18">
        <v>0</v>
      </c>
      <c r="AQ18">
        <v>0</v>
      </c>
      <c r="AR18">
        <v>0</v>
      </c>
      <c r="AS18">
        <v>0</v>
      </c>
      <c r="AT18">
        <v>0</v>
      </c>
      <c r="AU18">
        <v>0</v>
      </c>
      <c r="AV18">
        <v>0</v>
      </c>
      <c r="AW18">
        <v>0</v>
      </c>
      <c r="AX18">
        <v>0</v>
      </c>
      <c r="AY18">
        <v>0</v>
      </c>
      <c r="AZ18">
        <v>0</v>
      </c>
      <c r="BA18">
        <v>0</v>
      </c>
      <c r="BB18">
        <v>0</v>
      </c>
      <c r="BC18">
        <v>0</v>
      </c>
      <c r="BD18">
        <v>0</v>
      </c>
      <c r="BE18">
        <v>0</v>
      </c>
      <c r="BF18">
        <v>0</v>
      </c>
      <c r="BG18">
        <v>0</v>
      </c>
      <c r="BH18">
        <v>0</v>
      </c>
      <c r="BI18">
        <v>0</v>
      </c>
      <c r="BJ18">
        <v>0</v>
      </c>
      <c r="BK18">
        <v>0</v>
      </c>
      <c r="BL18">
        <v>0</v>
      </c>
      <c r="BM18">
        <v>0</v>
      </c>
      <c r="BN18">
        <v>1</v>
      </c>
      <c r="BO18">
        <v>16</v>
      </c>
      <c r="BP18">
        <v>19</v>
      </c>
      <c r="BQ18">
        <v>17</v>
      </c>
      <c r="BR18">
        <v>30</v>
      </c>
      <c r="BS18">
        <v>22</v>
      </c>
    </row>
    <row r="19" spans="1:71" x14ac:dyDescent="0.3">
      <c r="A19" t="s">
        <v>66</v>
      </c>
      <c r="B19" t="s">
        <v>67</v>
      </c>
      <c r="C19" t="s">
        <v>29</v>
      </c>
      <c r="D19" t="s">
        <v>29</v>
      </c>
      <c r="E19" t="s">
        <v>29</v>
      </c>
      <c r="F19" t="s">
        <v>68</v>
      </c>
      <c r="G19" t="s">
        <v>69</v>
      </c>
      <c r="H19">
        <v>2018</v>
      </c>
      <c r="I19">
        <v>32</v>
      </c>
      <c r="J19">
        <v>4</v>
      </c>
      <c r="K19" t="s">
        <v>29</v>
      </c>
      <c r="L19" t="s">
        <v>29</v>
      </c>
      <c r="M19" t="s">
        <v>29</v>
      </c>
      <c r="N19">
        <v>985</v>
      </c>
      <c r="O19">
        <v>1015</v>
      </c>
      <c r="P19" t="s">
        <v>29</v>
      </c>
      <c r="Q19" t="s">
        <v>70</v>
      </c>
      <c r="R19" t="s">
        <v>29</v>
      </c>
      <c r="S19" t="s">
        <v>29</v>
      </c>
      <c r="T19">
        <v>105</v>
      </c>
      <c r="U19">
        <v>15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  <c r="AD19">
        <v>0</v>
      </c>
      <c r="AE19">
        <v>0</v>
      </c>
      <c r="AF19">
        <v>0</v>
      </c>
      <c r="AG19">
        <v>0</v>
      </c>
      <c r="AH19">
        <v>0</v>
      </c>
      <c r="AI19">
        <v>0</v>
      </c>
      <c r="AJ19">
        <v>0</v>
      </c>
      <c r="AK19">
        <v>0</v>
      </c>
      <c r="AL19">
        <v>0</v>
      </c>
      <c r="AM19">
        <v>0</v>
      </c>
      <c r="AN19">
        <v>0</v>
      </c>
      <c r="AO19">
        <v>0</v>
      </c>
      <c r="AP19">
        <v>0</v>
      </c>
      <c r="AQ19">
        <v>0</v>
      </c>
      <c r="AR19">
        <v>0</v>
      </c>
      <c r="AS19">
        <v>0</v>
      </c>
      <c r="AT19">
        <v>0</v>
      </c>
      <c r="AU19">
        <v>0</v>
      </c>
      <c r="AV19">
        <v>0</v>
      </c>
      <c r="AW19">
        <v>0</v>
      </c>
      <c r="AX19">
        <v>0</v>
      </c>
      <c r="AY19">
        <v>0</v>
      </c>
      <c r="AZ19">
        <v>0</v>
      </c>
      <c r="BA19">
        <v>0</v>
      </c>
      <c r="BB19">
        <v>0</v>
      </c>
      <c r="BC19">
        <v>0</v>
      </c>
      <c r="BD19">
        <v>0</v>
      </c>
      <c r="BE19">
        <v>0</v>
      </c>
      <c r="BF19">
        <v>0</v>
      </c>
      <c r="BG19">
        <v>0</v>
      </c>
      <c r="BH19">
        <v>0</v>
      </c>
      <c r="BI19">
        <v>0</v>
      </c>
      <c r="BJ19">
        <v>0</v>
      </c>
      <c r="BK19">
        <v>0</v>
      </c>
      <c r="BL19">
        <v>0</v>
      </c>
      <c r="BM19">
        <v>2</v>
      </c>
      <c r="BN19">
        <v>6</v>
      </c>
      <c r="BO19">
        <v>9</v>
      </c>
      <c r="BP19">
        <v>13</v>
      </c>
      <c r="BQ19">
        <v>21</v>
      </c>
      <c r="BR19">
        <v>26</v>
      </c>
      <c r="BS19">
        <v>28</v>
      </c>
    </row>
    <row r="20" spans="1:71" x14ac:dyDescent="0.3">
      <c r="A20" t="s">
        <v>71</v>
      </c>
      <c r="B20" t="s">
        <v>72</v>
      </c>
      <c r="C20" t="s">
        <v>29</v>
      </c>
      <c r="D20" t="s">
        <v>29</v>
      </c>
      <c r="E20" t="s">
        <v>29</v>
      </c>
      <c r="F20" t="s">
        <v>73</v>
      </c>
      <c r="G20" t="s">
        <v>74</v>
      </c>
      <c r="H20">
        <v>2001</v>
      </c>
      <c r="I20">
        <v>74</v>
      </c>
      <c r="J20">
        <v>4</v>
      </c>
      <c r="K20" t="s">
        <v>29</v>
      </c>
      <c r="L20" t="s">
        <v>29</v>
      </c>
      <c r="M20" t="s">
        <v>29</v>
      </c>
      <c r="N20">
        <v>296</v>
      </c>
      <c r="O20">
        <v>317</v>
      </c>
      <c r="P20" t="s">
        <v>29</v>
      </c>
      <c r="Q20" t="s">
        <v>75</v>
      </c>
      <c r="R20" t="s">
        <v>29</v>
      </c>
      <c r="S20" t="s">
        <v>29</v>
      </c>
      <c r="T20">
        <v>94</v>
      </c>
      <c r="U20">
        <v>3.92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0</v>
      </c>
      <c r="AF20">
        <v>0</v>
      </c>
      <c r="AG20">
        <v>0</v>
      </c>
      <c r="AH20">
        <v>0</v>
      </c>
      <c r="AI20">
        <v>0</v>
      </c>
      <c r="AJ20">
        <v>0</v>
      </c>
      <c r="AK20">
        <v>0</v>
      </c>
      <c r="AL20">
        <v>0</v>
      </c>
      <c r="AM20">
        <v>0</v>
      </c>
      <c r="AN20">
        <v>0</v>
      </c>
      <c r="AO20">
        <v>0</v>
      </c>
      <c r="AP20">
        <v>0</v>
      </c>
      <c r="AQ20">
        <v>0</v>
      </c>
      <c r="AR20">
        <v>0</v>
      </c>
      <c r="AS20">
        <v>0</v>
      </c>
      <c r="AT20">
        <v>0</v>
      </c>
      <c r="AU20">
        <v>0</v>
      </c>
      <c r="AV20">
        <v>0</v>
      </c>
      <c r="AW20">
        <v>1</v>
      </c>
      <c r="AX20">
        <v>2</v>
      </c>
      <c r="AY20">
        <v>1</v>
      </c>
      <c r="AZ20">
        <v>0</v>
      </c>
      <c r="BA20">
        <v>1</v>
      </c>
      <c r="BB20">
        <v>2</v>
      </c>
      <c r="BC20">
        <v>7</v>
      </c>
      <c r="BD20">
        <v>2</v>
      </c>
      <c r="BE20">
        <v>2</v>
      </c>
      <c r="BF20">
        <v>4</v>
      </c>
      <c r="BG20">
        <v>4</v>
      </c>
      <c r="BH20">
        <v>5</v>
      </c>
      <c r="BI20">
        <v>3</v>
      </c>
      <c r="BJ20">
        <v>5</v>
      </c>
      <c r="BK20">
        <v>5</v>
      </c>
      <c r="BL20">
        <v>3</v>
      </c>
      <c r="BM20">
        <v>7</v>
      </c>
      <c r="BN20">
        <v>11</v>
      </c>
      <c r="BO20">
        <v>4</v>
      </c>
      <c r="BP20">
        <v>5</v>
      </c>
      <c r="BQ20">
        <v>4</v>
      </c>
      <c r="BR20">
        <v>8</v>
      </c>
      <c r="BS20">
        <v>7</v>
      </c>
    </row>
    <row r="21" spans="1:71" x14ac:dyDescent="0.3">
      <c r="A21" t="s">
        <v>76</v>
      </c>
      <c r="B21" t="s">
        <v>77</v>
      </c>
      <c r="C21" t="s">
        <v>29</v>
      </c>
      <c r="D21" t="s">
        <v>29</v>
      </c>
      <c r="E21" t="s">
        <v>29</v>
      </c>
      <c r="F21" t="s">
        <v>78</v>
      </c>
      <c r="G21">
        <v>2018</v>
      </c>
      <c r="H21">
        <v>2018</v>
      </c>
      <c r="I21">
        <v>70</v>
      </c>
      <c r="J21">
        <v>1</v>
      </c>
      <c r="K21" t="s">
        <v>29</v>
      </c>
      <c r="L21" t="s">
        <v>29</v>
      </c>
      <c r="M21" t="s">
        <v>29</v>
      </c>
      <c r="N21">
        <v>148</v>
      </c>
      <c r="O21">
        <v>166</v>
      </c>
      <c r="P21" t="s">
        <v>29</v>
      </c>
      <c r="Q21" t="s">
        <v>79</v>
      </c>
      <c r="R21" t="s">
        <v>29</v>
      </c>
      <c r="S21" t="s">
        <v>29</v>
      </c>
      <c r="T21">
        <v>91</v>
      </c>
      <c r="U21">
        <v>13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0</v>
      </c>
      <c r="AE21">
        <v>0</v>
      </c>
      <c r="AF21">
        <v>0</v>
      </c>
      <c r="AG21">
        <v>0</v>
      </c>
      <c r="AH21">
        <v>0</v>
      </c>
      <c r="AI21">
        <v>0</v>
      </c>
      <c r="AJ21">
        <v>0</v>
      </c>
      <c r="AK21">
        <v>0</v>
      </c>
      <c r="AL21">
        <v>0</v>
      </c>
      <c r="AM21">
        <v>0</v>
      </c>
      <c r="AN21">
        <v>0</v>
      </c>
      <c r="AO21">
        <v>0</v>
      </c>
      <c r="AP21">
        <v>0</v>
      </c>
      <c r="AQ21">
        <v>0</v>
      </c>
      <c r="AR21">
        <v>0</v>
      </c>
      <c r="AS21">
        <v>0</v>
      </c>
      <c r="AT21">
        <v>0</v>
      </c>
      <c r="AU21">
        <v>0</v>
      </c>
      <c r="AV21">
        <v>0</v>
      </c>
      <c r="AW21">
        <v>0</v>
      </c>
      <c r="AX21">
        <v>0</v>
      </c>
      <c r="AY21">
        <v>0</v>
      </c>
      <c r="AZ21">
        <v>0</v>
      </c>
      <c r="BA21">
        <v>0</v>
      </c>
      <c r="BB21">
        <v>0</v>
      </c>
      <c r="BC21">
        <v>0</v>
      </c>
      <c r="BD21">
        <v>0</v>
      </c>
      <c r="BE21">
        <v>0</v>
      </c>
      <c r="BF21">
        <v>0</v>
      </c>
      <c r="BG21">
        <v>0</v>
      </c>
      <c r="BH21">
        <v>0</v>
      </c>
      <c r="BI21">
        <v>0</v>
      </c>
      <c r="BJ21">
        <v>0</v>
      </c>
      <c r="BK21">
        <v>0</v>
      </c>
      <c r="BL21">
        <v>0</v>
      </c>
      <c r="BM21">
        <v>2</v>
      </c>
      <c r="BN21">
        <v>7</v>
      </c>
      <c r="BO21">
        <v>20</v>
      </c>
      <c r="BP21">
        <v>18</v>
      </c>
      <c r="BQ21">
        <v>16</v>
      </c>
      <c r="BR21">
        <v>15</v>
      </c>
      <c r="BS21">
        <v>13</v>
      </c>
    </row>
    <row r="22" spans="1:71" x14ac:dyDescent="0.3">
      <c r="A22" t="s">
        <v>80</v>
      </c>
      <c r="B22" t="s">
        <v>81</v>
      </c>
      <c r="C22" t="s">
        <v>29</v>
      </c>
      <c r="D22" t="s">
        <v>29</v>
      </c>
      <c r="E22" t="s">
        <v>29</v>
      </c>
      <c r="F22" t="s">
        <v>82</v>
      </c>
      <c r="G22" t="s">
        <v>83</v>
      </c>
      <c r="H22">
        <v>2018</v>
      </c>
      <c r="I22">
        <v>20</v>
      </c>
      <c r="J22">
        <v>5</v>
      </c>
      <c r="K22" t="s">
        <v>29</v>
      </c>
      <c r="L22" t="s">
        <v>29</v>
      </c>
      <c r="M22" t="s">
        <v>29</v>
      </c>
      <c r="N22" t="s">
        <v>29</v>
      </c>
      <c r="O22" t="s">
        <v>29</v>
      </c>
      <c r="P22" t="s">
        <v>84</v>
      </c>
      <c r="Q22" t="s">
        <v>85</v>
      </c>
      <c r="R22" t="s">
        <v>29</v>
      </c>
      <c r="S22" t="s">
        <v>29</v>
      </c>
      <c r="T22">
        <v>87</v>
      </c>
      <c r="U22">
        <v>12.43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0</v>
      </c>
      <c r="AF22">
        <v>0</v>
      </c>
      <c r="AG22">
        <v>0</v>
      </c>
      <c r="AH22">
        <v>0</v>
      </c>
      <c r="AI22">
        <v>0</v>
      </c>
      <c r="AJ22">
        <v>0</v>
      </c>
      <c r="AK22">
        <v>0</v>
      </c>
      <c r="AL22">
        <v>0</v>
      </c>
      <c r="AM22">
        <v>0</v>
      </c>
      <c r="AN22">
        <v>0</v>
      </c>
      <c r="AO22">
        <v>0</v>
      </c>
      <c r="AP22">
        <v>0</v>
      </c>
      <c r="AQ22">
        <v>0</v>
      </c>
      <c r="AR22">
        <v>0</v>
      </c>
      <c r="AS22">
        <v>0</v>
      </c>
      <c r="AT22">
        <v>0</v>
      </c>
      <c r="AU22">
        <v>0</v>
      </c>
      <c r="AV22">
        <v>0</v>
      </c>
      <c r="AW22">
        <v>0</v>
      </c>
      <c r="AX22">
        <v>0</v>
      </c>
      <c r="AY22">
        <v>0</v>
      </c>
      <c r="AZ22">
        <v>0</v>
      </c>
      <c r="BA22">
        <v>0</v>
      </c>
      <c r="BB22">
        <v>0</v>
      </c>
      <c r="BC22">
        <v>0</v>
      </c>
      <c r="BD22">
        <v>0</v>
      </c>
      <c r="BE22">
        <v>0</v>
      </c>
      <c r="BF22">
        <v>0</v>
      </c>
      <c r="BG22">
        <v>0</v>
      </c>
      <c r="BH22">
        <v>0</v>
      </c>
      <c r="BI22">
        <v>0</v>
      </c>
      <c r="BJ22">
        <v>0</v>
      </c>
      <c r="BK22">
        <v>0</v>
      </c>
      <c r="BL22">
        <v>0</v>
      </c>
      <c r="BM22">
        <v>0</v>
      </c>
      <c r="BN22">
        <v>14</v>
      </c>
      <c r="BO22">
        <v>19</v>
      </c>
      <c r="BP22">
        <v>21</v>
      </c>
      <c r="BQ22">
        <v>17</v>
      </c>
      <c r="BR22">
        <v>12</v>
      </c>
      <c r="BS22">
        <v>4</v>
      </c>
    </row>
    <row r="23" spans="1:71" x14ac:dyDescent="0.3">
      <c r="A23" t="s">
        <v>86</v>
      </c>
      <c r="B23" t="s">
        <v>87</v>
      </c>
      <c r="C23" t="s">
        <v>29</v>
      </c>
      <c r="D23" t="s">
        <v>29</v>
      </c>
      <c r="E23" t="s">
        <v>29</v>
      </c>
      <c r="F23" t="s">
        <v>88</v>
      </c>
      <c r="G23" t="s">
        <v>89</v>
      </c>
      <c r="H23">
        <v>2016</v>
      </c>
      <c r="I23">
        <v>27</v>
      </c>
      <c r="J23">
        <v>4</v>
      </c>
      <c r="K23" t="s">
        <v>29</v>
      </c>
      <c r="L23" t="s">
        <v>29</v>
      </c>
      <c r="M23" t="s">
        <v>29</v>
      </c>
      <c r="N23">
        <v>453</v>
      </c>
      <c r="O23">
        <v>470</v>
      </c>
      <c r="P23" t="s">
        <v>29</v>
      </c>
      <c r="Q23" t="s">
        <v>90</v>
      </c>
      <c r="R23" t="s">
        <v>29</v>
      </c>
      <c r="S23" t="s">
        <v>29</v>
      </c>
      <c r="T23">
        <v>87</v>
      </c>
      <c r="U23">
        <v>9.67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  <c r="AD23">
        <v>0</v>
      </c>
      <c r="AE23">
        <v>0</v>
      </c>
      <c r="AF23">
        <v>0</v>
      </c>
      <c r="AG23">
        <v>0</v>
      </c>
      <c r="AH23">
        <v>0</v>
      </c>
      <c r="AI23">
        <v>0</v>
      </c>
      <c r="AJ23">
        <v>0</v>
      </c>
      <c r="AK23">
        <v>0</v>
      </c>
      <c r="AL23">
        <v>0</v>
      </c>
      <c r="AM23">
        <v>0</v>
      </c>
      <c r="AN23">
        <v>0</v>
      </c>
      <c r="AO23">
        <v>0</v>
      </c>
      <c r="AP23">
        <v>0</v>
      </c>
      <c r="AQ23">
        <v>0</v>
      </c>
      <c r="AR23">
        <v>0</v>
      </c>
      <c r="AS23">
        <v>0</v>
      </c>
      <c r="AT23">
        <v>0</v>
      </c>
      <c r="AU23">
        <v>0</v>
      </c>
      <c r="AV23">
        <v>0</v>
      </c>
      <c r="AW23">
        <v>0</v>
      </c>
      <c r="AX23">
        <v>0</v>
      </c>
      <c r="AY23">
        <v>0</v>
      </c>
      <c r="AZ23">
        <v>0</v>
      </c>
      <c r="BA23">
        <v>0</v>
      </c>
      <c r="BB23">
        <v>0</v>
      </c>
      <c r="BC23">
        <v>0</v>
      </c>
      <c r="BD23">
        <v>0</v>
      </c>
      <c r="BE23">
        <v>0</v>
      </c>
      <c r="BF23">
        <v>0</v>
      </c>
      <c r="BG23">
        <v>0</v>
      </c>
      <c r="BH23">
        <v>0</v>
      </c>
      <c r="BI23">
        <v>0</v>
      </c>
      <c r="BJ23">
        <v>0</v>
      </c>
      <c r="BK23">
        <v>0</v>
      </c>
      <c r="BL23">
        <v>0</v>
      </c>
      <c r="BM23">
        <v>6</v>
      </c>
      <c r="BN23">
        <v>3</v>
      </c>
      <c r="BO23">
        <v>9</v>
      </c>
      <c r="BP23">
        <v>16</v>
      </c>
      <c r="BQ23">
        <v>16</v>
      </c>
      <c r="BR23">
        <v>18</v>
      </c>
      <c r="BS23">
        <v>19</v>
      </c>
    </row>
    <row r="24" spans="1:71" x14ac:dyDescent="0.3">
      <c r="A24" t="s">
        <v>91</v>
      </c>
      <c r="B24" t="s">
        <v>92</v>
      </c>
      <c r="C24" t="s">
        <v>29</v>
      </c>
      <c r="D24" t="s">
        <v>29</v>
      </c>
      <c r="E24" t="s">
        <v>29</v>
      </c>
      <c r="F24" t="s">
        <v>48</v>
      </c>
      <c r="G24">
        <v>2019</v>
      </c>
      <c r="H24">
        <v>2019</v>
      </c>
      <c r="I24">
        <v>61</v>
      </c>
      <c r="J24">
        <v>5</v>
      </c>
      <c r="K24" t="s">
        <v>29</v>
      </c>
      <c r="L24" t="s">
        <v>29</v>
      </c>
      <c r="M24" t="s">
        <v>32</v>
      </c>
      <c r="N24">
        <v>590</v>
      </c>
      <c r="O24">
        <v>604</v>
      </c>
      <c r="P24" t="s">
        <v>29</v>
      </c>
      <c r="Q24" t="s">
        <v>93</v>
      </c>
      <c r="R24" t="s">
        <v>29</v>
      </c>
      <c r="S24" t="s">
        <v>29</v>
      </c>
      <c r="T24">
        <v>86</v>
      </c>
      <c r="U24">
        <v>14.33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0</v>
      </c>
      <c r="AE24">
        <v>0</v>
      </c>
      <c r="AF24">
        <v>0</v>
      </c>
      <c r="AG24">
        <v>0</v>
      </c>
      <c r="AH24">
        <v>0</v>
      </c>
      <c r="AI24">
        <v>0</v>
      </c>
      <c r="AJ24">
        <v>0</v>
      </c>
      <c r="AK24">
        <v>0</v>
      </c>
      <c r="AL24">
        <v>0</v>
      </c>
      <c r="AM24">
        <v>0</v>
      </c>
      <c r="AN24">
        <v>0</v>
      </c>
      <c r="AO24">
        <v>0</v>
      </c>
      <c r="AP24">
        <v>0</v>
      </c>
      <c r="AQ24">
        <v>0</v>
      </c>
      <c r="AR24">
        <v>0</v>
      </c>
      <c r="AS24">
        <v>0</v>
      </c>
      <c r="AT24">
        <v>0</v>
      </c>
      <c r="AU24">
        <v>0</v>
      </c>
      <c r="AV24">
        <v>0</v>
      </c>
      <c r="AW24">
        <v>0</v>
      </c>
      <c r="AX24">
        <v>0</v>
      </c>
      <c r="AY24">
        <v>0</v>
      </c>
      <c r="AZ24">
        <v>0</v>
      </c>
      <c r="BA24">
        <v>0</v>
      </c>
      <c r="BB24">
        <v>0</v>
      </c>
      <c r="BC24">
        <v>0</v>
      </c>
      <c r="BD24">
        <v>0</v>
      </c>
      <c r="BE24">
        <v>0</v>
      </c>
      <c r="BF24">
        <v>0</v>
      </c>
      <c r="BG24">
        <v>0</v>
      </c>
      <c r="BH24">
        <v>0</v>
      </c>
      <c r="BI24">
        <v>0</v>
      </c>
      <c r="BJ24">
        <v>0</v>
      </c>
      <c r="BK24">
        <v>0</v>
      </c>
      <c r="BL24">
        <v>0</v>
      </c>
      <c r="BM24">
        <v>0</v>
      </c>
      <c r="BN24">
        <v>1</v>
      </c>
      <c r="BO24">
        <v>12</v>
      </c>
      <c r="BP24">
        <v>17</v>
      </c>
      <c r="BQ24">
        <v>20</v>
      </c>
      <c r="BR24">
        <v>18</v>
      </c>
      <c r="BS24">
        <v>18</v>
      </c>
    </row>
    <row r="25" spans="1:71" x14ac:dyDescent="0.3">
      <c r="A25" t="s">
        <v>94</v>
      </c>
      <c r="B25" t="s">
        <v>95</v>
      </c>
      <c r="C25" t="s">
        <v>29</v>
      </c>
      <c r="D25" t="s">
        <v>29</v>
      </c>
      <c r="E25" t="s">
        <v>29</v>
      </c>
      <c r="F25" t="s">
        <v>96</v>
      </c>
      <c r="G25" t="s">
        <v>97</v>
      </c>
      <c r="H25">
        <v>2018</v>
      </c>
      <c r="I25">
        <v>115</v>
      </c>
      <c r="J25">
        <v>50</v>
      </c>
      <c r="K25" t="s">
        <v>29</v>
      </c>
      <c r="L25" t="s">
        <v>29</v>
      </c>
      <c r="M25" t="s">
        <v>29</v>
      </c>
      <c r="N25">
        <v>12630</v>
      </c>
      <c r="O25">
        <v>12637</v>
      </c>
      <c r="P25" t="s">
        <v>29</v>
      </c>
      <c r="Q25" t="s">
        <v>98</v>
      </c>
      <c r="R25" t="s">
        <v>29</v>
      </c>
      <c r="S25" t="s">
        <v>29</v>
      </c>
      <c r="T25">
        <v>83</v>
      </c>
      <c r="U25">
        <v>11.86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0</v>
      </c>
      <c r="AD25">
        <v>0</v>
      </c>
      <c r="AE25">
        <v>0</v>
      </c>
      <c r="AF25">
        <v>0</v>
      </c>
      <c r="AG25">
        <v>0</v>
      </c>
      <c r="AH25">
        <v>0</v>
      </c>
      <c r="AI25">
        <v>0</v>
      </c>
      <c r="AJ25">
        <v>0</v>
      </c>
      <c r="AK25">
        <v>0</v>
      </c>
      <c r="AL25">
        <v>0</v>
      </c>
      <c r="AM25">
        <v>0</v>
      </c>
      <c r="AN25">
        <v>0</v>
      </c>
      <c r="AO25">
        <v>0</v>
      </c>
      <c r="AP25">
        <v>0</v>
      </c>
      <c r="AQ25">
        <v>0</v>
      </c>
      <c r="AR25">
        <v>0</v>
      </c>
      <c r="AS25">
        <v>0</v>
      </c>
      <c r="AT25">
        <v>0</v>
      </c>
      <c r="AU25">
        <v>0</v>
      </c>
      <c r="AV25">
        <v>0</v>
      </c>
      <c r="AW25">
        <v>0</v>
      </c>
      <c r="AX25">
        <v>0</v>
      </c>
      <c r="AY25">
        <v>0</v>
      </c>
      <c r="AZ25">
        <v>0</v>
      </c>
      <c r="BA25">
        <v>0</v>
      </c>
      <c r="BB25">
        <v>0</v>
      </c>
      <c r="BC25">
        <v>0</v>
      </c>
      <c r="BD25">
        <v>0</v>
      </c>
      <c r="BE25">
        <v>0</v>
      </c>
      <c r="BF25">
        <v>0</v>
      </c>
      <c r="BG25">
        <v>0</v>
      </c>
      <c r="BH25">
        <v>0</v>
      </c>
      <c r="BI25">
        <v>0</v>
      </c>
      <c r="BJ25">
        <v>0</v>
      </c>
      <c r="BK25">
        <v>0</v>
      </c>
      <c r="BL25">
        <v>0</v>
      </c>
      <c r="BM25">
        <v>1</v>
      </c>
      <c r="BN25">
        <v>5</v>
      </c>
      <c r="BO25">
        <v>6</v>
      </c>
      <c r="BP25">
        <v>17</v>
      </c>
      <c r="BQ25">
        <v>21</v>
      </c>
      <c r="BR25">
        <v>17</v>
      </c>
      <c r="BS25">
        <v>16</v>
      </c>
    </row>
    <row r="26" spans="1:71" x14ac:dyDescent="0.3">
      <c r="A26" t="s">
        <v>99</v>
      </c>
      <c r="B26" t="s">
        <v>100</v>
      </c>
      <c r="C26" t="s">
        <v>29</v>
      </c>
      <c r="D26" t="s">
        <v>29</v>
      </c>
      <c r="E26" t="s">
        <v>29</v>
      </c>
      <c r="F26" t="s">
        <v>101</v>
      </c>
      <c r="G26" t="s">
        <v>102</v>
      </c>
      <c r="H26">
        <v>2011</v>
      </c>
      <c r="I26">
        <v>90</v>
      </c>
      <c r="J26">
        <v>1</v>
      </c>
      <c r="K26" t="s">
        <v>29</v>
      </c>
      <c r="L26" t="s">
        <v>29</v>
      </c>
      <c r="M26" t="s">
        <v>29</v>
      </c>
      <c r="N26">
        <v>17</v>
      </c>
      <c r="O26">
        <v>39</v>
      </c>
      <c r="P26" t="s">
        <v>29</v>
      </c>
      <c r="Q26" t="s">
        <v>103</v>
      </c>
      <c r="R26" t="s">
        <v>29</v>
      </c>
      <c r="S26" t="s">
        <v>29</v>
      </c>
      <c r="T26">
        <v>83</v>
      </c>
      <c r="U26">
        <v>5.93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B26">
        <v>0</v>
      </c>
      <c r="AC26">
        <v>0</v>
      </c>
      <c r="AD26">
        <v>0</v>
      </c>
      <c r="AE26">
        <v>0</v>
      </c>
      <c r="AF26">
        <v>0</v>
      </c>
      <c r="AG26">
        <v>0</v>
      </c>
      <c r="AH26">
        <v>0</v>
      </c>
      <c r="AI26">
        <v>0</v>
      </c>
      <c r="AJ26">
        <v>0</v>
      </c>
      <c r="AK26">
        <v>0</v>
      </c>
      <c r="AL26">
        <v>0</v>
      </c>
      <c r="AM26">
        <v>0</v>
      </c>
      <c r="AN26">
        <v>0</v>
      </c>
      <c r="AO26">
        <v>0</v>
      </c>
      <c r="AP26">
        <v>0</v>
      </c>
      <c r="AQ26">
        <v>0</v>
      </c>
      <c r="AR26">
        <v>0</v>
      </c>
      <c r="AS26">
        <v>0</v>
      </c>
      <c r="AT26">
        <v>0</v>
      </c>
      <c r="AU26">
        <v>0</v>
      </c>
      <c r="AV26">
        <v>0</v>
      </c>
      <c r="AW26">
        <v>0</v>
      </c>
      <c r="AX26">
        <v>0</v>
      </c>
      <c r="AY26">
        <v>0</v>
      </c>
      <c r="AZ26">
        <v>0</v>
      </c>
      <c r="BA26">
        <v>0</v>
      </c>
      <c r="BB26">
        <v>0</v>
      </c>
      <c r="BC26">
        <v>0</v>
      </c>
      <c r="BD26">
        <v>0</v>
      </c>
      <c r="BE26">
        <v>0</v>
      </c>
      <c r="BF26">
        <v>0</v>
      </c>
      <c r="BG26">
        <v>2</v>
      </c>
      <c r="BH26">
        <v>2</v>
      </c>
      <c r="BI26">
        <v>1</v>
      </c>
      <c r="BJ26">
        <v>9</v>
      </c>
      <c r="BK26">
        <v>7</v>
      </c>
      <c r="BL26">
        <v>6</v>
      </c>
      <c r="BM26">
        <v>10</v>
      </c>
      <c r="BN26">
        <v>14</v>
      </c>
      <c r="BO26">
        <v>9</v>
      </c>
      <c r="BP26">
        <v>4</v>
      </c>
      <c r="BQ26">
        <v>6</v>
      </c>
      <c r="BR26">
        <v>10</v>
      </c>
      <c r="BS26">
        <v>3</v>
      </c>
    </row>
    <row r="27" spans="1:71" x14ac:dyDescent="0.3">
      <c r="A27" t="s">
        <v>104</v>
      </c>
      <c r="B27" t="s">
        <v>105</v>
      </c>
      <c r="C27" t="s">
        <v>29</v>
      </c>
      <c r="D27" t="s">
        <v>29</v>
      </c>
      <c r="E27" t="s">
        <v>29</v>
      </c>
      <c r="F27" t="s">
        <v>106</v>
      </c>
      <c r="G27" t="s">
        <v>107</v>
      </c>
      <c r="H27">
        <v>2005</v>
      </c>
      <c r="I27">
        <v>48</v>
      </c>
      <c r="J27">
        <v>1</v>
      </c>
      <c r="K27" t="s">
        <v>29</v>
      </c>
      <c r="L27" t="s">
        <v>29</v>
      </c>
      <c r="M27" t="s">
        <v>29</v>
      </c>
      <c r="N27">
        <v>1</v>
      </c>
      <c r="O27">
        <v>39</v>
      </c>
      <c r="P27" t="s">
        <v>29</v>
      </c>
      <c r="Q27" t="s">
        <v>108</v>
      </c>
      <c r="R27" t="s">
        <v>29</v>
      </c>
      <c r="S27" t="s">
        <v>29</v>
      </c>
      <c r="T27">
        <v>77</v>
      </c>
      <c r="U27">
        <v>3.85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  <c r="AB27">
        <v>0</v>
      </c>
      <c r="AC27">
        <v>0</v>
      </c>
      <c r="AD27">
        <v>0</v>
      </c>
      <c r="AE27">
        <v>0</v>
      </c>
      <c r="AF27">
        <v>0</v>
      </c>
      <c r="AG27">
        <v>0</v>
      </c>
      <c r="AH27">
        <v>0</v>
      </c>
      <c r="AI27">
        <v>0</v>
      </c>
      <c r="AJ27">
        <v>0</v>
      </c>
      <c r="AK27">
        <v>0</v>
      </c>
      <c r="AL27">
        <v>0</v>
      </c>
      <c r="AM27">
        <v>0</v>
      </c>
      <c r="AN27">
        <v>0</v>
      </c>
      <c r="AO27">
        <v>0</v>
      </c>
      <c r="AP27">
        <v>0</v>
      </c>
      <c r="AQ27">
        <v>0</v>
      </c>
      <c r="AR27">
        <v>0</v>
      </c>
      <c r="AS27">
        <v>0</v>
      </c>
      <c r="AT27">
        <v>0</v>
      </c>
      <c r="AU27">
        <v>0</v>
      </c>
      <c r="AV27">
        <v>0</v>
      </c>
      <c r="AW27">
        <v>0</v>
      </c>
      <c r="AX27">
        <v>0</v>
      </c>
      <c r="AY27">
        <v>0</v>
      </c>
      <c r="AZ27">
        <v>0</v>
      </c>
      <c r="BA27">
        <v>3</v>
      </c>
      <c r="BB27">
        <v>4</v>
      </c>
      <c r="BC27">
        <v>3</v>
      </c>
      <c r="BD27">
        <v>5</v>
      </c>
      <c r="BE27">
        <v>2</v>
      </c>
      <c r="BF27">
        <v>7</v>
      </c>
      <c r="BG27">
        <v>3</v>
      </c>
      <c r="BH27">
        <v>4</v>
      </c>
      <c r="BI27">
        <v>6</v>
      </c>
      <c r="BJ27">
        <v>3</v>
      </c>
      <c r="BK27">
        <v>3</v>
      </c>
      <c r="BL27">
        <v>5</v>
      </c>
      <c r="BM27">
        <v>5</v>
      </c>
      <c r="BN27">
        <v>11</v>
      </c>
      <c r="BO27">
        <v>3</v>
      </c>
      <c r="BP27">
        <v>1</v>
      </c>
      <c r="BQ27">
        <v>3</v>
      </c>
      <c r="BR27">
        <v>2</v>
      </c>
      <c r="BS27">
        <v>4</v>
      </c>
    </row>
    <row r="28" spans="1:71" x14ac:dyDescent="0.3">
      <c r="A28" t="s">
        <v>109</v>
      </c>
      <c r="B28" t="s">
        <v>110</v>
      </c>
      <c r="C28" t="s">
        <v>29</v>
      </c>
      <c r="D28" t="s">
        <v>29</v>
      </c>
      <c r="E28" t="s">
        <v>29</v>
      </c>
      <c r="F28" t="s">
        <v>111</v>
      </c>
      <c r="G28" t="s">
        <v>112</v>
      </c>
      <c r="H28">
        <v>2010</v>
      </c>
      <c r="I28">
        <v>29</v>
      </c>
      <c r="J28">
        <v>4</v>
      </c>
      <c r="K28" t="s">
        <v>29</v>
      </c>
      <c r="L28" t="s">
        <v>29</v>
      </c>
      <c r="M28" t="s">
        <v>29</v>
      </c>
      <c r="N28">
        <v>650</v>
      </c>
      <c r="O28">
        <v>657</v>
      </c>
      <c r="P28" t="s">
        <v>29</v>
      </c>
      <c r="Q28" t="s">
        <v>113</v>
      </c>
      <c r="R28" t="s">
        <v>29</v>
      </c>
      <c r="S28" t="s">
        <v>29</v>
      </c>
      <c r="T28">
        <v>72</v>
      </c>
      <c r="U28">
        <v>4.8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0</v>
      </c>
      <c r="AD28">
        <v>0</v>
      </c>
      <c r="AE28">
        <v>0</v>
      </c>
      <c r="AF28">
        <v>0</v>
      </c>
      <c r="AG28">
        <v>0</v>
      </c>
      <c r="AH28">
        <v>0</v>
      </c>
      <c r="AI28">
        <v>0</v>
      </c>
      <c r="AJ28">
        <v>0</v>
      </c>
      <c r="AK28">
        <v>0</v>
      </c>
      <c r="AL28">
        <v>0</v>
      </c>
      <c r="AM28">
        <v>0</v>
      </c>
      <c r="AN28">
        <v>0</v>
      </c>
      <c r="AO28">
        <v>0</v>
      </c>
      <c r="AP28">
        <v>0</v>
      </c>
      <c r="AQ28">
        <v>0</v>
      </c>
      <c r="AR28">
        <v>0</v>
      </c>
      <c r="AS28">
        <v>0</v>
      </c>
      <c r="AT28">
        <v>0</v>
      </c>
      <c r="AU28">
        <v>0</v>
      </c>
      <c r="AV28">
        <v>0</v>
      </c>
      <c r="AW28">
        <v>0</v>
      </c>
      <c r="AX28">
        <v>0</v>
      </c>
      <c r="AY28">
        <v>0</v>
      </c>
      <c r="AZ28">
        <v>0</v>
      </c>
      <c r="BA28">
        <v>0</v>
      </c>
      <c r="BB28">
        <v>0</v>
      </c>
      <c r="BC28">
        <v>0</v>
      </c>
      <c r="BD28">
        <v>0</v>
      </c>
      <c r="BE28">
        <v>0</v>
      </c>
      <c r="BF28">
        <v>3</v>
      </c>
      <c r="BG28">
        <v>3</v>
      </c>
      <c r="BH28">
        <v>5</v>
      </c>
      <c r="BI28">
        <v>3</v>
      </c>
      <c r="BJ28">
        <v>6</v>
      </c>
      <c r="BK28">
        <v>5</v>
      </c>
      <c r="BL28">
        <v>5</v>
      </c>
      <c r="BM28">
        <v>8</v>
      </c>
      <c r="BN28">
        <v>7</v>
      </c>
      <c r="BO28">
        <v>7</v>
      </c>
      <c r="BP28">
        <v>8</v>
      </c>
      <c r="BQ28">
        <v>3</v>
      </c>
      <c r="BR28">
        <v>6</v>
      </c>
      <c r="BS28">
        <v>3</v>
      </c>
    </row>
    <row r="29" spans="1:71" x14ac:dyDescent="0.3">
      <c r="A29" t="s">
        <v>114</v>
      </c>
      <c r="B29" t="s">
        <v>115</v>
      </c>
      <c r="C29" t="s">
        <v>29</v>
      </c>
      <c r="D29" t="s">
        <v>29</v>
      </c>
      <c r="E29" t="s">
        <v>29</v>
      </c>
      <c r="F29" t="s">
        <v>116</v>
      </c>
      <c r="G29" t="s">
        <v>117</v>
      </c>
      <c r="H29">
        <v>2013</v>
      </c>
      <c r="I29">
        <v>27</v>
      </c>
      <c r="J29">
        <v>1</v>
      </c>
      <c r="K29" t="s">
        <v>29</v>
      </c>
      <c r="L29" t="s">
        <v>29</v>
      </c>
      <c r="M29" t="s">
        <v>29</v>
      </c>
      <c r="N29">
        <v>24</v>
      </c>
      <c r="O29">
        <v>34</v>
      </c>
      <c r="P29" t="s">
        <v>29</v>
      </c>
      <c r="Q29" t="s">
        <v>118</v>
      </c>
      <c r="R29" t="s">
        <v>29</v>
      </c>
      <c r="S29" t="s">
        <v>29</v>
      </c>
      <c r="T29">
        <v>70</v>
      </c>
      <c r="U29">
        <v>5.83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  <c r="AC29">
        <v>0</v>
      </c>
      <c r="AD29">
        <v>0</v>
      </c>
      <c r="AE29">
        <v>0</v>
      </c>
      <c r="AF29">
        <v>0</v>
      </c>
      <c r="AG29">
        <v>0</v>
      </c>
      <c r="AH29">
        <v>0</v>
      </c>
      <c r="AI29">
        <v>0</v>
      </c>
      <c r="AJ29">
        <v>0</v>
      </c>
      <c r="AK29">
        <v>0</v>
      </c>
      <c r="AL29">
        <v>0</v>
      </c>
      <c r="AM29">
        <v>0</v>
      </c>
      <c r="AN29">
        <v>0</v>
      </c>
      <c r="AO29">
        <v>0</v>
      </c>
      <c r="AP29">
        <v>0</v>
      </c>
      <c r="AQ29">
        <v>0</v>
      </c>
      <c r="AR29">
        <v>0</v>
      </c>
      <c r="AS29">
        <v>0</v>
      </c>
      <c r="AT29">
        <v>0</v>
      </c>
      <c r="AU29">
        <v>0</v>
      </c>
      <c r="AV29">
        <v>0</v>
      </c>
      <c r="AW29">
        <v>0</v>
      </c>
      <c r="AX29">
        <v>0</v>
      </c>
      <c r="AY29">
        <v>0</v>
      </c>
      <c r="AZ29">
        <v>0</v>
      </c>
      <c r="BA29">
        <v>0</v>
      </c>
      <c r="BB29">
        <v>0</v>
      </c>
      <c r="BC29">
        <v>0</v>
      </c>
      <c r="BD29">
        <v>0</v>
      </c>
      <c r="BE29">
        <v>0</v>
      </c>
      <c r="BF29">
        <v>0</v>
      </c>
      <c r="BG29">
        <v>0</v>
      </c>
      <c r="BH29">
        <v>2</v>
      </c>
      <c r="BI29">
        <v>4</v>
      </c>
      <c r="BJ29">
        <v>4</v>
      </c>
      <c r="BK29">
        <v>6</v>
      </c>
      <c r="BL29">
        <v>4</v>
      </c>
      <c r="BM29">
        <v>11</v>
      </c>
      <c r="BN29">
        <v>10</v>
      </c>
      <c r="BO29">
        <v>5</v>
      </c>
      <c r="BP29">
        <v>6</v>
      </c>
      <c r="BQ29">
        <v>10</v>
      </c>
      <c r="BR29">
        <v>1</v>
      </c>
      <c r="BS29">
        <v>6</v>
      </c>
    </row>
    <row r="30" spans="1:71" x14ac:dyDescent="0.3">
      <c r="A30" t="s">
        <v>119</v>
      </c>
      <c r="B30" t="s">
        <v>120</v>
      </c>
      <c r="C30" t="s">
        <v>29</v>
      </c>
      <c r="D30" t="s">
        <v>29</v>
      </c>
      <c r="E30" t="s">
        <v>29</v>
      </c>
      <c r="F30" t="s">
        <v>121</v>
      </c>
      <c r="G30" t="s">
        <v>122</v>
      </c>
      <c r="H30">
        <v>2011</v>
      </c>
      <c r="I30">
        <v>38</v>
      </c>
      <c r="J30">
        <v>2</v>
      </c>
      <c r="K30" t="s">
        <v>29</v>
      </c>
      <c r="L30" t="s">
        <v>29</v>
      </c>
      <c r="M30" t="s">
        <v>29</v>
      </c>
      <c r="N30">
        <v>149</v>
      </c>
      <c r="O30">
        <v>178</v>
      </c>
      <c r="P30" t="s">
        <v>29</v>
      </c>
      <c r="Q30" t="s">
        <v>123</v>
      </c>
      <c r="R30" t="s">
        <v>29</v>
      </c>
      <c r="S30" t="s">
        <v>29</v>
      </c>
      <c r="T30">
        <v>69</v>
      </c>
      <c r="U30">
        <v>4.93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>
        <v>0</v>
      </c>
      <c r="AD30">
        <v>0</v>
      </c>
      <c r="AE30">
        <v>0</v>
      </c>
      <c r="AF30">
        <v>0</v>
      </c>
      <c r="AG30">
        <v>0</v>
      </c>
      <c r="AH30">
        <v>0</v>
      </c>
      <c r="AI30">
        <v>0</v>
      </c>
      <c r="AJ30">
        <v>0</v>
      </c>
      <c r="AK30">
        <v>0</v>
      </c>
      <c r="AL30">
        <v>0</v>
      </c>
      <c r="AM30">
        <v>0</v>
      </c>
      <c r="AN30">
        <v>0</v>
      </c>
      <c r="AO30">
        <v>0</v>
      </c>
      <c r="AP30">
        <v>0</v>
      </c>
      <c r="AQ30">
        <v>0</v>
      </c>
      <c r="AR30">
        <v>0</v>
      </c>
      <c r="AS30">
        <v>0</v>
      </c>
      <c r="AT30">
        <v>0</v>
      </c>
      <c r="AU30">
        <v>0</v>
      </c>
      <c r="AV30">
        <v>0</v>
      </c>
      <c r="AW30">
        <v>0</v>
      </c>
      <c r="AX30">
        <v>0</v>
      </c>
      <c r="AY30">
        <v>0</v>
      </c>
      <c r="AZ30">
        <v>0</v>
      </c>
      <c r="BA30">
        <v>0</v>
      </c>
      <c r="BB30">
        <v>0</v>
      </c>
      <c r="BC30">
        <v>0</v>
      </c>
      <c r="BD30">
        <v>0</v>
      </c>
      <c r="BE30">
        <v>0</v>
      </c>
      <c r="BF30">
        <v>1</v>
      </c>
      <c r="BG30">
        <v>2</v>
      </c>
      <c r="BH30">
        <v>3</v>
      </c>
      <c r="BI30">
        <v>2</v>
      </c>
      <c r="BJ30">
        <v>3</v>
      </c>
      <c r="BK30">
        <v>9</v>
      </c>
      <c r="BL30">
        <v>8</v>
      </c>
      <c r="BM30">
        <v>6</v>
      </c>
      <c r="BN30">
        <v>8</v>
      </c>
      <c r="BO30">
        <v>5</v>
      </c>
      <c r="BP30">
        <v>7</v>
      </c>
      <c r="BQ30">
        <v>7</v>
      </c>
      <c r="BR30">
        <v>4</v>
      </c>
      <c r="BS30">
        <v>4</v>
      </c>
    </row>
    <row r="31" spans="1:71" x14ac:dyDescent="0.3">
      <c r="A31" t="s">
        <v>124</v>
      </c>
      <c r="B31" t="s">
        <v>125</v>
      </c>
      <c r="C31" t="s">
        <v>29</v>
      </c>
      <c r="D31" t="s">
        <v>29</v>
      </c>
      <c r="E31" t="s">
        <v>29</v>
      </c>
      <c r="F31" t="s">
        <v>126</v>
      </c>
      <c r="G31" t="s">
        <v>127</v>
      </c>
      <c r="H31">
        <v>2019</v>
      </c>
      <c r="I31">
        <v>47</v>
      </c>
      <c r="J31" t="s">
        <v>29</v>
      </c>
      <c r="K31" t="s">
        <v>29</v>
      </c>
      <c r="L31" t="s">
        <v>29</v>
      </c>
      <c r="M31" t="s">
        <v>32</v>
      </c>
      <c r="N31">
        <v>27</v>
      </c>
      <c r="O31">
        <v>37</v>
      </c>
      <c r="P31" t="s">
        <v>29</v>
      </c>
      <c r="Q31" t="s">
        <v>128</v>
      </c>
      <c r="R31" t="s">
        <v>29</v>
      </c>
      <c r="S31" t="s">
        <v>29</v>
      </c>
      <c r="T31">
        <v>61</v>
      </c>
      <c r="U31">
        <v>10.17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  <c r="AB31">
        <v>0</v>
      </c>
      <c r="AC31">
        <v>0</v>
      </c>
      <c r="AD31">
        <v>0</v>
      </c>
      <c r="AE31">
        <v>0</v>
      </c>
      <c r="AF31">
        <v>0</v>
      </c>
      <c r="AG31">
        <v>0</v>
      </c>
      <c r="AH31">
        <v>0</v>
      </c>
      <c r="AI31">
        <v>0</v>
      </c>
      <c r="AJ31">
        <v>0</v>
      </c>
      <c r="AK31">
        <v>0</v>
      </c>
      <c r="AL31">
        <v>0</v>
      </c>
      <c r="AM31">
        <v>0</v>
      </c>
      <c r="AN31">
        <v>0</v>
      </c>
      <c r="AO31">
        <v>0</v>
      </c>
      <c r="AP31">
        <v>0</v>
      </c>
      <c r="AQ31">
        <v>0</v>
      </c>
      <c r="AR31">
        <v>0</v>
      </c>
      <c r="AS31">
        <v>0</v>
      </c>
      <c r="AT31">
        <v>0</v>
      </c>
      <c r="AU31">
        <v>0</v>
      </c>
      <c r="AV31">
        <v>0</v>
      </c>
      <c r="AW31">
        <v>0</v>
      </c>
      <c r="AX31">
        <v>0</v>
      </c>
      <c r="AY31">
        <v>0</v>
      </c>
      <c r="AZ31">
        <v>0</v>
      </c>
      <c r="BA31">
        <v>0</v>
      </c>
      <c r="BB31">
        <v>0</v>
      </c>
      <c r="BC31">
        <v>0</v>
      </c>
      <c r="BD31">
        <v>0</v>
      </c>
      <c r="BE31">
        <v>0</v>
      </c>
      <c r="BF31">
        <v>0</v>
      </c>
      <c r="BG31">
        <v>0</v>
      </c>
      <c r="BH31">
        <v>0</v>
      </c>
      <c r="BI31">
        <v>0</v>
      </c>
      <c r="BJ31">
        <v>0</v>
      </c>
      <c r="BK31">
        <v>0</v>
      </c>
      <c r="BL31">
        <v>0</v>
      </c>
      <c r="BM31">
        <v>0</v>
      </c>
      <c r="BN31">
        <v>2</v>
      </c>
      <c r="BO31">
        <v>4</v>
      </c>
      <c r="BP31">
        <v>12</v>
      </c>
      <c r="BQ31">
        <v>14</v>
      </c>
      <c r="BR31">
        <v>16</v>
      </c>
      <c r="BS31">
        <v>13</v>
      </c>
    </row>
    <row r="32" spans="1:71" x14ac:dyDescent="0.3">
      <c r="A32" t="s">
        <v>129</v>
      </c>
      <c r="B32" t="s">
        <v>130</v>
      </c>
      <c r="C32" t="s">
        <v>29</v>
      </c>
      <c r="D32" t="s">
        <v>29</v>
      </c>
      <c r="E32" t="s">
        <v>29</v>
      </c>
      <c r="F32" t="s">
        <v>131</v>
      </c>
      <c r="G32" t="s">
        <v>132</v>
      </c>
      <c r="H32">
        <v>2006</v>
      </c>
      <c r="I32">
        <v>24</v>
      </c>
      <c r="J32">
        <v>2</v>
      </c>
      <c r="K32" t="s">
        <v>29</v>
      </c>
      <c r="L32" t="s">
        <v>29</v>
      </c>
      <c r="M32" t="s">
        <v>29</v>
      </c>
      <c r="N32">
        <v>203</v>
      </c>
      <c r="O32">
        <v>233</v>
      </c>
      <c r="P32" t="s">
        <v>29</v>
      </c>
      <c r="Q32" t="s">
        <v>133</v>
      </c>
      <c r="R32" t="s">
        <v>134</v>
      </c>
      <c r="S32" t="s">
        <v>135</v>
      </c>
      <c r="T32">
        <v>58</v>
      </c>
      <c r="U32">
        <v>3.05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B32">
        <v>0</v>
      </c>
      <c r="AC32">
        <v>0</v>
      </c>
      <c r="AD32">
        <v>0</v>
      </c>
      <c r="AE32">
        <v>0</v>
      </c>
      <c r="AF32">
        <v>0</v>
      </c>
      <c r="AG32">
        <v>0</v>
      </c>
      <c r="AH32">
        <v>0</v>
      </c>
      <c r="AI32">
        <v>0</v>
      </c>
      <c r="AJ32">
        <v>0</v>
      </c>
      <c r="AK32">
        <v>0</v>
      </c>
      <c r="AL32">
        <v>0</v>
      </c>
      <c r="AM32">
        <v>0</v>
      </c>
      <c r="AN32">
        <v>0</v>
      </c>
      <c r="AO32">
        <v>0</v>
      </c>
      <c r="AP32">
        <v>0</v>
      </c>
      <c r="AQ32">
        <v>0</v>
      </c>
      <c r="AR32">
        <v>0</v>
      </c>
      <c r="AS32">
        <v>0</v>
      </c>
      <c r="AT32">
        <v>0</v>
      </c>
      <c r="AU32">
        <v>0</v>
      </c>
      <c r="AV32">
        <v>0</v>
      </c>
      <c r="AW32">
        <v>0</v>
      </c>
      <c r="AX32">
        <v>0</v>
      </c>
      <c r="AY32">
        <v>0</v>
      </c>
      <c r="AZ32">
        <v>0</v>
      </c>
      <c r="BA32">
        <v>1</v>
      </c>
      <c r="BB32">
        <v>2</v>
      </c>
      <c r="BC32">
        <v>5</v>
      </c>
      <c r="BD32">
        <v>3</v>
      </c>
      <c r="BE32">
        <v>8</v>
      </c>
      <c r="BF32">
        <v>4</v>
      </c>
      <c r="BG32">
        <v>2</v>
      </c>
      <c r="BH32">
        <v>4</v>
      </c>
      <c r="BI32">
        <v>3</v>
      </c>
      <c r="BJ32">
        <v>4</v>
      </c>
      <c r="BK32">
        <v>2</v>
      </c>
      <c r="BL32">
        <v>6</v>
      </c>
      <c r="BM32">
        <v>3</v>
      </c>
      <c r="BN32">
        <v>1</v>
      </c>
      <c r="BO32">
        <v>3</v>
      </c>
      <c r="BP32">
        <v>3</v>
      </c>
      <c r="BQ32">
        <v>0</v>
      </c>
      <c r="BR32">
        <v>3</v>
      </c>
      <c r="BS32">
        <v>1</v>
      </c>
    </row>
    <row r="33" spans="1:71" x14ac:dyDescent="0.3">
      <c r="A33" t="s">
        <v>136</v>
      </c>
      <c r="B33" t="s">
        <v>137</v>
      </c>
      <c r="C33" t="s">
        <v>29</v>
      </c>
      <c r="D33" t="s">
        <v>29</v>
      </c>
      <c r="E33" t="s">
        <v>29</v>
      </c>
      <c r="F33" t="s">
        <v>121</v>
      </c>
      <c r="G33" t="s">
        <v>138</v>
      </c>
      <c r="H33">
        <v>2010</v>
      </c>
      <c r="I33">
        <v>37</v>
      </c>
      <c r="J33">
        <v>4</v>
      </c>
      <c r="K33" t="s">
        <v>29</v>
      </c>
      <c r="L33" t="s">
        <v>29</v>
      </c>
      <c r="M33" t="s">
        <v>29</v>
      </c>
      <c r="N33">
        <v>435</v>
      </c>
      <c r="O33">
        <v>475</v>
      </c>
      <c r="P33" t="s">
        <v>29</v>
      </c>
      <c r="Q33" t="s">
        <v>139</v>
      </c>
      <c r="R33" t="s">
        <v>29</v>
      </c>
      <c r="S33" t="s">
        <v>29</v>
      </c>
      <c r="T33">
        <v>50</v>
      </c>
      <c r="U33">
        <v>3.33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  <c r="AB33">
        <v>0</v>
      </c>
      <c r="AC33">
        <v>0</v>
      </c>
      <c r="AD33">
        <v>0</v>
      </c>
      <c r="AE33">
        <v>0</v>
      </c>
      <c r="AF33">
        <v>0</v>
      </c>
      <c r="AG33">
        <v>0</v>
      </c>
      <c r="AH33">
        <v>0</v>
      </c>
      <c r="AI33">
        <v>0</v>
      </c>
      <c r="AJ33">
        <v>0</v>
      </c>
      <c r="AK33">
        <v>0</v>
      </c>
      <c r="AL33">
        <v>0</v>
      </c>
      <c r="AM33">
        <v>0</v>
      </c>
      <c r="AN33">
        <v>0</v>
      </c>
      <c r="AO33">
        <v>0</v>
      </c>
      <c r="AP33">
        <v>0</v>
      </c>
      <c r="AQ33">
        <v>0</v>
      </c>
      <c r="AR33">
        <v>0</v>
      </c>
      <c r="AS33">
        <v>0</v>
      </c>
      <c r="AT33">
        <v>0</v>
      </c>
      <c r="AU33">
        <v>0</v>
      </c>
      <c r="AV33">
        <v>0</v>
      </c>
      <c r="AW33">
        <v>0</v>
      </c>
      <c r="AX33">
        <v>0</v>
      </c>
      <c r="AY33">
        <v>0</v>
      </c>
      <c r="AZ33">
        <v>0</v>
      </c>
      <c r="BA33">
        <v>0</v>
      </c>
      <c r="BB33">
        <v>0</v>
      </c>
      <c r="BC33">
        <v>0</v>
      </c>
      <c r="BD33">
        <v>0</v>
      </c>
      <c r="BE33">
        <v>0</v>
      </c>
      <c r="BF33">
        <v>0</v>
      </c>
      <c r="BG33">
        <v>3</v>
      </c>
      <c r="BH33">
        <v>2</v>
      </c>
      <c r="BI33">
        <v>2</v>
      </c>
      <c r="BJ33">
        <v>5</v>
      </c>
      <c r="BK33">
        <v>5</v>
      </c>
      <c r="BL33">
        <v>5</v>
      </c>
      <c r="BM33">
        <v>2</v>
      </c>
      <c r="BN33">
        <v>3</v>
      </c>
      <c r="BO33">
        <v>1</v>
      </c>
      <c r="BP33">
        <v>9</v>
      </c>
      <c r="BQ33">
        <v>8</v>
      </c>
      <c r="BR33">
        <v>2</v>
      </c>
      <c r="BS33">
        <v>3</v>
      </c>
    </row>
    <row r="34" spans="1:71" x14ac:dyDescent="0.3">
      <c r="A34" t="s">
        <v>140</v>
      </c>
      <c r="B34" t="s">
        <v>141</v>
      </c>
      <c r="C34" t="s">
        <v>29</v>
      </c>
      <c r="D34" t="s">
        <v>29</v>
      </c>
      <c r="E34" t="s">
        <v>29</v>
      </c>
      <c r="F34" t="s">
        <v>142</v>
      </c>
      <c r="G34" t="s">
        <v>143</v>
      </c>
      <c r="H34">
        <v>2010</v>
      </c>
      <c r="I34">
        <v>33</v>
      </c>
      <c r="J34">
        <v>1</v>
      </c>
      <c r="K34" t="s">
        <v>29</v>
      </c>
      <c r="L34" t="s">
        <v>29</v>
      </c>
      <c r="M34" t="s">
        <v>29</v>
      </c>
      <c r="N34">
        <v>1</v>
      </c>
      <c r="O34">
        <v>21</v>
      </c>
      <c r="P34" t="s">
        <v>29</v>
      </c>
      <c r="Q34" t="s">
        <v>144</v>
      </c>
      <c r="R34" t="s">
        <v>29</v>
      </c>
      <c r="S34" t="s">
        <v>29</v>
      </c>
      <c r="T34">
        <v>50</v>
      </c>
      <c r="U34">
        <v>3.33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  <c r="AB34">
        <v>0</v>
      </c>
      <c r="AC34">
        <v>0</v>
      </c>
      <c r="AD34">
        <v>0</v>
      </c>
      <c r="AE34">
        <v>0</v>
      </c>
      <c r="AF34">
        <v>0</v>
      </c>
      <c r="AG34">
        <v>0</v>
      </c>
      <c r="AH34">
        <v>0</v>
      </c>
      <c r="AI34">
        <v>0</v>
      </c>
      <c r="AJ34">
        <v>0</v>
      </c>
      <c r="AK34">
        <v>0</v>
      </c>
      <c r="AL34">
        <v>0</v>
      </c>
      <c r="AM34">
        <v>0</v>
      </c>
      <c r="AN34">
        <v>0</v>
      </c>
      <c r="AO34">
        <v>0</v>
      </c>
      <c r="AP34">
        <v>0</v>
      </c>
      <c r="AQ34">
        <v>0</v>
      </c>
      <c r="AR34">
        <v>0</v>
      </c>
      <c r="AS34">
        <v>0</v>
      </c>
      <c r="AT34">
        <v>0</v>
      </c>
      <c r="AU34">
        <v>0</v>
      </c>
      <c r="AV34">
        <v>0</v>
      </c>
      <c r="AW34">
        <v>0</v>
      </c>
      <c r="AX34">
        <v>0</v>
      </c>
      <c r="AY34">
        <v>0</v>
      </c>
      <c r="AZ34">
        <v>0</v>
      </c>
      <c r="BA34">
        <v>0</v>
      </c>
      <c r="BB34">
        <v>0</v>
      </c>
      <c r="BC34">
        <v>0</v>
      </c>
      <c r="BD34">
        <v>0</v>
      </c>
      <c r="BE34">
        <v>0</v>
      </c>
      <c r="BF34">
        <v>1</v>
      </c>
      <c r="BG34">
        <v>2</v>
      </c>
      <c r="BH34">
        <v>2</v>
      </c>
      <c r="BI34">
        <v>1</v>
      </c>
      <c r="BJ34">
        <v>3</v>
      </c>
      <c r="BK34">
        <v>3</v>
      </c>
      <c r="BL34">
        <v>3</v>
      </c>
      <c r="BM34">
        <v>2</v>
      </c>
      <c r="BN34">
        <v>4</v>
      </c>
      <c r="BO34">
        <v>5</v>
      </c>
      <c r="BP34">
        <v>7</v>
      </c>
      <c r="BQ34">
        <v>6</v>
      </c>
      <c r="BR34">
        <v>7</v>
      </c>
      <c r="BS34">
        <v>4</v>
      </c>
    </row>
    <row r="35" spans="1:71" x14ac:dyDescent="0.3">
      <c r="A35" t="s">
        <v>145</v>
      </c>
      <c r="B35" t="s">
        <v>146</v>
      </c>
      <c r="C35" t="s">
        <v>29</v>
      </c>
      <c r="D35" t="s">
        <v>29</v>
      </c>
      <c r="E35" t="s">
        <v>29</v>
      </c>
      <c r="F35" t="s">
        <v>147</v>
      </c>
      <c r="G35" t="s">
        <v>148</v>
      </c>
      <c r="H35">
        <v>2018</v>
      </c>
      <c r="I35">
        <v>26</v>
      </c>
      <c r="J35">
        <v>2</v>
      </c>
      <c r="K35" t="s">
        <v>29</v>
      </c>
      <c r="L35" t="s">
        <v>29</v>
      </c>
      <c r="M35" t="s">
        <v>29</v>
      </c>
      <c r="N35">
        <v>201</v>
      </c>
      <c r="O35">
        <v>231</v>
      </c>
      <c r="P35" t="s">
        <v>29</v>
      </c>
      <c r="Q35" t="s">
        <v>149</v>
      </c>
      <c r="R35" t="s">
        <v>29</v>
      </c>
      <c r="S35" t="s">
        <v>29</v>
      </c>
      <c r="T35">
        <v>48</v>
      </c>
      <c r="U35">
        <v>6.86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  <c r="AB35">
        <v>0</v>
      </c>
      <c r="AC35">
        <v>0</v>
      </c>
      <c r="AD35">
        <v>0</v>
      </c>
      <c r="AE35">
        <v>0</v>
      </c>
      <c r="AF35">
        <v>0</v>
      </c>
      <c r="AG35">
        <v>0</v>
      </c>
      <c r="AH35">
        <v>0</v>
      </c>
      <c r="AI35">
        <v>0</v>
      </c>
      <c r="AJ35">
        <v>0</v>
      </c>
      <c r="AK35">
        <v>0</v>
      </c>
      <c r="AL35">
        <v>0</v>
      </c>
      <c r="AM35">
        <v>0</v>
      </c>
      <c r="AN35">
        <v>0</v>
      </c>
      <c r="AO35">
        <v>0</v>
      </c>
      <c r="AP35">
        <v>0</v>
      </c>
      <c r="AQ35">
        <v>0</v>
      </c>
      <c r="AR35">
        <v>0</v>
      </c>
      <c r="AS35">
        <v>0</v>
      </c>
      <c r="AT35">
        <v>0</v>
      </c>
      <c r="AU35">
        <v>0</v>
      </c>
      <c r="AV35">
        <v>0</v>
      </c>
      <c r="AW35">
        <v>0</v>
      </c>
      <c r="AX35">
        <v>0</v>
      </c>
      <c r="AY35">
        <v>0</v>
      </c>
      <c r="AZ35">
        <v>0</v>
      </c>
      <c r="BA35">
        <v>0</v>
      </c>
      <c r="BB35">
        <v>0</v>
      </c>
      <c r="BC35">
        <v>0</v>
      </c>
      <c r="BD35">
        <v>0</v>
      </c>
      <c r="BE35">
        <v>0</v>
      </c>
      <c r="BF35">
        <v>0</v>
      </c>
      <c r="BG35">
        <v>0</v>
      </c>
      <c r="BH35">
        <v>0</v>
      </c>
      <c r="BI35">
        <v>0</v>
      </c>
      <c r="BJ35">
        <v>0</v>
      </c>
      <c r="BK35">
        <v>0</v>
      </c>
      <c r="BL35">
        <v>0</v>
      </c>
      <c r="BM35">
        <v>1</v>
      </c>
      <c r="BN35">
        <v>2</v>
      </c>
      <c r="BO35">
        <v>5</v>
      </c>
      <c r="BP35">
        <v>10</v>
      </c>
      <c r="BQ35">
        <v>9</v>
      </c>
      <c r="BR35">
        <v>9</v>
      </c>
      <c r="BS35">
        <v>12</v>
      </c>
    </row>
    <row r="36" spans="1:71" x14ac:dyDescent="0.3">
      <c r="A36" t="s">
        <v>150</v>
      </c>
      <c r="B36" t="s">
        <v>151</v>
      </c>
      <c r="C36" t="s">
        <v>29</v>
      </c>
      <c r="D36" t="s">
        <v>29</v>
      </c>
      <c r="E36" t="s">
        <v>29</v>
      </c>
      <c r="F36" t="s">
        <v>152</v>
      </c>
      <c r="G36" t="s">
        <v>153</v>
      </c>
      <c r="H36">
        <v>2015</v>
      </c>
      <c r="I36">
        <v>47</v>
      </c>
      <c r="J36" t="s">
        <v>29</v>
      </c>
      <c r="K36" t="s">
        <v>29</v>
      </c>
      <c r="L36" t="s">
        <v>29</v>
      </c>
      <c r="M36" t="s">
        <v>32</v>
      </c>
      <c r="N36">
        <v>81</v>
      </c>
      <c r="O36">
        <v>89</v>
      </c>
      <c r="P36" t="s">
        <v>29</v>
      </c>
      <c r="Q36" t="s">
        <v>154</v>
      </c>
      <c r="R36" t="s">
        <v>29</v>
      </c>
      <c r="S36" t="s">
        <v>29</v>
      </c>
      <c r="T36">
        <v>47</v>
      </c>
      <c r="U36">
        <v>4.7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  <c r="AB36">
        <v>0</v>
      </c>
      <c r="AC36">
        <v>0</v>
      </c>
      <c r="AD36">
        <v>0</v>
      </c>
      <c r="AE36">
        <v>0</v>
      </c>
      <c r="AF36">
        <v>0</v>
      </c>
      <c r="AG36">
        <v>0</v>
      </c>
      <c r="AH36">
        <v>0</v>
      </c>
      <c r="AI36">
        <v>0</v>
      </c>
      <c r="AJ36">
        <v>0</v>
      </c>
      <c r="AK36">
        <v>0</v>
      </c>
      <c r="AL36">
        <v>0</v>
      </c>
      <c r="AM36">
        <v>0</v>
      </c>
      <c r="AN36">
        <v>0</v>
      </c>
      <c r="AO36">
        <v>0</v>
      </c>
      <c r="AP36">
        <v>0</v>
      </c>
      <c r="AQ36">
        <v>0</v>
      </c>
      <c r="AR36">
        <v>0</v>
      </c>
      <c r="AS36">
        <v>0</v>
      </c>
      <c r="AT36">
        <v>0</v>
      </c>
      <c r="AU36">
        <v>0</v>
      </c>
      <c r="AV36">
        <v>0</v>
      </c>
      <c r="AW36">
        <v>0</v>
      </c>
      <c r="AX36">
        <v>0</v>
      </c>
      <c r="AY36">
        <v>0</v>
      </c>
      <c r="AZ36">
        <v>0</v>
      </c>
      <c r="BA36">
        <v>0</v>
      </c>
      <c r="BB36">
        <v>0</v>
      </c>
      <c r="BC36">
        <v>0</v>
      </c>
      <c r="BD36">
        <v>0</v>
      </c>
      <c r="BE36">
        <v>0</v>
      </c>
      <c r="BF36">
        <v>0</v>
      </c>
      <c r="BG36">
        <v>0</v>
      </c>
      <c r="BH36">
        <v>0</v>
      </c>
      <c r="BI36">
        <v>0</v>
      </c>
      <c r="BJ36">
        <v>1</v>
      </c>
      <c r="BK36">
        <v>5</v>
      </c>
      <c r="BL36">
        <v>10</v>
      </c>
      <c r="BM36">
        <v>9</v>
      </c>
      <c r="BN36">
        <v>8</v>
      </c>
      <c r="BO36">
        <v>7</v>
      </c>
      <c r="BP36">
        <v>3</v>
      </c>
      <c r="BQ36">
        <v>2</v>
      </c>
      <c r="BR36">
        <v>1</v>
      </c>
      <c r="BS36">
        <v>1</v>
      </c>
    </row>
    <row r="37" spans="1:71" x14ac:dyDescent="0.3">
      <c r="A37" t="s">
        <v>155</v>
      </c>
      <c r="B37" t="s">
        <v>156</v>
      </c>
      <c r="C37" t="s">
        <v>29</v>
      </c>
      <c r="D37" t="s">
        <v>29</v>
      </c>
      <c r="E37" t="s">
        <v>29</v>
      </c>
      <c r="F37" t="s">
        <v>157</v>
      </c>
      <c r="G37" t="s">
        <v>158</v>
      </c>
      <c r="H37">
        <v>2022</v>
      </c>
      <c r="I37">
        <v>36</v>
      </c>
      <c r="J37">
        <v>2</v>
      </c>
      <c r="K37" t="s">
        <v>29</v>
      </c>
      <c r="L37" t="s">
        <v>29</v>
      </c>
      <c r="M37" t="s">
        <v>29</v>
      </c>
      <c r="N37">
        <v>118</v>
      </c>
      <c r="O37">
        <v>127</v>
      </c>
      <c r="P37">
        <v>9504222211029796</v>
      </c>
      <c r="Q37" t="s">
        <v>159</v>
      </c>
      <c r="R37" t="s">
        <v>29</v>
      </c>
      <c r="S37" t="s">
        <v>29</v>
      </c>
      <c r="T37">
        <v>45</v>
      </c>
      <c r="U37">
        <v>11.25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  <c r="AB37">
        <v>0</v>
      </c>
      <c r="AC37">
        <v>0</v>
      </c>
      <c r="AD37">
        <v>0</v>
      </c>
      <c r="AE37">
        <v>0</v>
      </c>
      <c r="AF37">
        <v>0</v>
      </c>
      <c r="AG37">
        <v>0</v>
      </c>
      <c r="AH37">
        <v>0</v>
      </c>
      <c r="AI37">
        <v>0</v>
      </c>
      <c r="AJ37">
        <v>0</v>
      </c>
      <c r="AK37">
        <v>0</v>
      </c>
      <c r="AL37">
        <v>0</v>
      </c>
      <c r="AM37">
        <v>0</v>
      </c>
      <c r="AN37">
        <v>0</v>
      </c>
      <c r="AO37">
        <v>0</v>
      </c>
      <c r="AP37">
        <v>0</v>
      </c>
      <c r="AQ37">
        <v>0</v>
      </c>
      <c r="AR37">
        <v>0</v>
      </c>
      <c r="AS37">
        <v>0</v>
      </c>
      <c r="AT37">
        <v>0</v>
      </c>
      <c r="AU37">
        <v>0</v>
      </c>
      <c r="AV37">
        <v>0</v>
      </c>
      <c r="AW37">
        <v>0</v>
      </c>
      <c r="AX37">
        <v>0</v>
      </c>
      <c r="AY37">
        <v>0</v>
      </c>
      <c r="AZ37">
        <v>0</v>
      </c>
      <c r="BA37">
        <v>0</v>
      </c>
      <c r="BB37">
        <v>0</v>
      </c>
      <c r="BC37">
        <v>0</v>
      </c>
      <c r="BD37">
        <v>0</v>
      </c>
      <c r="BE37">
        <v>0</v>
      </c>
      <c r="BF37">
        <v>0</v>
      </c>
      <c r="BG37">
        <v>0</v>
      </c>
      <c r="BH37">
        <v>0</v>
      </c>
      <c r="BI37">
        <v>0</v>
      </c>
      <c r="BJ37">
        <v>0</v>
      </c>
      <c r="BK37">
        <v>0</v>
      </c>
      <c r="BL37">
        <v>0</v>
      </c>
      <c r="BM37">
        <v>0</v>
      </c>
      <c r="BN37">
        <v>0</v>
      </c>
      <c r="BO37">
        <v>0</v>
      </c>
      <c r="BP37">
        <v>1</v>
      </c>
      <c r="BQ37">
        <v>5</v>
      </c>
      <c r="BR37">
        <v>12</v>
      </c>
      <c r="BS37">
        <v>27</v>
      </c>
    </row>
    <row r="38" spans="1:71" x14ac:dyDescent="0.3">
      <c r="A38" t="s">
        <v>160</v>
      </c>
      <c r="B38" t="s">
        <v>161</v>
      </c>
      <c r="C38" t="s">
        <v>29</v>
      </c>
      <c r="D38" t="s">
        <v>29</v>
      </c>
      <c r="E38" t="s">
        <v>29</v>
      </c>
      <c r="F38" t="s">
        <v>162</v>
      </c>
      <c r="G38" t="s">
        <v>163</v>
      </c>
      <c r="H38">
        <v>2012</v>
      </c>
      <c r="I38">
        <v>13</v>
      </c>
      <c r="J38">
        <v>3</v>
      </c>
      <c r="K38" t="s">
        <v>29</v>
      </c>
      <c r="L38" t="s">
        <v>29</v>
      </c>
      <c r="M38" t="s">
        <v>29</v>
      </c>
      <c r="N38">
        <v>499</v>
      </c>
      <c r="O38">
        <v>517</v>
      </c>
      <c r="P38" t="s">
        <v>29</v>
      </c>
      <c r="Q38" t="s">
        <v>164</v>
      </c>
      <c r="R38" t="s">
        <v>29</v>
      </c>
      <c r="S38" t="s">
        <v>29</v>
      </c>
      <c r="T38">
        <v>43</v>
      </c>
      <c r="U38">
        <v>3.31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  <c r="AB38">
        <v>0</v>
      </c>
      <c r="AC38">
        <v>0</v>
      </c>
      <c r="AD38">
        <v>0</v>
      </c>
      <c r="AE38">
        <v>0</v>
      </c>
      <c r="AF38">
        <v>0</v>
      </c>
      <c r="AG38">
        <v>0</v>
      </c>
      <c r="AH38">
        <v>0</v>
      </c>
      <c r="AI38">
        <v>0</v>
      </c>
      <c r="AJ38">
        <v>0</v>
      </c>
      <c r="AK38">
        <v>0</v>
      </c>
      <c r="AL38">
        <v>0</v>
      </c>
      <c r="AM38">
        <v>0</v>
      </c>
      <c r="AN38">
        <v>0</v>
      </c>
      <c r="AO38">
        <v>0</v>
      </c>
      <c r="AP38">
        <v>0</v>
      </c>
      <c r="AQ38">
        <v>0</v>
      </c>
      <c r="AR38">
        <v>0</v>
      </c>
      <c r="AS38">
        <v>0</v>
      </c>
      <c r="AT38">
        <v>0</v>
      </c>
      <c r="AU38">
        <v>0</v>
      </c>
      <c r="AV38">
        <v>0</v>
      </c>
      <c r="AW38">
        <v>0</v>
      </c>
      <c r="AX38">
        <v>0</v>
      </c>
      <c r="AY38">
        <v>0</v>
      </c>
      <c r="AZ38">
        <v>0</v>
      </c>
      <c r="BA38">
        <v>0</v>
      </c>
      <c r="BB38">
        <v>0</v>
      </c>
      <c r="BC38">
        <v>0</v>
      </c>
      <c r="BD38">
        <v>0</v>
      </c>
      <c r="BE38">
        <v>0</v>
      </c>
      <c r="BF38">
        <v>0</v>
      </c>
      <c r="BG38">
        <v>1</v>
      </c>
      <c r="BH38">
        <v>1</v>
      </c>
      <c r="BI38">
        <v>1</v>
      </c>
      <c r="BJ38">
        <v>3</v>
      </c>
      <c r="BK38">
        <v>3</v>
      </c>
      <c r="BL38">
        <v>2</v>
      </c>
      <c r="BM38">
        <v>5</v>
      </c>
      <c r="BN38">
        <v>8</v>
      </c>
      <c r="BO38">
        <v>7</v>
      </c>
      <c r="BP38">
        <v>5</v>
      </c>
      <c r="BQ38">
        <v>3</v>
      </c>
      <c r="BR38">
        <v>2</v>
      </c>
      <c r="BS38">
        <v>2</v>
      </c>
    </row>
    <row r="39" spans="1:71" x14ac:dyDescent="0.3">
      <c r="A39" t="s">
        <v>165</v>
      </c>
      <c r="B39" t="s">
        <v>166</v>
      </c>
      <c r="C39" t="s">
        <v>29</v>
      </c>
      <c r="D39" t="s">
        <v>29</v>
      </c>
      <c r="E39" t="s">
        <v>29</v>
      </c>
      <c r="F39" t="s">
        <v>167</v>
      </c>
      <c r="G39" t="s">
        <v>168</v>
      </c>
      <c r="H39">
        <v>2019</v>
      </c>
      <c r="I39">
        <v>27</v>
      </c>
      <c r="J39">
        <v>4</v>
      </c>
      <c r="K39" t="s">
        <v>29</v>
      </c>
      <c r="L39" t="s">
        <v>29</v>
      </c>
      <c r="M39" t="s">
        <v>29</v>
      </c>
      <c r="N39">
        <v>610</v>
      </c>
      <c r="O39">
        <v>627</v>
      </c>
      <c r="P39" t="s">
        <v>29</v>
      </c>
      <c r="Q39" t="s">
        <v>169</v>
      </c>
      <c r="R39" t="s">
        <v>29</v>
      </c>
      <c r="S39" t="s">
        <v>29</v>
      </c>
      <c r="T39">
        <v>42</v>
      </c>
      <c r="U39">
        <v>7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  <c r="AB39">
        <v>0</v>
      </c>
      <c r="AC39">
        <v>0</v>
      </c>
      <c r="AD39">
        <v>0</v>
      </c>
      <c r="AE39">
        <v>0</v>
      </c>
      <c r="AF39">
        <v>0</v>
      </c>
      <c r="AG39">
        <v>0</v>
      </c>
      <c r="AH39">
        <v>0</v>
      </c>
      <c r="AI39">
        <v>0</v>
      </c>
      <c r="AJ39">
        <v>0</v>
      </c>
      <c r="AK39">
        <v>0</v>
      </c>
      <c r="AL39">
        <v>0</v>
      </c>
      <c r="AM39">
        <v>0</v>
      </c>
      <c r="AN39">
        <v>0</v>
      </c>
      <c r="AO39">
        <v>0</v>
      </c>
      <c r="AP39">
        <v>0</v>
      </c>
      <c r="AQ39">
        <v>0</v>
      </c>
      <c r="AR39">
        <v>0</v>
      </c>
      <c r="AS39">
        <v>0</v>
      </c>
      <c r="AT39">
        <v>0</v>
      </c>
      <c r="AU39">
        <v>0</v>
      </c>
      <c r="AV39">
        <v>0</v>
      </c>
      <c r="AW39">
        <v>0</v>
      </c>
      <c r="AX39">
        <v>0</v>
      </c>
      <c r="AY39">
        <v>0</v>
      </c>
      <c r="AZ39">
        <v>0</v>
      </c>
      <c r="BA39">
        <v>0</v>
      </c>
      <c r="BB39">
        <v>0</v>
      </c>
      <c r="BC39">
        <v>0</v>
      </c>
      <c r="BD39">
        <v>0</v>
      </c>
      <c r="BE39">
        <v>0</v>
      </c>
      <c r="BF39">
        <v>0</v>
      </c>
      <c r="BG39">
        <v>0</v>
      </c>
      <c r="BH39">
        <v>0</v>
      </c>
      <c r="BI39">
        <v>0</v>
      </c>
      <c r="BJ39">
        <v>0</v>
      </c>
      <c r="BK39">
        <v>0</v>
      </c>
      <c r="BL39">
        <v>0</v>
      </c>
      <c r="BM39">
        <v>0</v>
      </c>
      <c r="BN39">
        <v>0</v>
      </c>
      <c r="BO39">
        <v>6</v>
      </c>
      <c r="BP39">
        <v>4</v>
      </c>
      <c r="BQ39">
        <v>12</v>
      </c>
      <c r="BR39">
        <v>12</v>
      </c>
      <c r="BS39">
        <v>8</v>
      </c>
    </row>
    <row r="40" spans="1:71" x14ac:dyDescent="0.3">
      <c r="A40" t="s">
        <v>170</v>
      </c>
      <c r="B40" t="s">
        <v>171</v>
      </c>
      <c r="C40" t="s">
        <v>29</v>
      </c>
      <c r="D40" t="s">
        <v>29</v>
      </c>
      <c r="E40" t="s">
        <v>29</v>
      </c>
      <c r="F40" t="s">
        <v>48</v>
      </c>
      <c r="G40">
        <v>2016</v>
      </c>
      <c r="H40">
        <v>2016</v>
      </c>
      <c r="I40">
        <v>58</v>
      </c>
      <c r="J40">
        <v>1</v>
      </c>
      <c r="K40" t="s">
        <v>29</v>
      </c>
      <c r="L40" t="s">
        <v>29</v>
      </c>
      <c r="M40" t="s">
        <v>29</v>
      </c>
      <c r="N40">
        <v>61</v>
      </c>
      <c r="O40">
        <v>81</v>
      </c>
      <c r="P40" t="s">
        <v>29</v>
      </c>
      <c r="Q40" t="s">
        <v>172</v>
      </c>
      <c r="R40" t="s">
        <v>29</v>
      </c>
      <c r="S40" t="s">
        <v>29</v>
      </c>
      <c r="T40">
        <v>42</v>
      </c>
      <c r="U40">
        <v>4.67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  <c r="AB40">
        <v>0</v>
      </c>
      <c r="AC40">
        <v>0</v>
      </c>
      <c r="AD40">
        <v>0</v>
      </c>
      <c r="AE40">
        <v>0</v>
      </c>
      <c r="AF40">
        <v>0</v>
      </c>
      <c r="AG40">
        <v>0</v>
      </c>
      <c r="AH40">
        <v>0</v>
      </c>
      <c r="AI40">
        <v>0</v>
      </c>
      <c r="AJ40">
        <v>0</v>
      </c>
      <c r="AK40">
        <v>0</v>
      </c>
      <c r="AL40">
        <v>0</v>
      </c>
      <c r="AM40">
        <v>0</v>
      </c>
      <c r="AN40">
        <v>0</v>
      </c>
      <c r="AO40">
        <v>0</v>
      </c>
      <c r="AP40">
        <v>0</v>
      </c>
      <c r="AQ40">
        <v>0</v>
      </c>
      <c r="AR40">
        <v>0</v>
      </c>
      <c r="AS40">
        <v>0</v>
      </c>
      <c r="AT40">
        <v>0</v>
      </c>
      <c r="AU40">
        <v>0</v>
      </c>
      <c r="AV40">
        <v>0</v>
      </c>
      <c r="AW40">
        <v>0</v>
      </c>
      <c r="AX40">
        <v>0</v>
      </c>
      <c r="AY40">
        <v>0</v>
      </c>
      <c r="AZ40">
        <v>0</v>
      </c>
      <c r="BA40">
        <v>0</v>
      </c>
      <c r="BB40">
        <v>0</v>
      </c>
      <c r="BC40">
        <v>0</v>
      </c>
      <c r="BD40">
        <v>0</v>
      </c>
      <c r="BE40">
        <v>0</v>
      </c>
      <c r="BF40">
        <v>0</v>
      </c>
      <c r="BG40">
        <v>0</v>
      </c>
      <c r="BH40">
        <v>0</v>
      </c>
      <c r="BI40">
        <v>0</v>
      </c>
      <c r="BJ40">
        <v>0</v>
      </c>
      <c r="BK40">
        <v>1</v>
      </c>
      <c r="BL40">
        <v>3</v>
      </c>
      <c r="BM40">
        <v>6</v>
      </c>
      <c r="BN40">
        <v>5</v>
      </c>
      <c r="BO40">
        <v>8</v>
      </c>
      <c r="BP40">
        <v>3</v>
      </c>
      <c r="BQ40">
        <v>7</v>
      </c>
      <c r="BR40">
        <v>5</v>
      </c>
      <c r="BS40">
        <v>4</v>
      </c>
    </row>
    <row r="41" spans="1:71" x14ac:dyDescent="0.3">
      <c r="A41" t="s">
        <v>173</v>
      </c>
      <c r="B41" t="s">
        <v>174</v>
      </c>
      <c r="C41" t="s">
        <v>29</v>
      </c>
      <c r="D41" t="s">
        <v>29</v>
      </c>
      <c r="E41" t="s">
        <v>29</v>
      </c>
      <c r="F41" t="s">
        <v>175</v>
      </c>
      <c r="G41">
        <v>2015</v>
      </c>
      <c r="H41">
        <v>2015</v>
      </c>
      <c r="I41" t="s">
        <v>29</v>
      </c>
      <c r="J41" t="s">
        <v>29</v>
      </c>
      <c r="K41" t="s">
        <v>29</v>
      </c>
      <c r="L41" t="s">
        <v>29</v>
      </c>
      <c r="M41" t="s">
        <v>29</v>
      </c>
      <c r="N41">
        <v>4012</v>
      </c>
      <c r="O41">
        <v>4017</v>
      </c>
      <c r="P41" t="s">
        <v>29</v>
      </c>
      <c r="Q41" t="s">
        <v>29</v>
      </c>
      <c r="R41" t="s">
        <v>176</v>
      </c>
      <c r="S41" t="s">
        <v>177</v>
      </c>
      <c r="T41">
        <v>42</v>
      </c>
      <c r="U41">
        <v>4.2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  <c r="AB41">
        <v>0</v>
      </c>
      <c r="AC41">
        <v>0</v>
      </c>
      <c r="AD41">
        <v>0</v>
      </c>
      <c r="AE41">
        <v>0</v>
      </c>
      <c r="AF41">
        <v>0</v>
      </c>
      <c r="AG41">
        <v>0</v>
      </c>
      <c r="AH41">
        <v>0</v>
      </c>
      <c r="AI41">
        <v>0</v>
      </c>
      <c r="AJ41">
        <v>0</v>
      </c>
      <c r="AK41">
        <v>0</v>
      </c>
      <c r="AL41">
        <v>0</v>
      </c>
      <c r="AM41">
        <v>0</v>
      </c>
      <c r="AN41">
        <v>0</v>
      </c>
      <c r="AO41">
        <v>0</v>
      </c>
      <c r="AP41">
        <v>0</v>
      </c>
      <c r="AQ41">
        <v>0</v>
      </c>
      <c r="AR41">
        <v>0</v>
      </c>
      <c r="AS41">
        <v>0</v>
      </c>
      <c r="AT41">
        <v>0</v>
      </c>
      <c r="AU41">
        <v>0</v>
      </c>
      <c r="AV41">
        <v>0</v>
      </c>
      <c r="AW41">
        <v>0</v>
      </c>
      <c r="AX41">
        <v>0</v>
      </c>
      <c r="AY41">
        <v>0</v>
      </c>
      <c r="AZ41">
        <v>0</v>
      </c>
      <c r="BA41">
        <v>0</v>
      </c>
      <c r="BB41">
        <v>0</v>
      </c>
      <c r="BC41">
        <v>0</v>
      </c>
      <c r="BD41">
        <v>0</v>
      </c>
      <c r="BE41">
        <v>0</v>
      </c>
      <c r="BF41">
        <v>0</v>
      </c>
      <c r="BG41">
        <v>0</v>
      </c>
      <c r="BH41">
        <v>0</v>
      </c>
      <c r="BI41">
        <v>0</v>
      </c>
      <c r="BJ41">
        <v>0</v>
      </c>
      <c r="BK41">
        <v>2</v>
      </c>
      <c r="BL41">
        <v>4</v>
      </c>
      <c r="BM41">
        <v>7</v>
      </c>
      <c r="BN41">
        <v>6</v>
      </c>
      <c r="BO41">
        <v>3</v>
      </c>
      <c r="BP41">
        <v>8</v>
      </c>
      <c r="BQ41">
        <v>8</v>
      </c>
      <c r="BR41">
        <v>1</v>
      </c>
      <c r="BS41">
        <v>3</v>
      </c>
    </row>
    <row r="42" spans="1:71" x14ac:dyDescent="0.3">
      <c r="A42" t="s">
        <v>178</v>
      </c>
      <c r="B42" t="s">
        <v>179</v>
      </c>
      <c r="C42" t="s">
        <v>29</v>
      </c>
      <c r="D42" t="s">
        <v>29</v>
      </c>
      <c r="E42" t="s">
        <v>29</v>
      </c>
      <c r="F42" t="s">
        <v>180</v>
      </c>
      <c r="G42" t="s">
        <v>181</v>
      </c>
      <c r="H42">
        <v>2021</v>
      </c>
      <c r="I42">
        <v>300</v>
      </c>
      <c r="J42" t="s">
        <v>29</v>
      </c>
      <c r="K42" t="s">
        <v>29</v>
      </c>
      <c r="L42" t="s">
        <v>29</v>
      </c>
      <c r="M42" t="s">
        <v>29</v>
      </c>
      <c r="N42" t="s">
        <v>29</v>
      </c>
      <c r="O42" t="s">
        <v>29</v>
      </c>
      <c r="P42">
        <v>117307</v>
      </c>
      <c r="Q42" t="s">
        <v>182</v>
      </c>
      <c r="R42" t="s">
        <v>29</v>
      </c>
      <c r="S42" t="s">
        <v>29</v>
      </c>
      <c r="T42">
        <v>41</v>
      </c>
      <c r="U42">
        <v>10.25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  <c r="AB42">
        <v>0</v>
      </c>
      <c r="AC42">
        <v>0</v>
      </c>
      <c r="AD42">
        <v>0</v>
      </c>
      <c r="AE42">
        <v>0</v>
      </c>
      <c r="AF42">
        <v>0</v>
      </c>
      <c r="AG42">
        <v>0</v>
      </c>
      <c r="AH42">
        <v>0</v>
      </c>
      <c r="AI42">
        <v>0</v>
      </c>
      <c r="AJ42">
        <v>0</v>
      </c>
      <c r="AK42">
        <v>0</v>
      </c>
      <c r="AL42">
        <v>0</v>
      </c>
      <c r="AM42">
        <v>0</v>
      </c>
      <c r="AN42">
        <v>0</v>
      </c>
      <c r="AO42">
        <v>0</v>
      </c>
      <c r="AP42">
        <v>0</v>
      </c>
      <c r="AQ42">
        <v>0</v>
      </c>
      <c r="AR42">
        <v>0</v>
      </c>
      <c r="AS42">
        <v>0</v>
      </c>
      <c r="AT42">
        <v>0</v>
      </c>
      <c r="AU42">
        <v>0</v>
      </c>
      <c r="AV42">
        <v>0</v>
      </c>
      <c r="AW42">
        <v>0</v>
      </c>
      <c r="AX42">
        <v>0</v>
      </c>
      <c r="AY42">
        <v>0</v>
      </c>
      <c r="AZ42">
        <v>0</v>
      </c>
      <c r="BA42">
        <v>0</v>
      </c>
      <c r="BB42">
        <v>0</v>
      </c>
      <c r="BC42">
        <v>0</v>
      </c>
      <c r="BD42">
        <v>0</v>
      </c>
      <c r="BE42">
        <v>0</v>
      </c>
      <c r="BF42">
        <v>0</v>
      </c>
      <c r="BG42">
        <v>0</v>
      </c>
      <c r="BH42">
        <v>0</v>
      </c>
      <c r="BI42">
        <v>0</v>
      </c>
      <c r="BJ42">
        <v>0</v>
      </c>
      <c r="BK42">
        <v>0</v>
      </c>
      <c r="BL42">
        <v>0</v>
      </c>
      <c r="BM42">
        <v>0</v>
      </c>
      <c r="BN42">
        <v>0</v>
      </c>
      <c r="BO42">
        <v>0</v>
      </c>
      <c r="BP42">
        <v>0</v>
      </c>
      <c r="BQ42">
        <v>10</v>
      </c>
      <c r="BR42">
        <v>16</v>
      </c>
      <c r="BS42">
        <v>15</v>
      </c>
    </row>
    <row r="43" spans="1:71" x14ac:dyDescent="0.3">
      <c r="A43" t="s">
        <v>183</v>
      </c>
      <c r="B43" t="s">
        <v>184</v>
      </c>
      <c r="C43" t="s">
        <v>29</v>
      </c>
      <c r="D43" t="s">
        <v>29</v>
      </c>
      <c r="E43" t="s">
        <v>29</v>
      </c>
      <c r="F43" t="s">
        <v>185</v>
      </c>
      <c r="G43" t="s">
        <v>186</v>
      </c>
      <c r="H43">
        <v>2019</v>
      </c>
      <c r="I43">
        <v>94</v>
      </c>
      <c r="J43">
        <v>7</v>
      </c>
      <c r="K43" t="s">
        <v>29</v>
      </c>
      <c r="L43" t="s">
        <v>29</v>
      </c>
      <c r="M43" t="s">
        <v>29</v>
      </c>
      <c r="N43">
        <v>423</v>
      </c>
      <c r="O43">
        <v>432</v>
      </c>
      <c r="P43" t="s">
        <v>29</v>
      </c>
      <c r="Q43" t="s">
        <v>187</v>
      </c>
      <c r="R43" t="s">
        <v>29</v>
      </c>
      <c r="S43" t="s">
        <v>29</v>
      </c>
      <c r="T43">
        <v>41</v>
      </c>
      <c r="U43">
        <v>6.83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  <c r="AB43">
        <v>0</v>
      </c>
      <c r="AC43">
        <v>0</v>
      </c>
      <c r="AD43">
        <v>0</v>
      </c>
      <c r="AE43">
        <v>0</v>
      </c>
      <c r="AF43">
        <v>0</v>
      </c>
      <c r="AG43">
        <v>0</v>
      </c>
      <c r="AH43">
        <v>0</v>
      </c>
      <c r="AI43">
        <v>0</v>
      </c>
      <c r="AJ43">
        <v>0</v>
      </c>
      <c r="AK43">
        <v>0</v>
      </c>
      <c r="AL43">
        <v>0</v>
      </c>
      <c r="AM43">
        <v>0</v>
      </c>
      <c r="AN43">
        <v>0</v>
      </c>
      <c r="AO43">
        <v>0</v>
      </c>
      <c r="AP43">
        <v>0</v>
      </c>
      <c r="AQ43">
        <v>0</v>
      </c>
      <c r="AR43">
        <v>0</v>
      </c>
      <c r="AS43">
        <v>0</v>
      </c>
      <c r="AT43">
        <v>0</v>
      </c>
      <c r="AU43">
        <v>0</v>
      </c>
      <c r="AV43">
        <v>0</v>
      </c>
      <c r="AW43">
        <v>0</v>
      </c>
      <c r="AX43">
        <v>0</v>
      </c>
      <c r="AY43">
        <v>0</v>
      </c>
      <c r="AZ43">
        <v>0</v>
      </c>
      <c r="BA43">
        <v>0</v>
      </c>
      <c r="BB43">
        <v>0</v>
      </c>
      <c r="BC43">
        <v>0</v>
      </c>
      <c r="BD43">
        <v>0</v>
      </c>
      <c r="BE43">
        <v>0</v>
      </c>
      <c r="BF43">
        <v>0</v>
      </c>
      <c r="BG43">
        <v>0</v>
      </c>
      <c r="BH43">
        <v>0</v>
      </c>
      <c r="BI43">
        <v>0</v>
      </c>
      <c r="BJ43">
        <v>0</v>
      </c>
      <c r="BK43">
        <v>0</v>
      </c>
      <c r="BL43">
        <v>0</v>
      </c>
      <c r="BM43">
        <v>0</v>
      </c>
      <c r="BN43">
        <v>1</v>
      </c>
      <c r="BO43">
        <v>3</v>
      </c>
      <c r="BP43">
        <v>7</v>
      </c>
      <c r="BQ43">
        <v>10</v>
      </c>
      <c r="BR43">
        <v>10</v>
      </c>
      <c r="BS43">
        <v>10</v>
      </c>
    </row>
    <row r="44" spans="1:71" x14ac:dyDescent="0.3">
      <c r="A44" t="s">
        <v>188</v>
      </c>
      <c r="B44" t="s">
        <v>189</v>
      </c>
      <c r="C44" t="s">
        <v>29</v>
      </c>
      <c r="D44" t="s">
        <v>29</v>
      </c>
      <c r="E44" t="s">
        <v>29</v>
      </c>
      <c r="F44" t="s">
        <v>190</v>
      </c>
      <c r="G44" t="s">
        <v>191</v>
      </c>
      <c r="H44">
        <v>2017</v>
      </c>
      <c r="I44">
        <v>119</v>
      </c>
      <c r="J44" t="s">
        <v>29</v>
      </c>
      <c r="K44" t="s">
        <v>29</v>
      </c>
      <c r="L44" t="s">
        <v>29</v>
      </c>
      <c r="M44" t="s">
        <v>29</v>
      </c>
      <c r="N44">
        <v>139</v>
      </c>
      <c r="O44">
        <v>153</v>
      </c>
      <c r="P44" t="s">
        <v>29</v>
      </c>
      <c r="Q44" t="s">
        <v>192</v>
      </c>
      <c r="R44" t="s">
        <v>29</v>
      </c>
      <c r="S44" t="s">
        <v>29</v>
      </c>
      <c r="T44">
        <v>39</v>
      </c>
      <c r="U44">
        <v>4.88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  <c r="AB44">
        <v>0</v>
      </c>
      <c r="AC44">
        <v>0</v>
      </c>
      <c r="AD44">
        <v>0</v>
      </c>
      <c r="AE44">
        <v>0</v>
      </c>
      <c r="AF44">
        <v>0</v>
      </c>
      <c r="AG44">
        <v>0</v>
      </c>
      <c r="AH44">
        <v>0</v>
      </c>
      <c r="AI44">
        <v>0</v>
      </c>
      <c r="AJ44">
        <v>0</v>
      </c>
      <c r="AK44">
        <v>0</v>
      </c>
      <c r="AL44">
        <v>0</v>
      </c>
      <c r="AM44">
        <v>0</v>
      </c>
      <c r="AN44">
        <v>0</v>
      </c>
      <c r="AO44">
        <v>0</v>
      </c>
      <c r="AP44">
        <v>0</v>
      </c>
      <c r="AQ44">
        <v>0</v>
      </c>
      <c r="AR44">
        <v>0</v>
      </c>
      <c r="AS44">
        <v>0</v>
      </c>
      <c r="AT44">
        <v>0</v>
      </c>
      <c r="AU44">
        <v>0</v>
      </c>
      <c r="AV44">
        <v>0</v>
      </c>
      <c r="AW44">
        <v>0</v>
      </c>
      <c r="AX44">
        <v>0</v>
      </c>
      <c r="AY44">
        <v>0</v>
      </c>
      <c r="AZ44">
        <v>0</v>
      </c>
      <c r="BA44">
        <v>0</v>
      </c>
      <c r="BB44">
        <v>0</v>
      </c>
      <c r="BC44">
        <v>0</v>
      </c>
      <c r="BD44">
        <v>0</v>
      </c>
      <c r="BE44">
        <v>0</v>
      </c>
      <c r="BF44">
        <v>0</v>
      </c>
      <c r="BG44">
        <v>0</v>
      </c>
      <c r="BH44">
        <v>0</v>
      </c>
      <c r="BI44">
        <v>0</v>
      </c>
      <c r="BJ44">
        <v>0</v>
      </c>
      <c r="BK44">
        <v>0</v>
      </c>
      <c r="BL44">
        <v>1</v>
      </c>
      <c r="BM44">
        <v>3</v>
      </c>
      <c r="BN44">
        <v>3</v>
      </c>
      <c r="BO44">
        <v>6</v>
      </c>
      <c r="BP44">
        <v>8</v>
      </c>
      <c r="BQ44">
        <v>9</v>
      </c>
      <c r="BR44">
        <v>3</v>
      </c>
      <c r="BS44">
        <v>6</v>
      </c>
    </row>
    <row r="45" spans="1:71" x14ac:dyDescent="0.3">
      <c r="A45" t="s">
        <v>193</v>
      </c>
      <c r="B45" t="s">
        <v>194</v>
      </c>
      <c r="C45" t="s">
        <v>29</v>
      </c>
      <c r="D45" t="s">
        <v>29</v>
      </c>
      <c r="E45" t="s">
        <v>29</v>
      </c>
      <c r="F45" t="s">
        <v>195</v>
      </c>
      <c r="G45" t="s">
        <v>196</v>
      </c>
      <c r="H45">
        <v>2017</v>
      </c>
      <c r="I45">
        <v>107</v>
      </c>
      <c r="J45" t="s">
        <v>29</v>
      </c>
      <c r="K45" t="s">
        <v>29</v>
      </c>
      <c r="L45" t="s">
        <v>29</v>
      </c>
      <c r="M45" t="s">
        <v>29</v>
      </c>
      <c r="N45">
        <v>51</v>
      </c>
      <c r="O45">
        <v>66</v>
      </c>
      <c r="P45" t="s">
        <v>29</v>
      </c>
      <c r="Q45" t="s">
        <v>197</v>
      </c>
      <c r="R45" t="s">
        <v>29</v>
      </c>
      <c r="S45" t="s">
        <v>29</v>
      </c>
      <c r="T45">
        <v>39</v>
      </c>
      <c r="U45">
        <v>4.88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  <c r="AB45">
        <v>0</v>
      </c>
      <c r="AC45">
        <v>0</v>
      </c>
      <c r="AD45">
        <v>0</v>
      </c>
      <c r="AE45">
        <v>0</v>
      </c>
      <c r="AF45">
        <v>0</v>
      </c>
      <c r="AG45">
        <v>0</v>
      </c>
      <c r="AH45">
        <v>0</v>
      </c>
      <c r="AI45">
        <v>0</v>
      </c>
      <c r="AJ45">
        <v>0</v>
      </c>
      <c r="AK45">
        <v>0</v>
      </c>
      <c r="AL45">
        <v>0</v>
      </c>
      <c r="AM45">
        <v>0</v>
      </c>
      <c r="AN45">
        <v>0</v>
      </c>
      <c r="AO45">
        <v>0</v>
      </c>
      <c r="AP45">
        <v>0</v>
      </c>
      <c r="AQ45">
        <v>0</v>
      </c>
      <c r="AR45">
        <v>0</v>
      </c>
      <c r="AS45">
        <v>0</v>
      </c>
      <c r="AT45">
        <v>0</v>
      </c>
      <c r="AU45">
        <v>0</v>
      </c>
      <c r="AV45">
        <v>0</v>
      </c>
      <c r="AW45">
        <v>0</v>
      </c>
      <c r="AX45">
        <v>0</v>
      </c>
      <c r="AY45">
        <v>0</v>
      </c>
      <c r="AZ45">
        <v>0</v>
      </c>
      <c r="BA45">
        <v>0</v>
      </c>
      <c r="BB45">
        <v>0</v>
      </c>
      <c r="BC45">
        <v>0</v>
      </c>
      <c r="BD45">
        <v>0</v>
      </c>
      <c r="BE45">
        <v>0</v>
      </c>
      <c r="BF45">
        <v>0</v>
      </c>
      <c r="BG45">
        <v>0</v>
      </c>
      <c r="BH45">
        <v>0</v>
      </c>
      <c r="BI45">
        <v>0</v>
      </c>
      <c r="BJ45">
        <v>0</v>
      </c>
      <c r="BK45">
        <v>0</v>
      </c>
      <c r="BL45">
        <v>3</v>
      </c>
      <c r="BM45">
        <v>4</v>
      </c>
      <c r="BN45">
        <v>8</v>
      </c>
      <c r="BO45">
        <v>6</v>
      </c>
      <c r="BP45">
        <v>8</v>
      </c>
      <c r="BQ45">
        <v>5</v>
      </c>
      <c r="BR45">
        <v>3</v>
      </c>
      <c r="BS45">
        <v>2</v>
      </c>
    </row>
    <row r="46" spans="1:71" x14ac:dyDescent="0.3">
      <c r="A46" t="s">
        <v>198</v>
      </c>
      <c r="B46" t="s">
        <v>199</v>
      </c>
      <c r="C46" t="s">
        <v>29</v>
      </c>
      <c r="D46" t="s">
        <v>29</v>
      </c>
      <c r="E46" t="s">
        <v>29</v>
      </c>
      <c r="F46" t="s">
        <v>200</v>
      </c>
      <c r="G46" t="s">
        <v>201</v>
      </c>
      <c r="H46">
        <v>2020</v>
      </c>
      <c r="I46">
        <v>10</v>
      </c>
      <c r="J46">
        <v>7</v>
      </c>
      <c r="K46" t="s">
        <v>29</v>
      </c>
      <c r="L46" t="s">
        <v>29</v>
      </c>
      <c r="M46" t="s">
        <v>29</v>
      </c>
      <c r="N46" t="s">
        <v>29</v>
      </c>
      <c r="O46" t="s">
        <v>29</v>
      </c>
      <c r="P46">
        <v>187</v>
      </c>
      <c r="Q46" t="s">
        <v>202</v>
      </c>
      <c r="R46" t="s">
        <v>29</v>
      </c>
      <c r="S46" t="s">
        <v>29</v>
      </c>
      <c r="T46">
        <v>38</v>
      </c>
      <c r="U46">
        <v>7.6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  <c r="AB46">
        <v>0</v>
      </c>
      <c r="AC46">
        <v>0</v>
      </c>
      <c r="AD46">
        <v>0</v>
      </c>
      <c r="AE46">
        <v>0</v>
      </c>
      <c r="AF46">
        <v>0</v>
      </c>
      <c r="AG46">
        <v>0</v>
      </c>
      <c r="AH46">
        <v>0</v>
      </c>
      <c r="AI46">
        <v>0</v>
      </c>
      <c r="AJ46">
        <v>0</v>
      </c>
      <c r="AK46">
        <v>0</v>
      </c>
      <c r="AL46">
        <v>0</v>
      </c>
      <c r="AM46">
        <v>0</v>
      </c>
      <c r="AN46">
        <v>0</v>
      </c>
      <c r="AO46">
        <v>0</v>
      </c>
      <c r="AP46">
        <v>0</v>
      </c>
      <c r="AQ46">
        <v>0</v>
      </c>
      <c r="AR46">
        <v>0</v>
      </c>
      <c r="AS46">
        <v>0</v>
      </c>
      <c r="AT46">
        <v>0</v>
      </c>
      <c r="AU46">
        <v>0</v>
      </c>
      <c r="AV46">
        <v>0</v>
      </c>
      <c r="AW46">
        <v>0</v>
      </c>
      <c r="AX46">
        <v>0</v>
      </c>
      <c r="AY46">
        <v>0</v>
      </c>
      <c r="AZ46">
        <v>0</v>
      </c>
      <c r="BA46">
        <v>0</v>
      </c>
      <c r="BB46">
        <v>0</v>
      </c>
      <c r="BC46">
        <v>0</v>
      </c>
      <c r="BD46">
        <v>0</v>
      </c>
      <c r="BE46">
        <v>0</v>
      </c>
      <c r="BF46">
        <v>0</v>
      </c>
      <c r="BG46">
        <v>0</v>
      </c>
      <c r="BH46">
        <v>0</v>
      </c>
      <c r="BI46">
        <v>0</v>
      </c>
      <c r="BJ46">
        <v>0</v>
      </c>
      <c r="BK46">
        <v>0</v>
      </c>
      <c r="BL46">
        <v>0</v>
      </c>
      <c r="BM46">
        <v>0</v>
      </c>
      <c r="BN46">
        <v>0</v>
      </c>
      <c r="BO46">
        <v>0</v>
      </c>
      <c r="BP46">
        <v>5</v>
      </c>
      <c r="BQ46">
        <v>9</v>
      </c>
      <c r="BR46">
        <v>12</v>
      </c>
      <c r="BS46">
        <v>12</v>
      </c>
    </row>
    <row r="47" spans="1:71" x14ac:dyDescent="0.3">
      <c r="A47" t="s">
        <v>203</v>
      </c>
      <c r="B47" t="s">
        <v>204</v>
      </c>
      <c r="C47" t="s">
        <v>29</v>
      </c>
      <c r="D47" t="s">
        <v>29</v>
      </c>
      <c r="E47" t="s">
        <v>29</v>
      </c>
      <c r="F47" t="s">
        <v>205</v>
      </c>
      <c r="G47">
        <v>2014</v>
      </c>
      <c r="H47">
        <v>2014</v>
      </c>
      <c r="I47">
        <v>29</v>
      </c>
      <c r="J47">
        <v>6</v>
      </c>
      <c r="K47" t="s">
        <v>29</v>
      </c>
      <c r="L47" t="s">
        <v>29</v>
      </c>
      <c r="M47" t="s">
        <v>29</v>
      </c>
      <c r="N47">
        <v>953</v>
      </c>
      <c r="O47">
        <v>967</v>
      </c>
      <c r="P47" t="s">
        <v>29</v>
      </c>
      <c r="Q47" t="s">
        <v>206</v>
      </c>
      <c r="R47" t="s">
        <v>29</v>
      </c>
      <c r="S47" t="s">
        <v>29</v>
      </c>
      <c r="T47">
        <v>36</v>
      </c>
      <c r="U47">
        <v>3.27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  <c r="AC47">
        <v>0</v>
      </c>
      <c r="AD47">
        <v>0</v>
      </c>
      <c r="AE47">
        <v>0</v>
      </c>
      <c r="AF47">
        <v>0</v>
      </c>
      <c r="AG47">
        <v>0</v>
      </c>
      <c r="AH47">
        <v>0</v>
      </c>
      <c r="AI47">
        <v>0</v>
      </c>
      <c r="AJ47">
        <v>0</v>
      </c>
      <c r="AK47">
        <v>0</v>
      </c>
      <c r="AL47">
        <v>0</v>
      </c>
      <c r="AM47">
        <v>0</v>
      </c>
      <c r="AN47">
        <v>0</v>
      </c>
      <c r="AO47">
        <v>0</v>
      </c>
      <c r="AP47">
        <v>0</v>
      </c>
      <c r="AQ47">
        <v>0</v>
      </c>
      <c r="AR47">
        <v>0</v>
      </c>
      <c r="AS47">
        <v>0</v>
      </c>
      <c r="AT47">
        <v>0</v>
      </c>
      <c r="AU47">
        <v>0</v>
      </c>
      <c r="AV47">
        <v>0</v>
      </c>
      <c r="AW47">
        <v>0</v>
      </c>
      <c r="AX47">
        <v>0</v>
      </c>
      <c r="AY47">
        <v>0</v>
      </c>
      <c r="AZ47">
        <v>0</v>
      </c>
      <c r="BA47">
        <v>0</v>
      </c>
      <c r="BB47">
        <v>0</v>
      </c>
      <c r="BC47">
        <v>0</v>
      </c>
      <c r="BD47">
        <v>0</v>
      </c>
      <c r="BE47">
        <v>0</v>
      </c>
      <c r="BF47">
        <v>0</v>
      </c>
      <c r="BG47">
        <v>0</v>
      </c>
      <c r="BH47">
        <v>0</v>
      </c>
      <c r="BI47">
        <v>0</v>
      </c>
      <c r="BJ47">
        <v>3</v>
      </c>
      <c r="BK47">
        <v>3</v>
      </c>
      <c r="BL47">
        <v>3</v>
      </c>
      <c r="BM47">
        <v>2</v>
      </c>
      <c r="BN47">
        <v>8</v>
      </c>
      <c r="BO47">
        <v>5</v>
      </c>
      <c r="BP47">
        <v>2</v>
      </c>
      <c r="BQ47">
        <v>2</v>
      </c>
      <c r="BR47">
        <v>4</v>
      </c>
      <c r="BS47">
        <v>4</v>
      </c>
    </row>
    <row r="48" spans="1:71" x14ac:dyDescent="0.3">
      <c r="A48" t="s">
        <v>207</v>
      </c>
      <c r="B48" t="s">
        <v>208</v>
      </c>
      <c r="C48" t="s">
        <v>29</v>
      </c>
      <c r="D48" t="s">
        <v>29</v>
      </c>
      <c r="E48" t="s">
        <v>29</v>
      </c>
      <c r="F48" t="s">
        <v>209</v>
      </c>
      <c r="G48" t="s">
        <v>210</v>
      </c>
      <c r="H48">
        <v>2015</v>
      </c>
      <c r="I48">
        <v>2</v>
      </c>
      <c r="J48">
        <v>4</v>
      </c>
      <c r="K48" t="s">
        <v>29</v>
      </c>
      <c r="L48" t="s">
        <v>29</v>
      </c>
      <c r="M48" t="s">
        <v>29</v>
      </c>
      <c r="N48">
        <v>31</v>
      </c>
      <c r="O48">
        <v>49</v>
      </c>
      <c r="P48" t="s">
        <v>29</v>
      </c>
      <c r="Q48" t="s">
        <v>211</v>
      </c>
      <c r="R48" t="s">
        <v>29</v>
      </c>
      <c r="S48" t="s">
        <v>29</v>
      </c>
      <c r="T48">
        <v>34</v>
      </c>
      <c r="U48">
        <v>3.4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  <c r="AB48">
        <v>0</v>
      </c>
      <c r="AC48">
        <v>0</v>
      </c>
      <c r="AD48">
        <v>0</v>
      </c>
      <c r="AE48">
        <v>0</v>
      </c>
      <c r="AF48">
        <v>0</v>
      </c>
      <c r="AG48">
        <v>0</v>
      </c>
      <c r="AH48">
        <v>0</v>
      </c>
      <c r="AI48">
        <v>0</v>
      </c>
      <c r="AJ48">
        <v>0</v>
      </c>
      <c r="AK48">
        <v>0</v>
      </c>
      <c r="AL48">
        <v>0</v>
      </c>
      <c r="AM48">
        <v>0</v>
      </c>
      <c r="AN48">
        <v>0</v>
      </c>
      <c r="AO48">
        <v>0</v>
      </c>
      <c r="AP48">
        <v>0</v>
      </c>
      <c r="AQ48">
        <v>0</v>
      </c>
      <c r="AR48">
        <v>0</v>
      </c>
      <c r="AS48">
        <v>0</v>
      </c>
      <c r="AT48">
        <v>0</v>
      </c>
      <c r="AU48">
        <v>0</v>
      </c>
      <c r="AV48">
        <v>0</v>
      </c>
      <c r="AW48">
        <v>0</v>
      </c>
      <c r="AX48">
        <v>0</v>
      </c>
      <c r="AY48">
        <v>0</v>
      </c>
      <c r="AZ48">
        <v>0</v>
      </c>
      <c r="BA48">
        <v>0</v>
      </c>
      <c r="BB48">
        <v>0</v>
      </c>
      <c r="BC48">
        <v>0</v>
      </c>
      <c r="BD48">
        <v>0</v>
      </c>
      <c r="BE48">
        <v>0</v>
      </c>
      <c r="BF48">
        <v>0</v>
      </c>
      <c r="BG48">
        <v>0</v>
      </c>
      <c r="BH48">
        <v>0</v>
      </c>
      <c r="BI48">
        <v>0</v>
      </c>
      <c r="BJ48">
        <v>0</v>
      </c>
      <c r="BK48">
        <v>2</v>
      </c>
      <c r="BL48">
        <v>2</v>
      </c>
      <c r="BM48">
        <v>3</v>
      </c>
      <c r="BN48">
        <v>6</v>
      </c>
      <c r="BO48">
        <v>6</v>
      </c>
      <c r="BP48">
        <v>5</v>
      </c>
      <c r="BQ48">
        <v>6</v>
      </c>
      <c r="BR48">
        <v>1</v>
      </c>
      <c r="BS48">
        <v>3</v>
      </c>
    </row>
    <row r="49" spans="1:71" x14ac:dyDescent="0.3">
      <c r="A49" t="s">
        <v>212</v>
      </c>
      <c r="B49" t="s">
        <v>213</v>
      </c>
      <c r="C49" t="s">
        <v>29</v>
      </c>
      <c r="D49" t="s">
        <v>29</v>
      </c>
      <c r="E49" t="s">
        <v>29</v>
      </c>
      <c r="F49" t="s">
        <v>214</v>
      </c>
      <c r="G49">
        <v>2013</v>
      </c>
      <c r="H49">
        <v>2013</v>
      </c>
      <c r="I49">
        <v>35</v>
      </c>
      <c r="J49">
        <v>6</v>
      </c>
      <c r="K49" t="s">
        <v>29</v>
      </c>
      <c r="L49" t="s">
        <v>29</v>
      </c>
      <c r="M49" t="s">
        <v>29</v>
      </c>
      <c r="N49">
        <v>648</v>
      </c>
      <c r="O49">
        <v>664</v>
      </c>
      <c r="P49" t="s">
        <v>29</v>
      </c>
      <c r="Q49" t="s">
        <v>215</v>
      </c>
      <c r="R49" t="s">
        <v>29</v>
      </c>
      <c r="S49" t="s">
        <v>29</v>
      </c>
      <c r="T49">
        <v>33</v>
      </c>
      <c r="U49">
        <v>2.75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  <c r="AB49">
        <v>0</v>
      </c>
      <c r="AC49">
        <v>0</v>
      </c>
      <c r="AD49">
        <v>0</v>
      </c>
      <c r="AE49">
        <v>0</v>
      </c>
      <c r="AF49">
        <v>0</v>
      </c>
      <c r="AG49">
        <v>0</v>
      </c>
      <c r="AH49">
        <v>0</v>
      </c>
      <c r="AI49">
        <v>0</v>
      </c>
      <c r="AJ49">
        <v>0</v>
      </c>
      <c r="AK49">
        <v>0</v>
      </c>
      <c r="AL49">
        <v>0</v>
      </c>
      <c r="AM49">
        <v>0</v>
      </c>
      <c r="AN49">
        <v>0</v>
      </c>
      <c r="AO49">
        <v>0</v>
      </c>
      <c r="AP49">
        <v>0</v>
      </c>
      <c r="AQ49">
        <v>0</v>
      </c>
      <c r="AR49">
        <v>0</v>
      </c>
      <c r="AS49">
        <v>0</v>
      </c>
      <c r="AT49">
        <v>0</v>
      </c>
      <c r="AU49">
        <v>0</v>
      </c>
      <c r="AV49">
        <v>0</v>
      </c>
      <c r="AW49">
        <v>0</v>
      </c>
      <c r="AX49">
        <v>0</v>
      </c>
      <c r="AY49">
        <v>0</v>
      </c>
      <c r="AZ49">
        <v>0</v>
      </c>
      <c r="BA49">
        <v>0</v>
      </c>
      <c r="BB49">
        <v>0</v>
      </c>
      <c r="BC49">
        <v>0</v>
      </c>
      <c r="BD49">
        <v>0</v>
      </c>
      <c r="BE49">
        <v>0</v>
      </c>
      <c r="BF49">
        <v>0</v>
      </c>
      <c r="BG49">
        <v>0</v>
      </c>
      <c r="BH49">
        <v>0</v>
      </c>
      <c r="BI49">
        <v>0</v>
      </c>
      <c r="BJ49">
        <v>6</v>
      </c>
      <c r="BK49">
        <v>5</v>
      </c>
      <c r="BL49">
        <v>3</v>
      </c>
      <c r="BM49">
        <v>5</v>
      </c>
      <c r="BN49">
        <v>2</v>
      </c>
      <c r="BO49">
        <v>3</v>
      </c>
      <c r="BP49">
        <v>3</v>
      </c>
      <c r="BQ49">
        <v>4</v>
      </c>
      <c r="BR49">
        <v>2</v>
      </c>
      <c r="BS49">
        <v>0</v>
      </c>
    </row>
    <row r="50" spans="1:71" x14ac:dyDescent="0.3">
      <c r="A50" t="s">
        <v>216</v>
      </c>
      <c r="B50" t="s">
        <v>217</v>
      </c>
      <c r="C50" t="s">
        <v>29</v>
      </c>
      <c r="D50" t="s">
        <v>29</v>
      </c>
      <c r="E50" t="s">
        <v>29</v>
      </c>
      <c r="F50" t="s">
        <v>48</v>
      </c>
      <c r="G50" t="s">
        <v>218</v>
      </c>
      <c r="H50">
        <v>2021</v>
      </c>
      <c r="I50">
        <v>63</v>
      </c>
      <c r="J50">
        <v>2</v>
      </c>
      <c r="K50" t="s">
        <v>29</v>
      </c>
      <c r="L50" t="s">
        <v>29</v>
      </c>
      <c r="M50" t="s">
        <v>29</v>
      </c>
      <c r="N50">
        <v>165</v>
      </c>
      <c r="O50">
        <v>181</v>
      </c>
      <c r="P50" t="s">
        <v>29</v>
      </c>
      <c r="Q50" t="s">
        <v>219</v>
      </c>
      <c r="R50" t="s">
        <v>29</v>
      </c>
      <c r="S50" t="s">
        <v>29</v>
      </c>
      <c r="T50">
        <v>31</v>
      </c>
      <c r="U50">
        <v>6.2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  <c r="AB50">
        <v>0</v>
      </c>
      <c r="AC50">
        <v>0</v>
      </c>
      <c r="AD50">
        <v>0</v>
      </c>
      <c r="AE50">
        <v>0</v>
      </c>
      <c r="AF50">
        <v>0</v>
      </c>
      <c r="AG50">
        <v>0</v>
      </c>
      <c r="AH50">
        <v>0</v>
      </c>
      <c r="AI50">
        <v>0</v>
      </c>
      <c r="AJ50">
        <v>0</v>
      </c>
      <c r="AK50">
        <v>0</v>
      </c>
      <c r="AL50">
        <v>0</v>
      </c>
      <c r="AM50">
        <v>0</v>
      </c>
      <c r="AN50">
        <v>0</v>
      </c>
      <c r="AO50">
        <v>0</v>
      </c>
      <c r="AP50">
        <v>0</v>
      </c>
      <c r="AQ50">
        <v>0</v>
      </c>
      <c r="AR50">
        <v>0</v>
      </c>
      <c r="AS50">
        <v>0</v>
      </c>
      <c r="AT50">
        <v>0</v>
      </c>
      <c r="AU50">
        <v>0</v>
      </c>
      <c r="AV50">
        <v>0</v>
      </c>
      <c r="AW50">
        <v>0</v>
      </c>
      <c r="AX50">
        <v>0</v>
      </c>
      <c r="AY50">
        <v>0</v>
      </c>
      <c r="AZ50">
        <v>0</v>
      </c>
      <c r="BA50">
        <v>0</v>
      </c>
      <c r="BB50">
        <v>0</v>
      </c>
      <c r="BC50">
        <v>0</v>
      </c>
      <c r="BD50">
        <v>0</v>
      </c>
      <c r="BE50">
        <v>0</v>
      </c>
      <c r="BF50">
        <v>0</v>
      </c>
      <c r="BG50">
        <v>0</v>
      </c>
      <c r="BH50">
        <v>0</v>
      </c>
      <c r="BI50">
        <v>0</v>
      </c>
      <c r="BJ50">
        <v>0</v>
      </c>
      <c r="BK50">
        <v>0</v>
      </c>
      <c r="BL50">
        <v>0</v>
      </c>
      <c r="BM50">
        <v>0</v>
      </c>
      <c r="BN50">
        <v>0</v>
      </c>
      <c r="BO50">
        <v>0</v>
      </c>
      <c r="BP50">
        <v>3</v>
      </c>
      <c r="BQ50">
        <v>6</v>
      </c>
      <c r="BR50">
        <v>5</v>
      </c>
      <c r="BS50">
        <v>17</v>
      </c>
    </row>
    <row r="51" spans="1:71" x14ac:dyDescent="0.3">
      <c r="A51" t="s">
        <v>220</v>
      </c>
      <c r="B51" t="s">
        <v>221</v>
      </c>
      <c r="C51" t="s">
        <v>29</v>
      </c>
      <c r="D51" t="s">
        <v>29</v>
      </c>
      <c r="E51" t="s">
        <v>29</v>
      </c>
      <c r="F51" t="s">
        <v>222</v>
      </c>
      <c r="G51">
        <v>2019</v>
      </c>
      <c r="H51">
        <v>2019</v>
      </c>
      <c r="I51">
        <v>23</v>
      </c>
      <c r="J51">
        <v>4</v>
      </c>
      <c r="K51" t="s">
        <v>29</v>
      </c>
      <c r="L51" t="s">
        <v>29</v>
      </c>
      <c r="M51" t="s">
        <v>29</v>
      </c>
      <c r="N51">
        <v>664</v>
      </c>
      <c r="O51">
        <v>686</v>
      </c>
      <c r="P51" t="s">
        <v>29</v>
      </c>
      <c r="Q51" t="s">
        <v>223</v>
      </c>
      <c r="R51" t="s">
        <v>29</v>
      </c>
      <c r="S51" t="s">
        <v>29</v>
      </c>
      <c r="T51">
        <v>31</v>
      </c>
      <c r="U51">
        <v>5.17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  <c r="AB51">
        <v>0</v>
      </c>
      <c r="AC51">
        <v>0</v>
      </c>
      <c r="AD51">
        <v>0</v>
      </c>
      <c r="AE51">
        <v>0</v>
      </c>
      <c r="AF51">
        <v>0</v>
      </c>
      <c r="AG51">
        <v>0</v>
      </c>
      <c r="AH51">
        <v>0</v>
      </c>
      <c r="AI51">
        <v>0</v>
      </c>
      <c r="AJ51">
        <v>0</v>
      </c>
      <c r="AK51">
        <v>0</v>
      </c>
      <c r="AL51">
        <v>0</v>
      </c>
      <c r="AM51">
        <v>0</v>
      </c>
      <c r="AN51">
        <v>0</v>
      </c>
      <c r="AO51">
        <v>0</v>
      </c>
      <c r="AP51">
        <v>0</v>
      </c>
      <c r="AQ51">
        <v>0</v>
      </c>
      <c r="AR51">
        <v>0</v>
      </c>
      <c r="AS51">
        <v>0</v>
      </c>
      <c r="AT51">
        <v>0</v>
      </c>
      <c r="AU51">
        <v>0</v>
      </c>
      <c r="AV51">
        <v>0</v>
      </c>
      <c r="AW51">
        <v>0</v>
      </c>
      <c r="AX51">
        <v>0</v>
      </c>
      <c r="AY51">
        <v>0</v>
      </c>
      <c r="AZ51">
        <v>0</v>
      </c>
      <c r="BA51">
        <v>0</v>
      </c>
      <c r="BB51">
        <v>0</v>
      </c>
      <c r="BC51">
        <v>0</v>
      </c>
      <c r="BD51">
        <v>0</v>
      </c>
      <c r="BE51">
        <v>0</v>
      </c>
      <c r="BF51">
        <v>0</v>
      </c>
      <c r="BG51">
        <v>0</v>
      </c>
      <c r="BH51">
        <v>0</v>
      </c>
      <c r="BI51">
        <v>0</v>
      </c>
      <c r="BJ51">
        <v>0</v>
      </c>
      <c r="BK51">
        <v>0</v>
      </c>
      <c r="BL51">
        <v>0</v>
      </c>
      <c r="BM51">
        <v>0</v>
      </c>
      <c r="BN51">
        <v>2</v>
      </c>
      <c r="BO51">
        <v>2</v>
      </c>
      <c r="BP51">
        <v>4</v>
      </c>
      <c r="BQ51">
        <v>6</v>
      </c>
      <c r="BR51">
        <v>6</v>
      </c>
      <c r="BS51">
        <v>11</v>
      </c>
    </row>
    <row r="52" spans="1:71" x14ac:dyDescent="0.3">
      <c r="A52" t="s">
        <v>224</v>
      </c>
      <c r="B52" t="s">
        <v>225</v>
      </c>
      <c r="C52" t="s">
        <v>29</v>
      </c>
      <c r="D52" t="s">
        <v>29</v>
      </c>
      <c r="E52" t="s">
        <v>29</v>
      </c>
      <c r="F52" t="s">
        <v>226</v>
      </c>
      <c r="G52" t="s">
        <v>227</v>
      </c>
      <c r="H52">
        <v>2020</v>
      </c>
      <c r="I52">
        <v>79</v>
      </c>
      <c r="J52">
        <v>2</v>
      </c>
      <c r="K52" t="s">
        <v>29</v>
      </c>
      <c r="L52" t="s">
        <v>29</v>
      </c>
      <c r="M52" t="s">
        <v>29</v>
      </c>
      <c r="N52">
        <v>307</v>
      </c>
      <c r="O52">
        <v>324</v>
      </c>
      <c r="P52" t="s">
        <v>29</v>
      </c>
      <c r="Q52" t="s">
        <v>228</v>
      </c>
      <c r="R52" t="s">
        <v>29</v>
      </c>
      <c r="S52" t="s">
        <v>29</v>
      </c>
      <c r="T52">
        <v>30</v>
      </c>
      <c r="U52">
        <v>6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  <c r="AB52">
        <v>0</v>
      </c>
      <c r="AC52">
        <v>0</v>
      </c>
      <c r="AD52">
        <v>0</v>
      </c>
      <c r="AE52">
        <v>0</v>
      </c>
      <c r="AF52">
        <v>0</v>
      </c>
      <c r="AG52">
        <v>0</v>
      </c>
      <c r="AH52">
        <v>0</v>
      </c>
      <c r="AI52">
        <v>0</v>
      </c>
      <c r="AJ52">
        <v>0</v>
      </c>
      <c r="AK52">
        <v>0</v>
      </c>
      <c r="AL52">
        <v>0</v>
      </c>
      <c r="AM52">
        <v>0</v>
      </c>
      <c r="AN52">
        <v>0</v>
      </c>
      <c r="AO52">
        <v>0</v>
      </c>
      <c r="AP52">
        <v>0</v>
      </c>
      <c r="AQ52">
        <v>0</v>
      </c>
      <c r="AR52">
        <v>0</v>
      </c>
      <c r="AS52">
        <v>0</v>
      </c>
      <c r="AT52">
        <v>0</v>
      </c>
      <c r="AU52">
        <v>0</v>
      </c>
      <c r="AV52">
        <v>0</v>
      </c>
      <c r="AW52">
        <v>0</v>
      </c>
      <c r="AX52">
        <v>0</v>
      </c>
      <c r="AY52">
        <v>0</v>
      </c>
      <c r="AZ52">
        <v>0</v>
      </c>
      <c r="BA52">
        <v>0</v>
      </c>
      <c r="BB52">
        <v>0</v>
      </c>
      <c r="BC52">
        <v>0</v>
      </c>
      <c r="BD52">
        <v>0</v>
      </c>
      <c r="BE52">
        <v>0</v>
      </c>
      <c r="BF52">
        <v>0</v>
      </c>
      <c r="BG52">
        <v>0</v>
      </c>
      <c r="BH52">
        <v>0</v>
      </c>
      <c r="BI52">
        <v>0</v>
      </c>
      <c r="BJ52">
        <v>0</v>
      </c>
      <c r="BK52">
        <v>0</v>
      </c>
      <c r="BL52">
        <v>0</v>
      </c>
      <c r="BM52">
        <v>0</v>
      </c>
      <c r="BN52">
        <v>0</v>
      </c>
      <c r="BO52">
        <v>5</v>
      </c>
      <c r="BP52">
        <v>3</v>
      </c>
      <c r="BQ52">
        <v>8</v>
      </c>
      <c r="BR52">
        <v>8</v>
      </c>
      <c r="BS52">
        <v>6</v>
      </c>
    </row>
    <row r="53" spans="1:71" x14ac:dyDescent="0.3">
      <c r="A53" t="s">
        <v>229</v>
      </c>
      <c r="B53" t="s">
        <v>230</v>
      </c>
      <c r="C53" t="s">
        <v>29</v>
      </c>
      <c r="D53" t="s">
        <v>29</v>
      </c>
      <c r="E53" t="s">
        <v>29</v>
      </c>
      <c r="F53" t="s">
        <v>231</v>
      </c>
      <c r="G53" t="s">
        <v>232</v>
      </c>
      <c r="H53">
        <v>2012</v>
      </c>
      <c r="I53">
        <v>38</v>
      </c>
      <c r="J53">
        <v>6</v>
      </c>
      <c r="K53" t="s">
        <v>29</v>
      </c>
      <c r="L53" t="s">
        <v>29</v>
      </c>
      <c r="M53" t="s">
        <v>29</v>
      </c>
      <c r="N53">
        <v>580</v>
      </c>
      <c r="O53">
        <v>587</v>
      </c>
      <c r="P53" t="s">
        <v>29</v>
      </c>
      <c r="Q53" t="s">
        <v>233</v>
      </c>
      <c r="R53" t="s">
        <v>29</v>
      </c>
      <c r="S53" t="s">
        <v>29</v>
      </c>
      <c r="T53">
        <v>30</v>
      </c>
      <c r="U53">
        <v>2.31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  <c r="AB53">
        <v>0</v>
      </c>
      <c r="AC53">
        <v>0</v>
      </c>
      <c r="AD53">
        <v>0</v>
      </c>
      <c r="AE53">
        <v>0</v>
      </c>
      <c r="AF53">
        <v>0</v>
      </c>
      <c r="AG53">
        <v>0</v>
      </c>
      <c r="AH53">
        <v>0</v>
      </c>
      <c r="AI53">
        <v>0</v>
      </c>
      <c r="AJ53">
        <v>0</v>
      </c>
      <c r="AK53">
        <v>0</v>
      </c>
      <c r="AL53">
        <v>0</v>
      </c>
      <c r="AM53">
        <v>0</v>
      </c>
      <c r="AN53">
        <v>0</v>
      </c>
      <c r="AO53">
        <v>0</v>
      </c>
      <c r="AP53">
        <v>0</v>
      </c>
      <c r="AQ53">
        <v>0</v>
      </c>
      <c r="AR53">
        <v>0</v>
      </c>
      <c r="AS53">
        <v>0</v>
      </c>
      <c r="AT53">
        <v>0</v>
      </c>
      <c r="AU53">
        <v>0</v>
      </c>
      <c r="AV53">
        <v>0</v>
      </c>
      <c r="AW53">
        <v>0</v>
      </c>
      <c r="AX53">
        <v>0</v>
      </c>
      <c r="AY53">
        <v>0</v>
      </c>
      <c r="AZ53">
        <v>0</v>
      </c>
      <c r="BA53">
        <v>0</v>
      </c>
      <c r="BB53">
        <v>0</v>
      </c>
      <c r="BC53">
        <v>0</v>
      </c>
      <c r="BD53">
        <v>0</v>
      </c>
      <c r="BE53">
        <v>0</v>
      </c>
      <c r="BF53">
        <v>0</v>
      </c>
      <c r="BG53">
        <v>0</v>
      </c>
      <c r="BH53">
        <v>0</v>
      </c>
      <c r="BI53">
        <v>2</v>
      </c>
      <c r="BJ53">
        <v>2</v>
      </c>
      <c r="BK53">
        <v>2</v>
      </c>
      <c r="BL53">
        <v>1</v>
      </c>
      <c r="BM53">
        <v>5</v>
      </c>
      <c r="BN53">
        <v>4</v>
      </c>
      <c r="BO53">
        <v>2</v>
      </c>
      <c r="BP53">
        <v>4</v>
      </c>
      <c r="BQ53">
        <v>3</v>
      </c>
      <c r="BR53">
        <v>1</v>
      </c>
      <c r="BS53">
        <v>4</v>
      </c>
    </row>
    <row r="54" spans="1:71" x14ac:dyDescent="0.3">
      <c r="A54" t="s">
        <v>234</v>
      </c>
      <c r="B54" t="s">
        <v>235</v>
      </c>
      <c r="C54" t="s">
        <v>29</v>
      </c>
      <c r="D54" t="s">
        <v>29</v>
      </c>
      <c r="E54" t="s">
        <v>29</v>
      </c>
      <c r="F54" t="s">
        <v>236</v>
      </c>
      <c r="G54" t="s">
        <v>237</v>
      </c>
      <c r="H54">
        <v>2021</v>
      </c>
      <c r="I54">
        <v>60</v>
      </c>
      <c r="J54" t="s">
        <v>29</v>
      </c>
      <c r="K54" t="s">
        <v>29</v>
      </c>
      <c r="L54" t="s">
        <v>29</v>
      </c>
      <c r="M54" t="s">
        <v>29</v>
      </c>
      <c r="N54">
        <v>692</v>
      </c>
      <c r="O54">
        <v>706</v>
      </c>
      <c r="P54" t="s">
        <v>29</v>
      </c>
      <c r="Q54" t="s">
        <v>238</v>
      </c>
      <c r="R54" t="s">
        <v>29</v>
      </c>
      <c r="S54" t="s">
        <v>29</v>
      </c>
      <c r="T54">
        <v>29</v>
      </c>
      <c r="U54">
        <v>7.25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  <c r="AB54">
        <v>0</v>
      </c>
      <c r="AC54">
        <v>0</v>
      </c>
      <c r="AD54">
        <v>0</v>
      </c>
      <c r="AE54">
        <v>0</v>
      </c>
      <c r="AF54">
        <v>0</v>
      </c>
      <c r="AG54">
        <v>0</v>
      </c>
      <c r="AH54">
        <v>0</v>
      </c>
      <c r="AI54">
        <v>0</v>
      </c>
      <c r="AJ54">
        <v>0</v>
      </c>
      <c r="AK54">
        <v>0</v>
      </c>
      <c r="AL54">
        <v>0</v>
      </c>
      <c r="AM54">
        <v>0</v>
      </c>
      <c r="AN54">
        <v>0</v>
      </c>
      <c r="AO54">
        <v>0</v>
      </c>
      <c r="AP54">
        <v>0</v>
      </c>
      <c r="AQ54">
        <v>0</v>
      </c>
      <c r="AR54">
        <v>0</v>
      </c>
      <c r="AS54">
        <v>0</v>
      </c>
      <c r="AT54">
        <v>0</v>
      </c>
      <c r="AU54">
        <v>0</v>
      </c>
      <c r="AV54">
        <v>0</v>
      </c>
      <c r="AW54">
        <v>0</v>
      </c>
      <c r="AX54">
        <v>0</v>
      </c>
      <c r="AY54">
        <v>0</v>
      </c>
      <c r="AZ54">
        <v>0</v>
      </c>
      <c r="BA54">
        <v>0</v>
      </c>
      <c r="BB54">
        <v>0</v>
      </c>
      <c r="BC54">
        <v>0</v>
      </c>
      <c r="BD54">
        <v>0</v>
      </c>
      <c r="BE54">
        <v>0</v>
      </c>
      <c r="BF54">
        <v>0</v>
      </c>
      <c r="BG54">
        <v>0</v>
      </c>
      <c r="BH54">
        <v>0</v>
      </c>
      <c r="BI54">
        <v>0</v>
      </c>
      <c r="BJ54">
        <v>0</v>
      </c>
      <c r="BK54">
        <v>0</v>
      </c>
      <c r="BL54">
        <v>0</v>
      </c>
      <c r="BM54">
        <v>0</v>
      </c>
      <c r="BN54">
        <v>0</v>
      </c>
      <c r="BO54">
        <v>0</v>
      </c>
      <c r="BP54">
        <v>0</v>
      </c>
      <c r="BQ54">
        <v>4</v>
      </c>
      <c r="BR54">
        <v>8</v>
      </c>
      <c r="BS54">
        <v>17</v>
      </c>
    </row>
    <row r="55" spans="1:71" x14ac:dyDescent="0.3">
      <c r="A55" t="s">
        <v>239</v>
      </c>
      <c r="B55" t="s">
        <v>240</v>
      </c>
      <c r="C55" t="s">
        <v>29</v>
      </c>
      <c r="D55" t="s">
        <v>29</v>
      </c>
      <c r="E55" t="s">
        <v>29</v>
      </c>
      <c r="F55" t="s">
        <v>241</v>
      </c>
      <c r="G55" t="s">
        <v>242</v>
      </c>
      <c r="H55">
        <v>2016</v>
      </c>
      <c r="I55">
        <v>63</v>
      </c>
      <c r="J55">
        <v>4</v>
      </c>
      <c r="K55" t="s">
        <v>29</v>
      </c>
      <c r="L55" t="s">
        <v>29</v>
      </c>
      <c r="M55" t="s">
        <v>29</v>
      </c>
      <c r="N55">
        <v>513</v>
      </c>
      <c r="O55">
        <v>533</v>
      </c>
      <c r="P55" t="s">
        <v>29</v>
      </c>
      <c r="Q55" t="s">
        <v>243</v>
      </c>
      <c r="R55" t="s">
        <v>29</v>
      </c>
      <c r="S55" t="s">
        <v>29</v>
      </c>
      <c r="T55">
        <v>28</v>
      </c>
      <c r="U55">
        <v>3.11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  <c r="AB55">
        <v>0</v>
      </c>
      <c r="AC55">
        <v>0</v>
      </c>
      <c r="AD55">
        <v>0</v>
      </c>
      <c r="AE55">
        <v>0</v>
      </c>
      <c r="AF55">
        <v>0</v>
      </c>
      <c r="AG55">
        <v>0</v>
      </c>
      <c r="AH55">
        <v>0</v>
      </c>
      <c r="AI55">
        <v>0</v>
      </c>
      <c r="AJ55">
        <v>0</v>
      </c>
      <c r="AK55">
        <v>0</v>
      </c>
      <c r="AL55">
        <v>0</v>
      </c>
      <c r="AM55">
        <v>0</v>
      </c>
      <c r="AN55">
        <v>0</v>
      </c>
      <c r="AO55">
        <v>0</v>
      </c>
      <c r="AP55">
        <v>0</v>
      </c>
      <c r="AQ55">
        <v>0</v>
      </c>
      <c r="AR55">
        <v>0</v>
      </c>
      <c r="AS55">
        <v>0</v>
      </c>
      <c r="AT55">
        <v>0</v>
      </c>
      <c r="AU55">
        <v>0</v>
      </c>
      <c r="AV55">
        <v>0</v>
      </c>
      <c r="AW55">
        <v>0</v>
      </c>
      <c r="AX55">
        <v>0</v>
      </c>
      <c r="AY55">
        <v>0</v>
      </c>
      <c r="AZ55">
        <v>0</v>
      </c>
      <c r="BA55">
        <v>0</v>
      </c>
      <c r="BB55">
        <v>0</v>
      </c>
      <c r="BC55">
        <v>0</v>
      </c>
      <c r="BD55">
        <v>0</v>
      </c>
      <c r="BE55">
        <v>0</v>
      </c>
      <c r="BF55">
        <v>0</v>
      </c>
      <c r="BG55">
        <v>0</v>
      </c>
      <c r="BH55">
        <v>0</v>
      </c>
      <c r="BI55">
        <v>0</v>
      </c>
      <c r="BJ55">
        <v>0</v>
      </c>
      <c r="BK55">
        <v>0</v>
      </c>
      <c r="BL55">
        <v>0</v>
      </c>
      <c r="BM55">
        <v>3</v>
      </c>
      <c r="BN55">
        <v>7</v>
      </c>
      <c r="BO55">
        <v>8</v>
      </c>
      <c r="BP55">
        <v>3</v>
      </c>
      <c r="BQ55">
        <v>2</v>
      </c>
      <c r="BR55">
        <v>3</v>
      </c>
      <c r="BS55">
        <v>2</v>
      </c>
    </row>
    <row r="56" spans="1:71" x14ac:dyDescent="0.3">
      <c r="A56" t="s">
        <v>244</v>
      </c>
      <c r="B56" t="s">
        <v>245</v>
      </c>
      <c r="C56" t="s">
        <v>29</v>
      </c>
      <c r="D56" t="s">
        <v>29</v>
      </c>
      <c r="E56" t="s">
        <v>29</v>
      </c>
      <c r="F56" t="s">
        <v>246</v>
      </c>
      <c r="G56" t="s">
        <v>247</v>
      </c>
      <c r="H56">
        <v>2019</v>
      </c>
      <c r="I56">
        <v>28</v>
      </c>
      <c r="J56">
        <v>2</v>
      </c>
      <c r="K56" t="s">
        <v>29</v>
      </c>
      <c r="L56" t="s">
        <v>29</v>
      </c>
      <c r="M56" t="s">
        <v>32</v>
      </c>
      <c r="N56">
        <v>114</v>
      </c>
      <c r="O56">
        <v>125</v>
      </c>
      <c r="P56" t="s">
        <v>29</v>
      </c>
      <c r="Q56" t="s">
        <v>248</v>
      </c>
      <c r="R56" t="s">
        <v>29</v>
      </c>
      <c r="S56" t="s">
        <v>29</v>
      </c>
      <c r="T56">
        <v>27</v>
      </c>
      <c r="U56">
        <v>4.5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  <c r="AB56">
        <v>0</v>
      </c>
      <c r="AC56">
        <v>0</v>
      </c>
      <c r="AD56">
        <v>0</v>
      </c>
      <c r="AE56">
        <v>0</v>
      </c>
      <c r="AF56">
        <v>0</v>
      </c>
      <c r="AG56">
        <v>0</v>
      </c>
      <c r="AH56">
        <v>0</v>
      </c>
      <c r="AI56">
        <v>0</v>
      </c>
      <c r="AJ56">
        <v>0</v>
      </c>
      <c r="AK56">
        <v>0</v>
      </c>
      <c r="AL56">
        <v>0</v>
      </c>
      <c r="AM56">
        <v>0</v>
      </c>
      <c r="AN56">
        <v>0</v>
      </c>
      <c r="AO56">
        <v>0</v>
      </c>
      <c r="AP56">
        <v>0</v>
      </c>
      <c r="AQ56">
        <v>0</v>
      </c>
      <c r="AR56">
        <v>0</v>
      </c>
      <c r="AS56">
        <v>0</v>
      </c>
      <c r="AT56">
        <v>0</v>
      </c>
      <c r="AU56">
        <v>0</v>
      </c>
      <c r="AV56">
        <v>0</v>
      </c>
      <c r="AW56">
        <v>0</v>
      </c>
      <c r="AX56">
        <v>0</v>
      </c>
      <c r="AY56">
        <v>0</v>
      </c>
      <c r="AZ56">
        <v>0</v>
      </c>
      <c r="BA56">
        <v>0</v>
      </c>
      <c r="BB56">
        <v>0</v>
      </c>
      <c r="BC56">
        <v>0</v>
      </c>
      <c r="BD56">
        <v>0</v>
      </c>
      <c r="BE56">
        <v>0</v>
      </c>
      <c r="BF56">
        <v>0</v>
      </c>
      <c r="BG56">
        <v>0</v>
      </c>
      <c r="BH56">
        <v>0</v>
      </c>
      <c r="BI56">
        <v>0</v>
      </c>
      <c r="BJ56">
        <v>0</v>
      </c>
      <c r="BK56">
        <v>0</v>
      </c>
      <c r="BL56">
        <v>0</v>
      </c>
      <c r="BM56">
        <v>0</v>
      </c>
      <c r="BN56">
        <v>0</v>
      </c>
      <c r="BO56">
        <v>1</v>
      </c>
      <c r="BP56">
        <v>5</v>
      </c>
      <c r="BQ56">
        <v>6</v>
      </c>
      <c r="BR56">
        <v>10</v>
      </c>
      <c r="BS56">
        <v>5</v>
      </c>
    </row>
    <row r="57" spans="1:71" x14ac:dyDescent="0.3">
      <c r="A57" t="s">
        <v>249</v>
      </c>
      <c r="B57" t="s">
        <v>250</v>
      </c>
      <c r="C57" t="s">
        <v>29</v>
      </c>
      <c r="D57" t="s">
        <v>29</v>
      </c>
      <c r="E57" t="s">
        <v>29</v>
      </c>
      <c r="F57" t="s">
        <v>251</v>
      </c>
      <c r="G57" t="s">
        <v>252</v>
      </c>
      <c r="H57">
        <v>2007</v>
      </c>
      <c r="I57">
        <v>15</v>
      </c>
      <c r="J57">
        <v>4</v>
      </c>
      <c r="K57" t="s">
        <v>29</v>
      </c>
      <c r="L57" t="s">
        <v>29</v>
      </c>
      <c r="M57" t="s">
        <v>29</v>
      </c>
      <c r="N57">
        <v>1</v>
      </c>
      <c r="O57">
        <v>16</v>
      </c>
      <c r="P57" t="s">
        <v>29</v>
      </c>
      <c r="Q57" t="s">
        <v>253</v>
      </c>
      <c r="R57" t="s">
        <v>29</v>
      </c>
      <c r="S57" t="s">
        <v>29</v>
      </c>
      <c r="T57">
        <v>27</v>
      </c>
      <c r="U57">
        <v>1.5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  <c r="AB57">
        <v>0</v>
      </c>
      <c r="AC57">
        <v>0</v>
      </c>
      <c r="AD57">
        <v>0</v>
      </c>
      <c r="AE57">
        <v>0</v>
      </c>
      <c r="AF57">
        <v>0</v>
      </c>
      <c r="AG57">
        <v>0</v>
      </c>
      <c r="AH57">
        <v>0</v>
      </c>
      <c r="AI57">
        <v>0</v>
      </c>
      <c r="AJ57">
        <v>0</v>
      </c>
      <c r="AK57">
        <v>0</v>
      </c>
      <c r="AL57">
        <v>0</v>
      </c>
      <c r="AM57">
        <v>0</v>
      </c>
      <c r="AN57">
        <v>0</v>
      </c>
      <c r="AO57">
        <v>0</v>
      </c>
      <c r="AP57">
        <v>0</v>
      </c>
      <c r="AQ57">
        <v>0</v>
      </c>
      <c r="AR57">
        <v>0</v>
      </c>
      <c r="AS57">
        <v>0</v>
      </c>
      <c r="AT57">
        <v>0</v>
      </c>
      <c r="AU57">
        <v>0</v>
      </c>
      <c r="AV57">
        <v>0</v>
      </c>
      <c r="AW57">
        <v>0</v>
      </c>
      <c r="AX57">
        <v>0</v>
      </c>
      <c r="AY57">
        <v>0</v>
      </c>
      <c r="AZ57">
        <v>0</v>
      </c>
      <c r="BA57">
        <v>0</v>
      </c>
      <c r="BB57">
        <v>0</v>
      </c>
      <c r="BC57">
        <v>0</v>
      </c>
      <c r="BD57">
        <v>1</v>
      </c>
      <c r="BE57">
        <v>0</v>
      </c>
      <c r="BF57">
        <v>0</v>
      </c>
      <c r="BG57">
        <v>2</v>
      </c>
      <c r="BH57">
        <v>0</v>
      </c>
      <c r="BI57">
        <v>2</v>
      </c>
      <c r="BJ57">
        <v>3</v>
      </c>
      <c r="BK57">
        <v>2</v>
      </c>
      <c r="BL57">
        <v>1</v>
      </c>
      <c r="BM57">
        <v>2</v>
      </c>
      <c r="BN57">
        <v>1</v>
      </c>
      <c r="BO57">
        <v>3</v>
      </c>
      <c r="BP57">
        <v>3</v>
      </c>
      <c r="BQ57">
        <v>4</v>
      </c>
      <c r="BR57">
        <v>2</v>
      </c>
      <c r="BS57">
        <v>1</v>
      </c>
    </row>
    <row r="58" spans="1:71" x14ac:dyDescent="0.3">
      <c r="A58" t="s">
        <v>254</v>
      </c>
      <c r="B58" t="s">
        <v>255</v>
      </c>
      <c r="C58" t="s">
        <v>29</v>
      </c>
      <c r="D58" t="s">
        <v>29</v>
      </c>
      <c r="E58" t="s">
        <v>29</v>
      </c>
      <c r="F58" t="s">
        <v>256</v>
      </c>
      <c r="G58" t="s">
        <v>257</v>
      </c>
      <c r="H58">
        <v>1999</v>
      </c>
      <c r="I58">
        <v>562</v>
      </c>
      <c r="J58" t="s">
        <v>29</v>
      </c>
      <c r="K58" t="s">
        <v>29</v>
      </c>
      <c r="L58" t="s">
        <v>29</v>
      </c>
      <c r="M58" t="s">
        <v>29</v>
      </c>
      <c r="N58">
        <v>16</v>
      </c>
      <c r="O58">
        <v>31</v>
      </c>
      <c r="P58" t="s">
        <v>29</v>
      </c>
      <c r="Q58" t="s">
        <v>258</v>
      </c>
      <c r="R58" t="s">
        <v>29</v>
      </c>
      <c r="S58" t="s">
        <v>29</v>
      </c>
      <c r="T58">
        <v>27</v>
      </c>
      <c r="U58">
        <v>1.04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  <c r="AB58">
        <v>0</v>
      </c>
      <c r="AC58">
        <v>0</v>
      </c>
      <c r="AD58">
        <v>0</v>
      </c>
      <c r="AE58">
        <v>0</v>
      </c>
      <c r="AF58">
        <v>0</v>
      </c>
      <c r="AG58">
        <v>0</v>
      </c>
      <c r="AH58">
        <v>0</v>
      </c>
      <c r="AI58">
        <v>0</v>
      </c>
      <c r="AJ58">
        <v>0</v>
      </c>
      <c r="AK58">
        <v>0</v>
      </c>
      <c r="AL58">
        <v>0</v>
      </c>
      <c r="AM58">
        <v>0</v>
      </c>
      <c r="AN58">
        <v>0</v>
      </c>
      <c r="AO58">
        <v>0</v>
      </c>
      <c r="AP58">
        <v>0</v>
      </c>
      <c r="AQ58">
        <v>0</v>
      </c>
      <c r="AR58">
        <v>0</v>
      </c>
      <c r="AS58">
        <v>0</v>
      </c>
      <c r="AT58">
        <v>0</v>
      </c>
      <c r="AU58">
        <v>0</v>
      </c>
      <c r="AV58">
        <v>2</v>
      </c>
      <c r="AW58">
        <v>1</v>
      </c>
      <c r="AX58">
        <v>0</v>
      </c>
      <c r="AY58">
        <v>2</v>
      </c>
      <c r="AZ58">
        <v>1</v>
      </c>
      <c r="BA58">
        <v>1</v>
      </c>
      <c r="BB58">
        <v>3</v>
      </c>
      <c r="BC58">
        <v>3</v>
      </c>
      <c r="BD58">
        <v>3</v>
      </c>
      <c r="BE58">
        <v>1</v>
      </c>
      <c r="BF58">
        <v>3</v>
      </c>
      <c r="BG58">
        <v>1</v>
      </c>
      <c r="BH58">
        <v>0</v>
      </c>
      <c r="BI58">
        <v>0</v>
      </c>
      <c r="BJ58">
        <v>0</v>
      </c>
      <c r="BK58">
        <v>0</v>
      </c>
      <c r="BL58">
        <v>0</v>
      </c>
      <c r="BM58">
        <v>1</v>
      </c>
      <c r="BN58">
        <v>0</v>
      </c>
      <c r="BO58">
        <v>3</v>
      </c>
      <c r="BP58">
        <v>2</v>
      </c>
      <c r="BQ58">
        <v>0</v>
      </c>
      <c r="BR58">
        <v>0</v>
      </c>
      <c r="BS58">
        <v>0</v>
      </c>
    </row>
    <row r="59" spans="1:71" x14ac:dyDescent="0.3">
      <c r="A59" t="s">
        <v>259</v>
      </c>
      <c r="B59" t="s">
        <v>260</v>
      </c>
      <c r="C59" t="s">
        <v>29</v>
      </c>
      <c r="D59" t="s">
        <v>29</v>
      </c>
      <c r="E59" t="s">
        <v>29</v>
      </c>
      <c r="F59" t="s">
        <v>261</v>
      </c>
      <c r="G59">
        <v>2017</v>
      </c>
      <c r="H59">
        <v>2017</v>
      </c>
      <c r="I59" t="s">
        <v>29</v>
      </c>
      <c r="J59" t="s">
        <v>29</v>
      </c>
      <c r="K59" t="s">
        <v>29</v>
      </c>
      <c r="L59" t="s">
        <v>29</v>
      </c>
      <c r="M59" t="s">
        <v>29</v>
      </c>
      <c r="N59">
        <v>4627</v>
      </c>
      <c r="O59">
        <v>4634</v>
      </c>
      <c r="P59" t="s">
        <v>29</v>
      </c>
      <c r="Q59" t="s">
        <v>29</v>
      </c>
      <c r="R59" t="s">
        <v>262</v>
      </c>
      <c r="S59" t="s">
        <v>263</v>
      </c>
      <c r="T59">
        <v>26</v>
      </c>
      <c r="U59">
        <v>3.25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  <c r="AB59">
        <v>0</v>
      </c>
      <c r="AC59">
        <v>0</v>
      </c>
      <c r="AD59">
        <v>0</v>
      </c>
      <c r="AE59">
        <v>0</v>
      </c>
      <c r="AF59">
        <v>0</v>
      </c>
      <c r="AG59">
        <v>0</v>
      </c>
      <c r="AH59">
        <v>0</v>
      </c>
      <c r="AI59">
        <v>0</v>
      </c>
      <c r="AJ59">
        <v>0</v>
      </c>
      <c r="AK59">
        <v>0</v>
      </c>
      <c r="AL59">
        <v>0</v>
      </c>
      <c r="AM59">
        <v>0</v>
      </c>
      <c r="AN59">
        <v>0</v>
      </c>
      <c r="AO59">
        <v>0</v>
      </c>
      <c r="AP59">
        <v>0</v>
      </c>
      <c r="AQ59">
        <v>0</v>
      </c>
      <c r="AR59">
        <v>0</v>
      </c>
      <c r="AS59">
        <v>0</v>
      </c>
      <c r="AT59">
        <v>0</v>
      </c>
      <c r="AU59">
        <v>0</v>
      </c>
      <c r="AV59">
        <v>0</v>
      </c>
      <c r="AW59">
        <v>0</v>
      </c>
      <c r="AX59">
        <v>0</v>
      </c>
      <c r="AY59">
        <v>0</v>
      </c>
      <c r="AZ59">
        <v>0</v>
      </c>
      <c r="BA59">
        <v>0</v>
      </c>
      <c r="BB59">
        <v>0</v>
      </c>
      <c r="BC59">
        <v>0</v>
      </c>
      <c r="BD59">
        <v>0</v>
      </c>
      <c r="BE59">
        <v>0</v>
      </c>
      <c r="BF59">
        <v>0</v>
      </c>
      <c r="BG59">
        <v>0</v>
      </c>
      <c r="BH59">
        <v>0</v>
      </c>
      <c r="BI59">
        <v>0</v>
      </c>
      <c r="BJ59">
        <v>0</v>
      </c>
      <c r="BK59">
        <v>0</v>
      </c>
      <c r="BL59">
        <v>1</v>
      </c>
      <c r="BM59">
        <v>3</v>
      </c>
      <c r="BN59">
        <v>3</v>
      </c>
      <c r="BO59">
        <v>4</v>
      </c>
      <c r="BP59">
        <v>5</v>
      </c>
      <c r="BQ59">
        <v>8</v>
      </c>
      <c r="BR59">
        <v>1</v>
      </c>
      <c r="BS59">
        <v>1</v>
      </c>
    </row>
    <row r="60" spans="1:71" x14ac:dyDescent="0.3">
      <c r="A60" t="s">
        <v>264</v>
      </c>
      <c r="B60" t="s">
        <v>265</v>
      </c>
      <c r="C60" t="s">
        <v>29</v>
      </c>
      <c r="D60" t="s">
        <v>29</v>
      </c>
      <c r="E60" t="s">
        <v>29</v>
      </c>
      <c r="F60" t="s">
        <v>266</v>
      </c>
      <c r="G60" t="s">
        <v>267</v>
      </c>
      <c r="H60">
        <v>2016</v>
      </c>
      <c r="I60">
        <v>31</v>
      </c>
      <c r="J60">
        <v>1</v>
      </c>
      <c r="K60" t="s">
        <v>29</v>
      </c>
      <c r="L60" t="s">
        <v>29</v>
      </c>
      <c r="M60" t="s">
        <v>29</v>
      </c>
      <c r="N60">
        <v>102</v>
      </c>
      <c r="O60">
        <v>134</v>
      </c>
      <c r="P60" t="s">
        <v>29</v>
      </c>
      <c r="Q60" t="s">
        <v>268</v>
      </c>
      <c r="R60" t="s">
        <v>29</v>
      </c>
      <c r="S60" t="s">
        <v>29</v>
      </c>
      <c r="T60">
        <v>26</v>
      </c>
      <c r="U60">
        <v>2.89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  <c r="AB60">
        <v>0</v>
      </c>
      <c r="AC60">
        <v>0</v>
      </c>
      <c r="AD60">
        <v>0</v>
      </c>
      <c r="AE60">
        <v>0</v>
      </c>
      <c r="AF60">
        <v>0</v>
      </c>
      <c r="AG60">
        <v>0</v>
      </c>
      <c r="AH60">
        <v>0</v>
      </c>
      <c r="AI60">
        <v>0</v>
      </c>
      <c r="AJ60">
        <v>0</v>
      </c>
      <c r="AK60">
        <v>0</v>
      </c>
      <c r="AL60">
        <v>0</v>
      </c>
      <c r="AM60">
        <v>0</v>
      </c>
      <c r="AN60">
        <v>0</v>
      </c>
      <c r="AO60">
        <v>0</v>
      </c>
      <c r="AP60">
        <v>0</v>
      </c>
      <c r="AQ60">
        <v>0</v>
      </c>
      <c r="AR60">
        <v>0</v>
      </c>
      <c r="AS60">
        <v>0</v>
      </c>
      <c r="AT60">
        <v>0</v>
      </c>
      <c r="AU60">
        <v>0</v>
      </c>
      <c r="AV60">
        <v>0</v>
      </c>
      <c r="AW60">
        <v>0</v>
      </c>
      <c r="AX60">
        <v>0</v>
      </c>
      <c r="AY60">
        <v>0</v>
      </c>
      <c r="AZ60">
        <v>0</v>
      </c>
      <c r="BA60">
        <v>0</v>
      </c>
      <c r="BB60">
        <v>0</v>
      </c>
      <c r="BC60">
        <v>0</v>
      </c>
      <c r="BD60">
        <v>0</v>
      </c>
      <c r="BE60">
        <v>0</v>
      </c>
      <c r="BF60">
        <v>0</v>
      </c>
      <c r="BG60">
        <v>0</v>
      </c>
      <c r="BH60">
        <v>0</v>
      </c>
      <c r="BI60">
        <v>0</v>
      </c>
      <c r="BJ60">
        <v>0</v>
      </c>
      <c r="BK60">
        <v>0</v>
      </c>
      <c r="BL60">
        <v>1</v>
      </c>
      <c r="BM60">
        <v>2</v>
      </c>
      <c r="BN60">
        <v>4</v>
      </c>
      <c r="BO60">
        <v>3</v>
      </c>
      <c r="BP60">
        <v>3</v>
      </c>
      <c r="BQ60">
        <v>6</v>
      </c>
      <c r="BR60">
        <v>4</v>
      </c>
      <c r="BS60">
        <v>3</v>
      </c>
    </row>
    <row r="61" spans="1:71" x14ac:dyDescent="0.3">
      <c r="A61" t="s">
        <v>269</v>
      </c>
      <c r="B61" t="s">
        <v>270</v>
      </c>
      <c r="C61" t="s">
        <v>29</v>
      </c>
      <c r="D61" t="s">
        <v>29</v>
      </c>
      <c r="E61" t="s">
        <v>29</v>
      </c>
      <c r="F61" t="s">
        <v>271</v>
      </c>
      <c r="G61" t="s">
        <v>272</v>
      </c>
      <c r="H61">
        <v>2014</v>
      </c>
      <c r="I61">
        <v>24</v>
      </c>
      <c r="J61">
        <v>4</v>
      </c>
      <c r="K61" t="s">
        <v>29</v>
      </c>
      <c r="L61" t="s">
        <v>29</v>
      </c>
      <c r="M61" t="s">
        <v>29</v>
      </c>
      <c r="N61">
        <v>454</v>
      </c>
      <c r="O61">
        <v>467</v>
      </c>
      <c r="P61" t="s">
        <v>29</v>
      </c>
      <c r="Q61" t="s">
        <v>273</v>
      </c>
      <c r="R61" t="s">
        <v>29</v>
      </c>
      <c r="S61" t="s">
        <v>29</v>
      </c>
      <c r="T61">
        <v>26</v>
      </c>
      <c r="U61">
        <v>2.36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  <c r="AB61">
        <v>0</v>
      </c>
      <c r="AC61">
        <v>0</v>
      </c>
      <c r="AD61">
        <v>0</v>
      </c>
      <c r="AE61">
        <v>0</v>
      </c>
      <c r="AF61">
        <v>0</v>
      </c>
      <c r="AG61">
        <v>0</v>
      </c>
      <c r="AH61">
        <v>0</v>
      </c>
      <c r="AI61">
        <v>0</v>
      </c>
      <c r="AJ61">
        <v>0</v>
      </c>
      <c r="AK61">
        <v>0</v>
      </c>
      <c r="AL61">
        <v>0</v>
      </c>
      <c r="AM61">
        <v>0</v>
      </c>
      <c r="AN61">
        <v>0</v>
      </c>
      <c r="AO61">
        <v>0</v>
      </c>
      <c r="AP61">
        <v>0</v>
      </c>
      <c r="AQ61">
        <v>0</v>
      </c>
      <c r="AR61">
        <v>0</v>
      </c>
      <c r="AS61">
        <v>0</v>
      </c>
      <c r="AT61">
        <v>0</v>
      </c>
      <c r="AU61">
        <v>0</v>
      </c>
      <c r="AV61">
        <v>0</v>
      </c>
      <c r="AW61">
        <v>0</v>
      </c>
      <c r="AX61">
        <v>0</v>
      </c>
      <c r="AY61">
        <v>0</v>
      </c>
      <c r="AZ61">
        <v>0</v>
      </c>
      <c r="BA61">
        <v>0</v>
      </c>
      <c r="BB61">
        <v>0</v>
      </c>
      <c r="BC61">
        <v>0</v>
      </c>
      <c r="BD61">
        <v>0</v>
      </c>
      <c r="BE61">
        <v>0</v>
      </c>
      <c r="BF61">
        <v>0</v>
      </c>
      <c r="BG61">
        <v>0</v>
      </c>
      <c r="BH61">
        <v>0</v>
      </c>
      <c r="BI61">
        <v>1</v>
      </c>
      <c r="BJ61">
        <v>3</v>
      </c>
      <c r="BK61">
        <v>5</v>
      </c>
      <c r="BL61">
        <v>4</v>
      </c>
      <c r="BM61">
        <v>2</v>
      </c>
      <c r="BN61">
        <v>3</v>
      </c>
      <c r="BO61">
        <v>0</v>
      </c>
      <c r="BP61">
        <v>3</v>
      </c>
      <c r="BQ61">
        <v>2</v>
      </c>
      <c r="BR61">
        <v>3</v>
      </c>
      <c r="BS61">
        <v>0</v>
      </c>
    </row>
    <row r="62" spans="1:71" x14ac:dyDescent="0.3">
      <c r="A62" t="s">
        <v>274</v>
      </c>
      <c r="B62" t="s">
        <v>275</v>
      </c>
      <c r="C62" t="s">
        <v>29</v>
      </c>
      <c r="D62" t="s">
        <v>29</v>
      </c>
      <c r="E62" t="s">
        <v>29</v>
      </c>
      <c r="F62" t="s">
        <v>276</v>
      </c>
      <c r="G62" t="s">
        <v>277</v>
      </c>
      <c r="H62">
        <v>2021</v>
      </c>
      <c r="I62">
        <v>11</v>
      </c>
      <c r="J62">
        <v>2</v>
      </c>
      <c r="K62" t="s">
        <v>29</v>
      </c>
      <c r="L62" t="s">
        <v>29</v>
      </c>
      <c r="M62" t="s">
        <v>29</v>
      </c>
      <c r="N62" t="s">
        <v>29</v>
      </c>
      <c r="O62" t="s">
        <v>29</v>
      </c>
      <c r="P62">
        <v>2.1582440211006708E+16</v>
      </c>
      <c r="Q62" t="s">
        <v>278</v>
      </c>
      <c r="R62" t="s">
        <v>29</v>
      </c>
      <c r="S62" t="s">
        <v>29</v>
      </c>
      <c r="T62">
        <v>25</v>
      </c>
      <c r="U62">
        <v>6.25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  <c r="AB62">
        <v>0</v>
      </c>
      <c r="AC62">
        <v>0</v>
      </c>
      <c r="AD62">
        <v>0</v>
      </c>
      <c r="AE62">
        <v>0</v>
      </c>
      <c r="AF62">
        <v>0</v>
      </c>
      <c r="AG62">
        <v>0</v>
      </c>
      <c r="AH62">
        <v>0</v>
      </c>
      <c r="AI62">
        <v>0</v>
      </c>
      <c r="AJ62">
        <v>0</v>
      </c>
      <c r="AK62">
        <v>0</v>
      </c>
      <c r="AL62">
        <v>0</v>
      </c>
      <c r="AM62">
        <v>0</v>
      </c>
      <c r="AN62">
        <v>0</v>
      </c>
      <c r="AO62">
        <v>0</v>
      </c>
      <c r="AP62">
        <v>0</v>
      </c>
      <c r="AQ62">
        <v>0</v>
      </c>
      <c r="AR62">
        <v>0</v>
      </c>
      <c r="AS62">
        <v>0</v>
      </c>
      <c r="AT62">
        <v>0</v>
      </c>
      <c r="AU62">
        <v>0</v>
      </c>
      <c r="AV62">
        <v>0</v>
      </c>
      <c r="AW62">
        <v>0</v>
      </c>
      <c r="AX62">
        <v>0</v>
      </c>
      <c r="AY62">
        <v>0</v>
      </c>
      <c r="AZ62">
        <v>0</v>
      </c>
      <c r="BA62">
        <v>0</v>
      </c>
      <c r="BB62">
        <v>0</v>
      </c>
      <c r="BC62">
        <v>0</v>
      </c>
      <c r="BD62">
        <v>0</v>
      </c>
      <c r="BE62">
        <v>0</v>
      </c>
      <c r="BF62">
        <v>0</v>
      </c>
      <c r="BG62">
        <v>0</v>
      </c>
      <c r="BH62">
        <v>0</v>
      </c>
      <c r="BI62">
        <v>0</v>
      </c>
      <c r="BJ62">
        <v>0</v>
      </c>
      <c r="BK62">
        <v>0</v>
      </c>
      <c r="BL62">
        <v>0</v>
      </c>
      <c r="BM62">
        <v>0</v>
      </c>
      <c r="BN62">
        <v>0</v>
      </c>
      <c r="BO62">
        <v>0</v>
      </c>
      <c r="BP62">
        <v>1</v>
      </c>
      <c r="BQ62">
        <v>6</v>
      </c>
      <c r="BR62">
        <v>9</v>
      </c>
      <c r="BS62">
        <v>9</v>
      </c>
    </row>
    <row r="63" spans="1:71" x14ac:dyDescent="0.3">
      <c r="A63" t="s">
        <v>279</v>
      </c>
      <c r="B63" t="s">
        <v>280</v>
      </c>
      <c r="C63" t="s">
        <v>29</v>
      </c>
      <c r="D63" t="s">
        <v>29</v>
      </c>
      <c r="E63" t="s">
        <v>29</v>
      </c>
      <c r="F63" t="s">
        <v>281</v>
      </c>
      <c r="G63" t="s">
        <v>282</v>
      </c>
      <c r="H63">
        <v>2007</v>
      </c>
      <c r="I63">
        <v>23</v>
      </c>
      <c r="J63">
        <v>1</v>
      </c>
      <c r="K63" t="s">
        <v>29</v>
      </c>
      <c r="L63" t="s">
        <v>29</v>
      </c>
      <c r="M63" t="s">
        <v>29</v>
      </c>
      <c r="N63">
        <v>1</v>
      </c>
      <c r="O63">
        <v>18</v>
      </c>
      <c r="P63" t="s">
        <v>29</v>
      </c>
      <c r="Q63" t="s">
        <v>283</v>
      </c>
      <c r="R63" t="s">
        <v>29</v>
      </c>
      <c r="S63" t="s">
        <v>29</v>
      </c>
      <c r="T63">
        <v>25</v>
      </c>
      <c r="U63">
        <v>1.39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  <c r="AB63">
        <v>0</v>
      </c>
      <c r="AC63">
        <v>0</v>
      </c>
      <c r="AD63">
        <v>0</v>
      </c>
      <c r="AE63">
        <v>0</v>
      </c>
      <c r="AF63">
        <v>0</v>
      </c>
      <c r="AG63">
        <v>0</v>
      </c>
      <c r="AH63">
        <v>0</v>
      </c>
      <c r="AI63">
        <v>0</v>
      </c>
      <c r="AJ63">
        <v>0</v>
      </c>
      <c r="AK63">
        <v>0</v>
      </c>
      <c r="AL63">
        <v>0</v>
      </c>
      <c r="AM63">
        <v>0</v>
      </c>
      <c r="AN63">
        <v>0</v>
      </c>
      <c r="AO63">
        <v>0</v>
      </c>
      <c r="AP63">
        <v>0</v>
      </c>
      <c r="AQ63">
        <v>0</v>
      </c>
      <c r="AR63">
        <v>0</v>
      </c>
      <c r="AS63">
        <v>0</v>
      </c>
      <c r="AT63">
        <v>0</v>
      </c>
      <c r="AU63">
        <v>0</v>
      </c>
      <c r="AV63">
        <v>0</v>
      </c>
      <c r="AW63">
        <v>0</v>
      </c>
      <c r="AX63">
        <v>0</v>
      </c>
      <c r="AY63">
        <v>0</v>
      </c>
      <c r="AZ63">
        <v>0</v>
      </c>
      <c r="BA63">
        <v>0</v>
      </c>
      <c r="BB63">
        <v>0</v>
      </c>
      <c r="BC63">
        <v>4</v>
      </c>
      <c r="BD63">
        <v>1</v>
      </c>
      <c r="BE63">
        <v>5</v>
      </c>
      <c r="BF63">
        <v>0</v>
      </c>
      <c r="BG63">
        <v>1</v>
      </c>
      <c r="BH63">
        <v>0</v>
      </c>
      <c r="BI63">
        <v>2</v>
      </c>
      <c r="BJ63">
        <v>4</v>
      </c>
      <c r="BK63">
        <v>0</v>
      </c>
      <c r="BL63">
        <v>1</v>
      </c>
      <c r="BM63">
        <v>1</v>
      </c>
      <c r="BN63">
        <v>1</v>
      </c>
      <c r="BO63">
        <v>0</v>
      </c>
      <c r="BP63">
        <v>2</v>
      </c>
      <c r="BQ63">
        <v>0</v>
      </c>
      <c r="BR63">
        <v>0</v>
      </c>
      <c r="BS63">
        <v>3</v>
      </c>
    </row>
    <row r="64" spans="1:71" x14ac:dyDescent="0.3">
      <c r="A64" t="s">
        <v>284</v>
      </c>
      <c r="B64" t="s">
        <v>285</v>
      </c>
      <c r="C64" t="s">
        <v>29</v>
      </c>
      <c r="D64" t="s">
        <v>29</v>
      </c>
      <c r="E64" t="s">
        <v>29</v>
      </c>
      <c r="F64" t="s">
        <v>286</v>
      </c>
      <c r="G64" t="s">
        <v>287</v>
      </c>
      <c r="H64">
        <v>2021</v>
      </c>
      <c r="I64">
        <v>97</v>
      </c>
      <c r="J64" t="s">
        <v>29</v>
      </c>
      <c r="K64" t="s">
        <v>29</v>
      </c>
      <c r="L64" t="s">
        <v>29</v>
      </c>
      <c r="M64" t="s">
        <v>29</v>
      </c>
      <c r="N64" t="s">
        <v>29</v>
      </c>
      <c r="O64" t="s">
        <v>29</v>
      </c>
      <c r="P64">
        <v>102986</v>
      </c>
      <c r="Q64" t="s">
        <v>288</v>
      </c>
      <c r="R64" t="s">
        <v>29</v>
      </c>
      <c r="S64" t="s">
        <v>29</v>
      </c>
      <c r="T64">
        <v>24</v>
      </c>
      <c r="U64">
        <v>6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  <c r="AB64">
        <v>0</v>
      </c>
      <c r="AC64">
        <v>0</v>
      </c>
      <c r="AD64">
        <v>0</v>
      </c>
      <c r="AE64">
        <v>0</v>
      </c>
      <c r="AF64">
        <v>0</v>
      </c>
      <c r="AG64">
        <v>0</v>
      </c>
      <c r="AH64">
        <v>0</v>
      </c>
      <c r="AI64">
        <v>0</v>
      </c>
      <c r="AJ64">
        <v>0</v>
      </c>
      <c r="AK64">
        <v>0</v>
      </c>
      <c r="AL64">
        <v>0</v>
      </c>
      <c r="AM64">
        <v>0</v>
      </c>
      <c r="AN64">
        <v>0</v>
      </c>
      <c r="AO64">
        <v>0</v>
      </c>
      <c r="AP64">
        <v>0</v>
      </c>
      <c r="AQ64">
        <v>0</v>
      </c>
      <c r="AR64">
        <v>0</v>
      </c>
      <c r="AS64">
        <v>0</v>
      </c>
      <c r="AT64">
        <v>0</v>
      </c>
      <c r="AU64">
        <v>0</v>
      </c>
      <c r="AV64">
        <v>0</v>
      </c>
      <c r="AW64">
        <v>0</v>
      </c>
      <c r="AX64">
        <v>0</v>
      </c>
      <c r="AY64">
        <v>0</v>
      </c>
      <c r="AZ64">
        <v>0</v>
      </c>
      <c r="BA64">
        <v>0</v>
      </c>
      <c r="BB64">
        <v>0</v>
      </c>
      <c r="BC64">
        <v>0</v>
      </c>
      <c r="BD64">
        <v>0</v>
      </c>
      <c r="BE64">
        <v>0</v>
      </c>
      <c r="BF64">
        <v>0</v>
      </c>
      <c r="BG64">
        <v>0</v>
      </c>
      <c r="BH64">
        <v>0</v>
      </c>
      <c r="BI64">
        <v>0</v>
      </c>
      <c r="BJ64">
        <v>0</v>
      </c>
      <c r="BK64">
        <v>0</v>
      </c>
      <c r="BL64">
        <v>0</v>
      </c>
      <c r="BM64">
        <v>0</v>
      </c>
      <c r="BN64">
        <v>0</v>
      </c>
      <c r="BO64">
        <v>0</v>
      </c>
      <c r="BP64">
        <v>2</v>
      </c>
      <c r="BQ64">
        <v>9</v>
      </c>
      <c r="BR64">
        <v>9</v>
      </c>
      <c r="BS64">
        <v>4</v>
      </c>
    </row>
    <row r="65" spans="1:71" x14ac:dyDescent="0.3">
      <c r="A65" t="s">
        <v>289</v>
      </c>
      <c r="B65" t="s">
        <v>290</v>
      </c>
      <c r="C65" t="s">
        <v>29</v>
      </c>
      <c r="D65" t="s">
        <v>29</v>
      </c>
      <c r="E65" t="s">
        <v>29</v>
      </c>
      <c r="F65" t="s">
        <v>291</v>
      </c>
      <c r="G65" t="s">
        <v>191</v>
      </c>
      <c r="H65">
        <v>2017</v>
      </c>
      <c r="I65">
        <v>55</v>
      </c>
      <c r="J65">
        <v>3</v>
      </c>
      <c r="K65" t="s">
        <v>29</v>
      </c>
      <c r="L65" t="s">
        <v>29</v>
      </c>
      <c r="M65" t="s">
        <v>29</v>
      </c>
      <c r="N65">
        <v>57</v>
      </c>
      <c r="O65">
        <v>73</v>
      </c>
      <c r="P65" t="s">
        <v>29</v>
      </c>
      <c r="Q65" t="s">
        <v>292</v>
      </c>
      <c r="R65" t="s">
        <v>29</v>
      </c>
      <c r="S65" t="s">
        <v>29</v>
      </c>
      <c r="T65">
        <v>24</v>
      </c>
      <c r="U65">
        <v>3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  <c r="AB65">
        <v>0</v>
      </c>
      <c r="AC65">
        <v>0</v>
      </c>
      <c r="AD65">
        <v>0</v>
      </c>
      <c r="AE65">
        <v>0</v>
      </c>
      <c r="AF65">
        <v>0</v>
      </c>
      <c r="AG65">
        <v>0</v>
      </c>
      <c r="AH65">
        <v>0</v>
      </c>
      <c r="AI65">
        <v>0</v>
      </c>
      <c r="AJ65">
        <v>0</v>
      </c>
      <c r="AK65">
        <v>0</v>
      </c>
      <c r="AL65">
        <v>0</v>
      </c>
      <c r="AM65">
        <v>0</v>
      </c>
      <c r="AN65">
        <v>0</v>
      </c>
      <c r="AO65">
        <v>0</v>
      </c>
      <c r="AP65">
        <v>0</v>
      </c>
      <c r="AQ65">
        <v>0</v>
      </c>
      <c r="AR65">
        <v>0</v>
      </c>
      <c r="AS65">
        <v>0</v>
      </c>
      <c r="AT65">
        <v>0</v>
      </c>
      <c r="AU65">
        <v>0</v>
      </c>
      <c r="AV65">
        <v>0</v>
      </c>
      <c r="AW65">
        <v>0</v>
      </c>
      <c r="AX65">
        <v>0</v>
      </c>
      <c r="AY65">
        <v>0</v>
      </c>
      <c r="AZ65">
        <v>0</v>
      </c>
      <c r="BA65">
        <v>0</v>
      </c>
      <c r="BB65">
        <v>0</v>
      </c>
      <c r="BC65">
        <v>0</v>
      </c>
      <c r="BD65">
        <v>0</v>
      </c>
      <c r="BE65">
        <v>0</v>
      </c>
      <c r="BF65">
        <v>0</v>
      </c>
      <c r="BG65">
        <v>0</v>
      </c>
      <c r="BH65">
        <v>0</v>
      </c>
      <c r="BI65">
        <v>0</v>
      </c>
      <c r="BJ65">
        <v>0</v>
      </c>
      <c r="BK65">
        <v>0</v>
      </c>
      <c r="BL65">
        <v>0</v>
      </c>
      <c r="BM65">
        <v>3</v>
      </c>
      <c r="BN65">
        <v>4</v>
      </c>
      <c r="BO65">
        <v>3</v>
      </c>
      <c r="BP65">
        <v>5</v>
      </c>
      <c r="BQ65">
        <v>4</v>
      </c>
      <c r="BR65">
        <v>3</v>
      </c>
      <c r="BS65">
        <v>2</v>
      </c>
    </row>
    <row r="66" spans="1:71" x14ac:dyDescent="0.3">
      <c r="A66" t="s">
        <v>293</v>
      </c>
      <c r="B66" t="s">
        <v>294</v>
      </c>
      <c r="C66" t="s">
        <v>29</v>
      </c>
      <c r="D66" t="s">
        <v>29</v>
      </c>
      <c r="E66" t="s">
        <v>29</v>
      </c>
      <c r="F66" t="s">
        <v>295</v>
      </c>
      <c r="G66" t="s">
        <v>296</v>
      </c>
      <c r="H66">
        <v>2016</v>
      </c>
      <c r="I66">
        <v>47</v>
      </c>
      <c r="J66">
        <v>3</v>
      </c>
      <c r="K66" t="s">
        <v>29</v>
      </c>
      <c r="L66" t="s">
        <v>29</v>
      </c>
      <c r="M66" t="s">
        <v>29</v>
      </c>
      <c r="N66">
        <v>253</v>
      </c>
      <c r="O66">
        <v>278</v>
      </c>
      <c r="P66" t="s">
        <v>29</v>
      </c>
      <c r="Q66" t="s">
        <v>297</v>
      </c>
      <c r="R66" t="s">
        <v>29</v>
      </c>
      <c r="S66" t="s">
        <v>29</v>
      </c>
      <c r="T66">
        <v>24</v>
      </c>
      <c r="U66">
        <v>2.67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  <c r="AB66">
        <v>0</v>
      </c>
      <c r="AC66">
        <v>0</v>
      </c>
      <c r="AD66">
        <v>0</v>
      </c>
      <c r="AE66">
        <v>0</v>
      </c>
      <c r="AF66">
        <v>0</v>
      </c>
      <c r="AG66">
        <v>0</v>
      </c>
      <c r="AH66">
        <v>0</v>
      </c>
      <c r="AI66">
        <v>0</v>
      </c>
      <c r="AJ66">
        <v>0</v>
      </c>
      <c r="AK66">
        <v>0</v>
      </c>
      <c r="AL66">
        <v>0</v>
      </c>
      <c r="AM66">
        <v>0</v>
      </c>
      <c r="AN66">
        <v>0</v>
      </c>
      <c r="AO66">
        <v>0</v>
      </c>
      <c r="AP66">
        <v>0</v>
      </c>
      <c r="AQ66">
        <v>0</v>
      </c>
      <c r="AR66">
        <v>0</v>
      </c>
      <c r="AS66">
        <v>0</v>
      </c>
      <c r="AT66">
        <v>0</v>
      </c>
      <c r="AU66">
        <v>0</v>
      </c>
      <c r="AV66">
        <v>0</v>
      </c>
      <c r="AW66">
        <v>0</v>
      </c>
      <c r="AX66">
        <v>0</v>
      </c>
      <c r="AY66">
        <v>0</v>
      </c>
      <c r="AZ66">
        <v>0</v>
      </c>
      <c r="BA66">
        <v>0</v>
      </c>
      <c r="BB66">
        <v>0</v>
      </c>
      <c r="BC66">
        <v>0</v>
      </c>
      <c r="BD66">
        <v>0</v>
      </c>
      <c r="BE66">
        <v>0</v>
      </c>
      <c r="BF66">
        <v>0</v>
      </c>
      <c r="BG66">
        <v>0</v>
      </c>
      <c r="BH66">
        <v>0</v>
      </c>
      <c r="BI66">
        <v>0</v>
      </c>
      <c r="BJ66">
        <v>0</v>
      </c>
      <c r="BK66">
        <v>0</v>
      </c>
      <c r="BL66">
        <v>0</v>
      </c>
      <c r="BM66">
        <v>2</v>
      </c>
      <c r="BN66">
        <v>2</v>
      </c>
      <c r="BO66">
        <v>2</v>
      </c>
      <c r="BP66">
        <v>2</v>
      </c>
      <c r="BQ66">
        <v>6</v>
      </c>
      <c r="BR66">
        <v>5</v>
      </c>
      <c r="BS66">
        <v>5</v>
      </c>
    </row>
    <row r="67" spans="1:71" x14ac:dyDescent="0.3">
      <c r="A67" t="s">
        <v>298</v>
      </c>
      <c r="B67" t="s">
        <v>299</v>
      </c>
      <c r="C67" t="s">
        <v>29</v>
      </c>
      <c r="D67" t="s">
        <v>29</v>
      </c>
      <c r="E67" t="s">
        <v>29</v>
      </c>
      <c r="F67" t="s">
        <v>116</v>
      </c>
      <c r="G67" t="s">
        <v>300</v>
      </c>
      <c r="H67">
        <v>2017</v>
      </c>
      <c r="I67">
        <v>31</v>
      </c>
      <c r="J67">
        <v>6</v>
      </c>
      <c r="K67" t="s">
        <v>29</v>
      </c>
      <c r="L67" t="s">
        <v>29</v>
      </c>
      <c r="M67" t="s">
        <v>29</v>
      </c>
      <c r="N67">
        <v>1223</v>
      </c>
      <c r="O67">
        <v>1231</v>
      </c>
      <c r="P67" t="s">
        <v>29</v>
      </c>
      <c r="Q67" t="s">
        <v>301</v>
      </c>
      <c r="R67" t="s">
        <v>29</v>
      </c>
      <c r="S67" t="s">
        <v>29</v>
      </c>
      <c r="T67">
        <v>23</v>
      </c>
      <c r="U67">
        <v>2.88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  <c r="AB67">
        <v>0</v>
      </c>
      <c r="AC67">
        <v>0</v>
      </c>
      <c r="AD67">
        <v>0</v>
      </c>
      <c r="AE67">
        <v>0</v>
      </c>
      <c r="AF67">
        <v>0</v>
      </c>
      <c r="AG67">
        <v>0</v>
      </c>
      <c r="AH67">
        <v>0</v>
      </c>
      <c r="AI67">
        <v>0</v>
      </c>
      <c r="AJ67">
        <v>0</v>
      </c>
      <c r="AK67">
        <v>0</v>
      </c>
      <c r="AL67">
        <v>0</v>
      </c>
      <c r="AM67">
        <v>0</v>
      </c>
      <c r="AN67">
        <v>0</v>
      </c>
      <c r="AO67">
        <v>0</v>
      </c>
      <c r="AP67">
        <v>0</v>
      </c>
      <c r="AQ67">
        <v>0</v>
      </c>
      <c r="AR67">
        <v>0</v>
      </c>
      <c r="AS67">
        <v>0</v>
      </c>
      <c r="AT67">
        <v>0</v>
      </c>
      <c r="AU67">
        <v>0</v>
      </c>
      <c r="AV67">
        <v>0</v>
      </c>
      <c r="AW67">
        <v>0</v>
      </c>
      <c r="AX67">
        <v>0</v>
      </c>
      <c r="AY67">
        <v>0</v>
      </c>
      <c r="AZ67">
        <v>0</v>
      </c>
      <c r="BA67">
        <v>0</v>
      </c>
      <c r="BB67">
        <v>0</v>
      </c>
      <c r="BC67">
        <v>0</v>
      </c>
      <c r="BD67">
        <v>0</v>
      </c>
      <c r="BE67">
        <v>0</v>
      </c>
      <c r="BF67">
        <v>0</v>
      </c>
      <c r="BG67">
        <v>0</v>
      </c>
      <c r="BH67">
        <v>0</v>
      </c>
      <c r="BI67">
        <v>0</v>
      </c>
      <c r="BJ67">
        <v>0</v>
      </c>
      <c r="BK67">
        <v>0</v>
      </c>
      <c r="BL67">
        <v>0</v>
      </c>
      <c r="BM67">
        <v>3</v>
      </c>
      <c r="BN67">
        <v>4</v>
      </c>
      <c r="BO67">
        <v>1</v>
      </c>
      <c r="BP67">
        <v>4</v>
      </c>
      <c r="BQ67">
        <v>7</v>
      </c>
      <c r="BR67">
        <v>2</v>
      </c>
      <c r="BS67">
        <v>2</v>
      </c>
    </row>
    <row r="68" spans="1:71" x14ac:dyDescent="0.3">
      <c r="A68" t="s">
        <v>302</v>
      </c>
      <c r="B68" t="s">
        <v>303</v>
      </c>
      <c r="C68" t="s">
        <v>29</v>
      </c>
      <c r="D68" t="s">
        <v>29</v>
      </c>
      <c r="E68" t="s">
        <v>29</v>
      </c>
      <c r="F68" t="s">
        <v>304</v>
      </c>
      <c r="G68">
        <v>2017</v>
      </c>
      <c r="H68">
        <v>2017</v>
      </c>
      <c r="I68" t="s">
        <v>29</v>
      </c>
      <c r="J68" t="s">
        <v>29</v>
      </c>
      <c r="K68" t="s">
        <v>29</v>
      </c>
      <c r="L68" t="s">
        <v>29</v>
      </c>
      <c r="M68" t="s">
        <v>29</v>
      </c>
      <c r="N68">
        <v>448</v>
      </c>
      <c r="O68">
        <v>453</v>
      </c>
      <c r="P68" t="s">
        <v>29</v>
      </c>
      <c r="Q68" t="s">
        <v>305</v>
      </c>
      <c r="R68" t="s">
        <v>306</v>
      </c>
      <c r="S68" t="s">
        <v>307</v>
      </c>
      <c r="T68">
        <v>23</v>
      </c>
      <c r="U68">
        <v>2.88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  <c r="AB68">
        <v>0</v>
      </c>
      <c r="AC68">
        <v>0</v>
      </c>
      <c r="AD68">
        <v>0</v>
      </c>
      <c r="AE68">
        <v>0</v>
      </c>
      <c r="AF68">
        <v>0</v>
      </c>
      <c r="AG68">
        <v>0</v>
      </c>
      <c r="AH68">
        <v>0</v>
      </c>
      <c r="AI68">
        <v>0</v>
      </c>
      <c r="AJ68">
        <v>0</v>
      </c>
      <c r="AK68">
        <v>0</v>
      </c>
      <c r="AL68">
        <v>0</v>
      </c>
      <c r="AM68">
        <v>0</v>
      </c>
      <c r="AN68">
        <v>0</v>
      </c>
      <c r="AO68">
        <v>0</v>
      </c>
      <c r="AP68">
        <v>0</v>
      </c>
      <c r="AQ68">
        <v>0</v>
      </c>
      <c r="AR68">
        <v>0</v>
      </c>
      <c r="AS68">
        <v>0</v>
      </c>
      <c r="AT68">
        <v>0</v>
      </c>
      <c r="AU68">
        <v>0</v>
      </c>
      <c r="AV68">
        <v>0</v>
      </c>
      <c r="AW68">
        <v>0</v>
      </c>
      <c r="AX68">
        <v>0</v>
      </c>
      <c r="AY68">
        <v>0</v>
      </c>
      <c r="AZ68">
        <v>0</v>
      </c>
      <c r="BA68">
        <v>0</v>
      </c>
      <c r="BB68">
        <v>0</v>
      </c>
      <c r="BC68">
        <v>0</v>
      </c>
      <c r="BD68">
        <v>0</v>
      </c>
      <c r="BE68">
        <v>0</v>
      </c>
      <c r="BF68">
        <v>0</v>
      </c>
      <c r="BG68">
        <v>0</v>
      </c>
      <c r="BH68">
        <v>0</v>
      </c>
      <c r="BI68">
        <v>0</v>
      </c>
      <c r="BJ68">
        <v>0</v>
      </c>
      <c r="BK68">
        <v>0</v>
      </c>
      <c r="BL68">
        <v>0</v>
      </c>
      <c r="BM68">
        <v>2</v>
      </c>
      <c r="BN68">
        <v>2</v>
      </c>
      <c r="BO68">
        <v>1</v>
      </c>
      <c r="BP68">
        <v>4</v>
      </c>
      <c r="BQ68">
        <v>4</v>
      </c>
      <c r="BR68">
        <v>4</v>
      </c>
      <c r="BS68">
        <v>6</v>
      </c>
    </row>
    <row r="69" spans="1:71" x14ac:dyDescent="0.3">
      <c r="A69" t="s">
        <v>308</v>
      </c>
      <c r="B69" t="s">
        <v>309</v>
      </c>
      <c r="C69" t="s">
        <v>29</v>
      </c>
      <c r="D69" t="s">
        <v>29</v>
      </c>
      <c r="E69" t="s">
        <v>29</v>
      </c>
      <c r="F69" t="s">
        <v>310</v>
      </c>
      <c r="G69" t="s">
        <v>311</v>
      </c>
      <c r="H69">
        <v>2016</v>
      </c>
      <c r="I69">
        <v>13</v>
      </c>
      <c r="J69" t="s">
        <v>29</v>
      </c>
      <c r="K69" t="s">
        <v>29</v>
      </c>
      <c r="L69" t="s">
        <v>29</v>
      </c>
      <c r="M69" t="s">
        <v>29</v>
      </c>
      <c r="N69" t="s">
        <v>29</v>
      </c>
      <c r="O69" t="s">
        <v>29</v>
      </c>
      <c r="P69">
        <v>5</v>
      </c>
      <c r="Q69" t="s">
        <v>312</v>
      </c>
      <c r="R69" t="s">
        <v>29</v>
      </c>
      <c r="S69" t="s">
        <v>29</v>
      </c>
      <c r="T69">
        <v>23</v>
      </c>
      <c r="U69">
        <v>2.56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  <c r="AB69">
        <v>0</v>
      </c>
      <c r="AC69">
        <v>0</v>
      </c>
      <c r="AD69">
        <v>0</v>
      </c>
      <c r="AE69">
        <v>0</v>
      </c>
      <c r="AF69">
        <v>0</v>
      </c>
      <c r="AG69">
        <v>0</v>
      </c>
      <c r="AH69">
        <v>0</v>
      </c>
      <c r="AI69">
        <v>0</v>
      </c>
      <c r="AJ69">
        <v>0</v>
      </c>
      <c r="AK69">
        <v>0</v>
      </c>
      <c r="AL69">
        <v>0</v>
      </c>
      <c r="AM69">
        <v>0</v>
      </c>
      <c r="AN69">
        <v>0</v>
      </c>
      <c r="AO69">
        <v>0</v>
      </c>
      <c r="AP69">
        <v>0</v>
      </c>
      <c r="AQ69">
        <v>0</v>
      </c>
      <c r="AR69">
        <v>0</v>
      </c>
      <c r="AS69">
        <v>0</v>
      </c>
      <c r="AT69">
        <v>0</v>
      </c>
      <c r="AU69">
        <v>0</v>
      </c>
      <c r="AV69">
        <v>0</v>
      </c>
      <c r="AW69">
        <v>0</v>
      </c>
      <c r="AX69">
        <v>0</v>
      </c>
      <c r="AY69">
        <v>0</v>
      </c>
      <c r="AZ69">
        <v>0</v>
      </c>
      <c r="BA69">
        <v>0</v>
      </c>
      <c r="BB69">
        <v>0</v>
      </c>
      <c r="BC69">
        <v>0</v>
      </c>
      <c r="BD69">
        <v>0</v>
      </c>
      <c r="BE69">
        <v>0</v>
      </c>
      <c r="BF69">
        <v>0</v>
      </c>
      <c r="BG69">
        <v>0</v>
      </c>
      <c r="BH69">
        <v>0</v>
      </c>
      <c r="BI69">
        <v>0</v>
      </c>
      <c r="BJ69">
        <v>0</v>
      </c>
      <c r="BK69">
        <v>1</v>
      </c>
      <c r="BL69">
        <v>0</v>
      </c>
      <c r="BM69">
        <v>0</v>
      </c>
      <c r="BN69">
        <v>4</v>
      </c>
      <c r="BO69">
        <v>2</v>
      </c>
      <c r="BP69">
        <v>7</v>
      </c>
      <c r="BQ69">
        <v>3</v>
      </c>
      <c r="BR69">
        <v>2</v>
      </c>
      <c r="BS69">
        <v>4</v>
      </c>
    </row>
    <row r="70" spans="1:71" x14ac:dyDescent="0.3">
      <c r="A70" t="s">
        <v>313</v>
      </c>
      <c r="B70" t="s">
        <v>314</v>
      </c>
      <c r="C70" t="s">
        <v>29</v>
      </c>
      <c r="D70" t="s">
        <v>29</v>
      </c>
      <c r="E70" t="s">
        <v>29</v>
      </c>
      <c r="F70" t="s">
        <v>315</v>
      </c>
      <c r="G70">
        <v>2012</v>
      </c>
      <c r="H70">
        <v>2012</v>
      </c>
      <c r="I70">
        <v>16</v>
      </c>
      <c r="J70">
        <v>1</v>
      </c>
      <c r="K70" t="s">
        <v>29</v>
      </c>
      <c r="L70" t="s">
        <v>29</v>
      </c>
      <c r="M70" t="s">
        <v>29</v>
      </c>
      <c r="N70">
        <v>27</v>
      </c>
      <c r="O70">
        <v>47</v>
      </c>
      <c r="P70" t="s">
        <v>29</v>
      </c>
      <c r="Q70" t="s">
        <v>316</v>
      </c>
      <c r="R70" t="s">
        <v>29</v>
      </c>
      <c r="S70" t="s">
        <v>29</v>
      </c>
      <c r="T70">
        <v>23</v>
      </c>
      <c r="U70">
        <v>1.77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  <c r="AB70">
        <v>0</v>
      </c>
      <c r="AC70">
        <v>0</v>
      </c>
      <c r="AD70">
        <v>0</v>
      </c>
      <c r="AE70">
        <v>0</v>
      </c>
      <c r="AF70">
        <v>0</v>
      </c>
      <c r="AG70">
        <v>0</v>
      </c>
      <c r="AH70">
        <v>0</v>
      </c>
      <c r="AI70">
        <v>0</v>
      </c>
      <c r="AJ70">
        <v>0</v>
      </c>
      <c r="AK70">
        <v>0</v>
      </c>
      <c r="AL70">
        <v>0</v>
      </c>
      <c r="AM70">
        <v>0</v>
      </c>
      <c r="AN70">
        <v>0</v>
      </c>
      <c r="AO70">
        <v>0</v>
      </c>
      <c r="AP70">
        <v>0</v>
      </c>
      <c r="AQ70">
        <v>0</v>
      </c>
      <c r="AR70">
        <v>0</v>
      </c>
      <c r="AS70">
        <v>0</v>
      </c>
      <c r="AT70">
        <v>0</v>
      </c>
      <c r="AU70">
        <v>0</v>
      </c>
      <c r="AV70">
        <v>0</v>
      </c>
      <c r="AW70">
        <v>0</v>
      </c>
      <c r="AX70">
        <v>0</v>
      </c>
      <c r="AY70">
        <v>0</v>
      </c>
      <c r="AZ70">
        <v>0</v>
      </c>
      <c r="BA70">
        <v>0</v>
      </c>
      <c r="BB70">
        <v>0</v>
      </c>
      <c r="BC70">
        <v>0</v>
      </c>
      <c r="BD70">
        <v>0</v>
      </c>
      <c r="BE70">
        <v>0</v>
      </c>
      <c r="BF70">
        <v>0</v>
      </c>
      <c r="BG70">
        <v>0</v>
      </c>
      <c r="BH70">
        <v>0</v>
      </c>
      <c r="BI70">
        <v>1</v>
      </c>
      <c r="BJ70">
        <v>1</v>
      </c>
      <c r="BK70">
        <v>2</v>
      </c>
      <c r="BL70">
        <v>1</v>
      </c>
      <c r="BM70">
        <v>3</v>
      </c>
      <c r="BN70">
        <v>2</v>
      </c>
      <c r="BO70">
        <v>3</v>
      </c>
      <c r="BP70">
        <v>4</v>
      </c>
      <c r="BQ70">
        <v>4</v>
      </c>
      <c r="BR70">
        <v>0</v>
      </c>
      <c r="BS70">
        <v>2</v>
      </c>
    </row>
    <row r="71" spans="1:71" x14ac:dyDescent="0.3">
      <c r="A71" t="s">
        <v>317</v>
      </c>
      <c r="B71" t="s">
        <v>318</v>
      </c>
      <c r="C71" t="s">
        <v>29</v>
      </c>
      <c r="D71" t="s">
        <v>29</v>
      </c>
      <c r="E71" t="s">
        <v>29</v>
      </c>
      <c r="F71" t="s">
        <v>319</v>
      </c>
      <c r="G71" t="s">
        <v>320</v>
      </c>
      <c r="H71">
        <v>2022</v>
      </c>
      <c r="I71">
        <v>14</v>
      </c>
      <c r="J71">
        <v>4</v>
      </c>
      <c r="K71" t="s">
        <v>29</v>
      </c>
      <c r="L71" t="s">
        <v>29</v>
      </c>
      <c r="M71" t="s">
        <v>29</v>
      </c>
      <c r="N71">
        <v>539</v>
      </c>
      <c r="O71">
        <v>572</v>
      </c>
      <c r="P71" t="s">
        <v>29</v>
      </c>
      <c r="Q71" t="s">
        <v>321</v>
      </c>
      <c r="R71" t="s">
        <v>29</v>
      </c>
      <c r="S71" t="s">
        <v>29</v>
      </c>
      <c r="T71">
        <v>22</v>
      </c>
      <c r="U71">
        <v>5.5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  <c r="AB71">
        <v>0</v>
      </c>
      <c r="AC71">
        <v>0</v>
      </c>
      <c r="AD71">
        <v>0</v>
      </c>
      <c r="AE71">
        <v>0</v>
      </c>
      <c r="AF71">
        <v>0</v>
      </c>
      <c r="AG71">
        <v>0</v>
      </c>
      <c r="AH71">
        <v>0</v>
      </c>
      <c r="AI71">
        <v>0</v>
      </c>
      <c r="AJ71">
        <v>0</v>
      </c>
      <c r="AK71">
        <v>0</v>
      </c>
      <c r="AL71">
        <v>0</v>
      </c>
      <c r="AM71">
        <v>0</v>
      </c>
      <c r="AN71">
        <v>0</v>
      </c>
      <c r="AO71">
        <v>0</v>
      </c>
      <c r="AP71">
        <v>0</v>
      </c>
      <c r="AQ71">
        <v>0</v>
      </c>
      <c r="AR71">
        <v>0</v>
      </c>
      <c r="AS71">
        <v>0</v>
      </c>
      <c r="AT71">
        <v>0</v>
      </c>
      <c r="AU71">
        <v>0</v>
      </c>
      <c r="AV71">
        <v>0</v>
      </c>
      <c r="AW71">
        <v>0</v>
      </c>
      <c r="AX71">
        <v>0</v>
      </c>
      <c r="AY71">
        <v>0</v>
      </c>
      <c r="AZ71">
        <v>0</v>
      </c>
      <c r="BA71">
        <v>0</v>
      </c>
      <c r="BB71">
        <v>0</v>
      </c>
      <c r="BC71">
        <v>0</v>
      </c>
      <c r="BD71">
        <v>0</v>
      </c>
      <c r="BE71">
        <v>0</v>
      </c>
      <c r="BF71">
        <v>0</v>
      </c>
      <c r="BG71">
        <v>0</v>
      </c>
      <c r="BH71">
        <v>0</v>
      </c>
      <c r="BI71">
        <v>0</v>
      </c>
      <c r="BJ71">
        <v>0</v>
      </c>
      <c r="BK71">
        <v>0</v>
      </c>
      <c r="BL71">
        <v>0</v>
      </c>
      <c r="BM71">
        <v>0</v>
      </c>
      <c r="BN71">
        <v>0</v>
      </c>
      <c r="BO71">
        <v>0</v>
      </c>
      <c r="BP71">
        <v>0</v>
      </c>
      <c r="BQ71">
        <v>4</v>
      </c>
      <c r="BR71">
        <v>10</v>
      </c>
      <c r="BS71">
        <v>8</v>
      </c>
    </row>
    <row r="72" spans="1:71" x14ac:dyDescent="0.3">
      <c r="A72" t="s">
        <v>322</v>
      </c>
      <c r="B72" t="s">
        <v>323</v>
      </c>
      <c r="C72" t="s">
        <v>29</v>
      </c>
      <c r="D72" t="s">
        <v>29</v>
      </c>
      <c r="E72" t="s">
        <v>29</v>
      </c>
      <c r="F72" t="s">
        <v>324</v>
      </c>
      <c r="G72" t="s">
        <v>148</v>
      </c>
      <c r="H72">
        <v>2018</v>
      </c>
      <c r="I72">
        <v>60</v>
      </c>
      <c r="J72">
        <v>2</v>
      </c>
      <c r="K72" t="s">
        <v>29</v>
      </c>
      <c r="L72" t="s">
        <v>29</v>
      </c>
      <c r="M72" t="s">
        <v>29</v>
      </c>
      <c r="N72">
        <v>201</v>
      </c>
      <c r="O72">
        <v>223</v>
      </c>
      <c r="P72" t="s">
        <v>29</v>
      </c>
      <c r="Q72" t="s">
        <v>325</v>
      </c>
      <c r="R72" t="s">
        <v>29</v>
      </c>
      <c r="S72" t="s">
        <v>29</v>
      </c>
      <c r="T72">
        <v>22</v>
      </c>
      <c r="U72">
        <v>3.14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  <c r="AB72">
        <v>0</v>
      </c>
      <c r="AC72">
        <v>0</v>
      </c>
      <c r="AD72">
        <v>0</v>
      </c>
      <c r="AE72">
        <v>0</v>
      </c>
      <c r="AF72">
        <v>0</v>
      </c>
      <c r="AG72">
        <v>0</v>
      </c>
      <c r="AH72">
        <v>0</v>
      </c>
      <c r="AI72">
        <v>0</v>
      </c>
      <c r="AJ72">
        <v>0</v>
      </c>
      <c r="AK72">
        <v>0</v>
      </c>
      <c r="AL72">
        <v>0</v>
      </c>
      <c r="AM72">
        <v>0</v>
      </c>
      <c r="AN72">
        <v>0</v>
      </c>
      <c r="AO72">
        <v>0</v>
      </c>
      <c r="AP72">
        <v>0</v>
      </c>
      <c r="AQ72">
        <v>0</v>
      </c>
      <c r="AR72">
        <v>0</v>
      </c>
      <c r="AS72">
        <v>0</v>
      </c>
      <c r="AT72">
        <v>0</v>
      </c>
      <c r="AU72">
        <v>0</v>
      </c>
      <c r="AV72">
        <v>0</v>
      </c>
      <c r="AW72">
        <v>0</v>
      </c>
      <c r="AX72">
        <v>0</v>
      </c>
      <c r="AY72">
        <v>0</v>
      </c>
      <c r="AZ72">
        <v>0</v>
      </c>
      <c r="BA72">
        <v>0</v>
      </c>
      <c r="BB72">
        <v>0</v>
      </c>
      <c r="BC72">
        <v>0</v>
      </c>
      <c r="BD72">
        <v>0</v>
      </c>
      <c r="BE72">
        <v>0</v>
      </c>
      <c r="BF72">
        <v>0</v>
      </c>
      <c r="BG72">
        <v>0</v>
      </c>
      <c r="BH72">
        <v>0</v>
      </c>
      <c r="BI72">
        <v>0</v>
      </c>
      <c r="BJ72">
        <v>0</v>
      </c>
      <c r="BK72">
        <v>0</v>
      </c>
      <c r="BL72">
        <v>0</v>
      </c>
      <c r="BM72">
        <v>1</v>
      </c>
      <c r="BN72">
        <v>3</v>
      </c>
      <c r="BO72">
        <v>3</v>
      </c>
      <c r="BP72">
        <v>3</v>
      </c>
      <c r="BQ72">
        <v>4</v>
      </c>
      <c r="BR72">
        <v>6</v>
      </c>
      <c r="BS72">
        <v>2</v>
      </c>
    </row>
    <row r="73" spans="1:71" x14ac:dyDescent="0.3">
      <c r="A73" t="s">
        <v>326</v>
      </c>
      <c r="B73" t="s">
        <v>327</v>
      </c>
      <c r="C73" t="s">
        <v>29</v>
      </c>
      <c r="D73" t="s">
        <v>29</v>
      </c>
      <c r="E73" t="s">
        <v>29</v>
      </c>
      <c r="F73" t="s">
        <v>328</v>
      </c>
      <c r="G73">
        <v>2017</v>
      </c>
      <c r="H73">
        <v>2017</v>
      </c>
      <c r="I73">
        <v>33</v>
      </c>
      <c r="J73">
        <v>6</v>
      </c>
      <c r="K73" t="s">
        <v>329</v>
      </c>
      <c r="L73" t="s">
        <v>29</v>
      </c>
      <c r="M73" t="s">
        <v>29</v>
      </c>
      <c r="N73">
        <v>1737</v>
      </c>
      <c r="O73">
        <v>1750</v>
      </c>
      <c r="P73" t="s">
        <v>29</v>
      </c>
      <c r="Q73" t="s">
        <v>29</v>
      </c>
      <c r="R73" t="s">
        <v>29</v>
      </c>
      <c r="S73" t="s">
        <v>29</v>
      </c>
      <c r="T73">
        <v>22</v>
      </c>
      <c r="U73">
        <v>2.75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  <c r="AB73">
        <v>0</v>
      </c>
      <c r="AC73">
        <v>0</v>
      </c>
      <c r="AD73">
        <v>0</v>
      </c>
      <c r="AE73">
        <v>0</v>
      </c>
      <c r="AF73">
        <v>0</v>
      </c>
      <c r="AG73">
        <v>0</v>
      </c>
      <c r="AH73">
        <v>0</v>
      </c>
      <c r="AI73">
        <v>0</v>
      </c>
      <c r="AJ73">
        <v>0</v>
      </c>
      <c r="AK73">
        <v>0</v>
      </c>
      <c r="AL73">
        <v>0</v>
      </c>
      <c r="AM73">
        <v>0</v>
      </c>
      <c r="AN73">
        <v>0</v>
      </c>
      <c r="AO73">
        <v>0</v>
      </c>
      <c r="AP73">
        <v>0</v>
      </c>
      <c r="AQ73">
        <v>0</v>
      </c>
      <c r="AR73">
        <v>0</v>
      </c>
      <c r="AS73">
        <v>0</v>
      </c>
      <c r="AT73">
        <v>0</v>
      </c>
      <c r="AU73">
        <v>0</v>
      </c>
      <c r="AV73">
        <v>0</v>
      </c>
      <c r="AW73">
        <v>0</v>
      </c>
      <c r="AX73">
        <v>0</v>
      </c>
      <c r="AY73">
        <v>0</v>
      </c>
      <c r="AZ73">
        <v>0</v>
      </c>
      <c r="BA73">
        <v>0</v>
      </c>
      <c r="BB73">
        <v>0</v>
      </c>
      <c r="BC73">
        <v>0</v>
      </c>
      <c r="BD73">
        <v>0</v>
      </c>
      <c r="BE73">
        <v>0</v>
      </c>
      <c r="BF73">
        <v>0</v>
      </c>
      <c r="BG73">
        <v>0</v>
      </c>
      <c r="BH73">
        <v>0</v>
      </c>
      <c r="BI73">
        <v>0</v>
      </c>
      <c r="BJ73">
        <v>0</v>
      </c>
      <c r="BK73">
        <v>0</v>
      </c>
      <c r="BL73">
        <v>0</v>
      </c>
      <c r="BM73">
        <v>1</v>
      </c>
      <c r="BN73">
        <v>0</v>
      </c>
      <c r="BO73">
        <v>2</v>
      </c>
      <c r="BP73">
        <v>2</v>
      </c>
      <c r="BQ73">
        <v>3</v>
      </c>
      <c r="BR73">
        <v>6</v>
      </c>
      <c r="BS73">
        <v>8</v>
      </c>
    </row>
    <row r="74" spans="1:71" x14ac:dyDescent="0.3">
      <c r="A74" t="s">
        <v>330</v>
      </c>
      <c r="B74" t="s">
        <v>331</v>
      </c>
      <c r="C74" t="s">
        <v>29</v>
      </c>
      <c r="D74" t="s">
        <v>29</v>
      </c>
      <c r="E74" t="s">
        <v>29</v>
      </c>
      <c r="F74" t="s">
        <v>332</v>
      </c>
      <c r="G74">
        <v>2016</v>
      </c>
      <c r="H74">
        <v>2016</v>
      </c>
      <c r="I74">
        <v>24</v>
      </c>
      <c r="J74">
        <v>2</v>
      </c>
      <c r="K74" t="s">
        <v>29</v>
      </c>
      <c r="L74" t="s">
        <v>29</v>
      </c>
      <c r="M74" t="s">
        <v>29</v>
      </c>
      <c r="N74">
        <v>149</v>
      </c>
      <c r="O74">
        <v>170</v>
      </c>
      <c r="P74" t="s">
        <v>29</v>
      </c>
      <c r="Q74" t="s">
        <v>333</v>
      </c>
      <c r="R74" t="s">
        <v>29</v>
      </c>
      <c r="S74" t="s">
        <v>29</v>
      </c>
      <c r="T74">
        <v>22</v>
      </c>
      <c r="U74">
        <v>2.44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  <c r="AB74">
        <v>0</v>
      </c>
      <c r="AC74">
        <v>0</v>
      </c>
      <c r="AD74">
        <v>0</v>
      </c>
      <c r="AE74">
        <v>0</v>
      </c>
      <c r="AF74">
        <v>0</v>
      </c>
      <c r="AG74">
        <v>0</v>
      </c>
      <c r="AH74">
        <v>0</v>
      </c>
      <c r="AI74">
        <v>0</v>
      </c>
      <c r="AJ74">
        <v>0</v>
      </c>
      <c r="AK74">
        <v>0</v>
      </c>
      <c r="AL74">
        <v>0</v>
      </c>
      <c r="AM74">
        <v>0</v>
      </c>
      <c r="AN74">
        <v>0</v>
      </c>
      <c r="AO74">
        <v>0</v>
      </c>
      <c r="AP74">
        <v>0</v>
      </c>
      <c r="AQ74">
        <v>0</v>
      </c>
      <c r="AR74">
        <v>0</v>
      </c>
      <c r="AS74">
        <v>0</v>
      </c>
      <c r="AT74">
        <v>0</v>
      </c>
      <c r="AU74">
        <v>0</v>
      </c>
      <c r="AV74">
        <v>0</v>
      </c>
      <c r="AW74">
        <v>0</v>
      </c>
      <c r="AX74">
        <v>0</v>
      </c>
      <c r="AY74">
        <v>0</v>
      </c>
      <c r="AZ74">
        <v>0</v>
      </c>
      <c r="BA74">
        <v>0</v>
      </c>
      <c r="BB74">
        <v>0</v>
      </c>
      <c r="BC74">
        <v>0</v>
      </c>
      <c r="BD74">
        <v>0</v>
      </c>
      <c r="BE74">
        <v>0</v>
      </c>
      <c r="BF74">
        <v>0</v>
      </c>
      <c r="BG74">
        <v>0</v>
      </c>
      <c r="BH74">
        <v>0</v>
      </c>
      <c r="BI74">
        <v>0</v>
      </c>
      <c r="BJ74">
        <v>0</v>
      </c>
      <c r="BK74">
        <v>0</v>
      </c>
      <c r="BL74">
        <v>4</v>
      </c>
      <c r="BM74">
        <v>2</v>
      </c>
      <c r="BN74">
        <v>0</v>
      </c>
      <c r="BO74">
        <v>3</v>
      </c>
      <c r="BP74">
        <v>2</v>
      </c>
      <c r="BQ74">
        <v>3</v>
      </c>
      <c r="BR74">
        <v>6</v>
      </c>
      <c r="BS74">
        <v>2</v>
      </c>
    </row>
    <row r="75" spans="1:71" x14ac:dyDescent="0.3">
      <c r="A75" t="s">
        <v>334</v>
      </c>
      <c r="B75" t="s">
        <v>335</v>
      </c>
      <c r="C75" t="s">
        <v>29</v>
      </c>
      <c r="D75" t="s">
        <v>29</v>
      </c>
      <c r="E75" t="s">
        <v>29</v>
      </c>
      <c r="F75" t="s">
        <v>336</v>
      </c>
      <c r="G75" t="s">
        <v>337</v>
      </c>
      <c r="H75">
        <v>2006</v>
      </c>
      <c r="I75">
        <v>35</v>
      </c>
      <c r="J75">
        <v>3</v>
      </c>
      <c r="K75" t="s">
        <v>29</v>
      </c>
      <c r="L75" t="s">
        <v>29</v>
      </c>
      <c r="M75" t="s">
        <v>29</v>
      </c>
      <c r="N75">
        <v>668</v>
      </c>
      <c r="O75">
        <v>701</v>
      </c>
      <c r="P75" t="s">
        <v>29</v>
      </c>
      <c r="Q75" t="s">
        <v>338</v>
      </c>
      <c r="R75" t="s">
        <v>29</v>
      </c>
      <c r="S75" t="s">
        <v>29</v>
      </c>
      <c r="T75">
        <v>22</v>
      </c>
      <c r="U75">
        <v>1.1599999999999999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  <c r="AB75">
        <v>0</v>
      </c>
      <c r="AC75">
        <v>0</v>
      </c>
      <c r="AD75">
        <v>0</v>
      </c>
      <c r="AE75">
        <v>0</v>
      </c>
      <c r="AF75">
        <v>0</v>
      </c>
      <c r="AG75">
        <v>0</v>
      </c>
      <c r="AH75">
        <v>0</v>
      </c>
      <c r="AI75">
        <v>0</v>
      </c>
      <c r="AJ75">
        <v>0</v>
      </c>
      <c r="AK75">
        <v>0</v>
      </c>
      <c r="AL75">
        <v>0</v>
      </c>
      <c r="AM75">
        <v>0</v>
      </c>
      <c r="AN75">
        <v>0</v>
      </c>
      <c r="AO75">
        <v>0</v>
      </c>
      <c r="AP75">
        <v>0</v>
      </c>
      <c r="AQ75">
        <v>0</v>
      </c>
      <c r="AR75">
        <v>0</v>
      </c>
      <c r="AS75">
        <v>0</v>
      </c>
      <c r="AT75">
        <v>0</v>
      </c>
      <c r="AU75">
        <v>0</v>
      </c>
      <c r="AV75">
        <v>0</v>
      </c>
      <c r="AW75">
        <v>0</v>
      </c>
      <c r="AX75">
        <v>0</v>
      </c>
      <c r="AY75">
        <v>0</v>
      </c>
      <c r="AZ75">
        <v>0</v>
      </c>
      <c r="BA75">
        <v>0</v>
      </c>
      <c r="BB75">
        <v>0</v>
      </c>
      <c r="BC75">
        <v>1</v>
      </c>
      <c r="BD75">
        <v>2</v>
      </c>
      <c r="BE75">
        <v>3</v>
      </c>
      <c r="BF75">
        <v>2</v>
      </c>
      <c r="BG75">
        <v>1</v>
      </c>
      <c r="BH75">
        <v>4</v>
      </c>
      <c r="BI75">
        <v>0</v>
      </c>
      <c r="BJ75">
        <v>0</v>
      </c>
      <c r="BK75">
        <v>0</v>
      </c>
      <c r="BL75">
        <v>1</v>
      </c>
      <c r="BM75">
        <v>0</v>
      </c>
      <c r="BN75">
        <v>5</v>
      </c>
      <c r="BO75">
        <v>0</v>
      </c>
      <c r="BP75">
        <v>1</v>
      </c>
      <c r="BQ75">
        <v>0</v>
      </c>
      <c r="BR75">
        <v>0</v>
      </c>
      <c r="BS75">
        <v>2</v>
      </c>
    </row>
    <row r="76" spans="1:71" x14ac:dyDescent="0.3">
      <c r="A76" t="s">
        <v>339</v>
      </c>
      <c r="B76" t="s">
        <v>340</v>
      </c>
      <c r="C76" t="s">
        <v>29</v>
      </c>
      <c r="D76" t="s">
        <v>29</v>
      </c>
      <c r="E76" t="s">
        <v>29</v>
      </c>
      <c r="F76" t="s">
        <v>341</v>
      </c>
      <c r="G76" t="s">
        <v>342</v>
      </c>
      <c r="H76">
        <v>2022</v>
      </c>
      <c r="I76">
        <v>7</v>
      </c>
      <c r="J76">
        <v>3</v>
      </c>
      <c r="K76" t="s">
        <v>29</v>
      </c>
      <c r="L76" t="s">
        <v>29</v>
      </c>
      <c r="M76" t="s">
        <v>29</v>
      </c>
      <c r="N76" t="s">
        <v>29</v>
      </c>
      <c r="O76" t="s">
        <v>29</v>
      </c>
      <c r="P76">
        <v>100190</v>
      </c>
      <c r="Q76" t="s">
        <v>343</v>
      </c>
      <c r="R76" t="s">
        <v>29</v>
      </c>
      <c r="S76" t="s">
        <v>29</v>
      </c>
      <c r="T76">
        <v>21</v>
      </c>
      <c r="U76">
        <v>7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  <c r="AB76">
        <v>0</v>
      </c>
      <c r="AC76">
        <v>0</v>
      </c>
      <c r="AD76">
        <v>0</v>
      </c>
      <c r="AE76">
        <v>0</v>
      </c>
      <c r="AF76">
        <v>0</v>
      </c>
      <c r="AG76">
        <v>0</v>
      </c>
      <c r="AH76">
        <v>0</v>
      </c>
      <c r="AI76">
        <v>0</v>
      </c>
      <c r="AJ76">
        <v>0</v>
      </c>
      <c r="AK76">
        <v>0</v>
      </c>
      <c r="AL76">
        <v>0</v>
      </c>
      <c r="AM76">
        <v>0</v>
      </c>
      <c r="AN76">
        <v>0</v>
      </c>
      <c r="AO76">
        <v>0</v>
      </c>
      <c r="AP76">
        <v>0</v>
      </c>
      <c r="AQ76">
        <v>0</v>
      </c>
      <c r="AR76">
        <v>0</v>
      </c>
      <c r="AS76">
        <v>0</v>
      </c>
      <c r="AT76">
        <v>0</v>
      </c>
      <c r="AU76">
        <v>0</v>
      </c>
      <c r="AV76">
        <v>0</v>
      </c>
      <c r="AW76">
        <v>0</v>
      </c>
      <c r="AX76">
        <v>0</v>
      </c>
      <c r="AY76">
        <v>0</v>
      </c>
      <c r="AZ76">
        <v>0</v>
      </c>
      <c r="BA76">
        <v>0</v>
      </c>
      <c r="BB76">
        <v>0</v>
      </c>
      <c r="BC76">
        <v>0</v>
      </c>
      <c r="BD76">
        <v>0</v>
      </c>
      <c r="BE76">
        <v>0</v>
      </c>
      <c r="BF76">
        <v>0</v>
      </c>
      <c r="BG76">
        <v>0</v>
      </c>
      <c r="BH76">
        <v>0</v>
      </c>
      <c r="BI76">
        <v>0</v>
      </c>
      <c r="BJ76">
        <v>0</v>
      </c>
      <c r="BK76">
        <v>0</v>
      </c>
      <c r="BL76">
        <v>0</v>
      </c>
      <c r="BM76">
        <v>0</v>
      </c>
      <c r="BN76">
        <v>0</v>
      </c>
      <c r="BO76">
        <v>0</v>
      </c>
      <c r="BP76">
        <v>0</v>
      </c>
      <c r="BQ76">
        <v>5</v>
      </c>
      <c r="BR76">
        <v>9</v>
      </c>
      <c r="BS76">
        <v>7</v>
      </c>
    </row>
    <row r="77" spans="1:71" x14ac:dyDescent="0.3">
      <c r="A77" t="s">
        <v>344</v>
      </c>
      <c r="B77" t="s">
        <v>345</v>
      </c>
      <c r="C77" t="s">
        <v>29</v>
      </c>
      <c r="D77" t="s">
        <v>29</v>
      </c>
      <c r="E77" t="s">
        <v>29</v>
      </c>
      <c r="F77" t="s">
        <v>346</v>
      </c>
      <c r="G77" t="s">
        <v>347</v>
      </c>
      <c r="H77">
        <v>2021</v>
      </c>
      <c r="I77">
        <v>28</v>
      </c>
      <c r="J77" t="s">
        <v>29</v>
      </c>
      <c r="K77" t="s">
        <v>29</v>
      </c>
      <c r="L77" t="s">
        <v>29</v>
      </c>
      <c r="M77" t="s">
        <v>29</v>
      </c>
      <c r="N77" t="s">
        <v>29</v>
      </c>
      <c r="O77" t="s">
        <v>29</v>
      </c>
      <c r="P77">
        <v>100306</v>
      </c>
      <c r="Q77" t="s">
        <v>348</v>
      </c>
      <c r="R77" t="s">
        <v>29</v>
      </c>
      <c r="S77" t="s">
        <v>29</v>
      </c>
      <c r="T77">
        <v>21</v>
      </c>
      <c r="U77">
        <v>5.25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  <c r="AB77">
        <v>0</v>
      </c>
      <c r="AC77">
        <v>0</v>
      </c>
      <c r="AD77">
        <v>0</v>
      </c>
      <c r="AE77">
        <v>0</v>
      </c>
      <c r="AF77">
        <v>0</v>
      </c>
      <c r="AG77">
        <v>0</v>
      </c>
      <c r="AH77">
        <v>0</v>
      </c>
      <c r="AI77">
        <v>0</v>
      </c>
      <c r="AJ77">
        <v>0</v>
      </c>
      <c r="AK77">
        <v>0</v>
      </c>
      <c r="AL77">
        <v>0</v>
      </c>
      <c r="AM77">
        <v>0</v>
      </c>
      <c r="AN77">
        <v>0</v>
      </c>
      <c r="AO77">
        <v>0</v>
      </c>
      <c r="AP77">
        <v>0</v>
      </c>
      <c r="AQ77">
        <v>0</v>
      </c>
      <c r="AR77">
        <v>0</v>
      </c>
      <c r="AS77">
        <v>0</v>
      </c>
      <c r="AT77">
        <v>0</v>
      </c>
      <c r="AU77">
        <v>0</v>
      </c>
      <c r="AV77">
        <v>0</v>
      </c>
      <c r="AW77">
        <v>0</v>
      </c>
      <c r="AX77">
        <v>0</v>
      </c>
      <c r="AY77">
        <v>0</v>
      </c>
      <c r="AZ77">
        <v>0</v>
      </c>
      <c r="BA77">
        <v>0</v>
      </c>
      <c r="BB77">
        <v>0</v>
      </c>
      <c r="BC77">
        <v>0</v>
      </c>
      <c r="BD77">
        <v>0</v>
      </c>
      <c r="BE77">
        <v>0</v>
      </c>
      <c r="BF77">
        <v>0</v>
      </c>
      <c r="BG77">
        <v>0</v>
      </c>
      <c r="BH77">
        <v>0</v>
      </c>
      <c r="BI77">
        <v>0</v>
      </c>
      <c r="BJ77">
        <v>0</v>
      </c>
      <c r="BK77">
        <v>0</v>
      </c>
      <c r="BL77">
        <v>0</v>
      </c>
      <c r="BM77">
        <v>0</v>
      </c>
      <c r="BN77">
        <v>0</v>
      </c>
      <c r="BO77">
        <v>0</v>
      </c>
      <c r="BP77">
        <v>1</v>
      </c>
      <c r="BQ77">
        <v>9</v>
      </c>
      <c r="BR77">
        <v>6</v>
      </c>
      <c r="BS77">
        <v>5</v>
      </c>
    </row>
    <row r="78" spans="1:71" x14ac:dyDescent="0.3">
      <c r="A78" t="s">
        <v>349</v>
      </c>
      <c r="B78" t="s">
        <v>350</v>
      </c>
      <c r="C78" t="s">
        <v>29</v>
      </c>
      <c r="D78" t="s">
        <v>29</v>
      </c>
      <c r="E78" t="s">
        <v>29</v>
      </c>
      <c r="F78" t="s">
        <v>351</v>
      </c>
      <c r="G78" t="s">
        <v>352</v>
      </c>
      <c r="H78">
        <v>2016</v>
      </c>
      <c r="I78">
        <v>92</v>
      </c>
      <c r="J78">
        <v>296</v>
      </c>
      <c r="K78" t="s">
        <v>29</v>
      </c>
      <c r="L78" t="s">
        <v>29</v>
      </c>
      <c r="M78" t="s">
        <v>29</v>
      </c>
      <c r="N78">
        <v>1</v>
      </c>
      <c r="O78">
        <v>27</v>
      </c>
      <c r="P78" t="s">
        <v>29</v>
      </c>
      <c r="Q78" t="s">
        <v>353</v>
      </c>
      <c r="R78" t="s">
        <v>29</v>
      </c>
      <c r="S78" t="s">
        <v>29</v>
      </c>
      <c r="T78">
        <v>21</v>
      </c>
      <c r="U78">
        <v>2.33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  <c r="AB78">
        <v>0</v>
      </c>
      <c r="AC78">
        <v>0</v>
      </c>
      <c r="AD78">
        <v>0</v>
      </c>
      <c r="AE78">
        <v>0</v>
      </c>
      <c r="AF78">
        <v>0</v>
      </c>
      <c r="AG78">
        <v>0</v>
      </c>
      <c r="AH78">
        <v>0</v>
      </c>
      <c r="AI78">
        <v>0</v>
      </c>
      <c r="AJ78">
        <v>0</v>
      </c>
      <c r="AK78">
        <v>0</v>
      </c>
      <c r="AL78">
        <v>0</v>
      </c>
      <c r="AM78">
        <v>0</v>
      </c>
      <c r="AN78">
        <v>0</v>
      </c>
      <c r="AO78">
        <v>0</v>
      </c>
      <c r="AP78">
        <v>0</v>
      </c>
      <c r="AQ78">
        <v>0</v>
      </c>
      <c r="AR78">
        <v>0</v>
      </c>
      <c r="AS78">
        <v>0</v>
      </c>
      <c r="AT78">
        <v>0</v>
      </c>
      <c r="AU78">
        <v>0</v>
      </c>
      <c r="AV78">
        <v>0</v>
      </c>
      <c r="AW78">
        <v>0</v>
      </c>
      <c r="AX78">
        <v>0</v>
      </c>
      <c r="AY78">
        <v>0</v>
      </c>
      <c r="AZ78">
        <v>0</v>
      </c>
      <c r="BA78">
        <v>0</v>
      </c>
      <c r="BB78">
        <v>0</v>
      </c>
      <c r="BC78">
        <v>0</v>
      </c>
      <c r="BD78">
        <v>0</v>
      </c>
      <c r="BE78">
        <v>0</v>
      </c>
      <c r="BF78">
        <v>0</v>
      </c>
      <c r="BG78">
        <v>0</v>
      </c>
      <c r="BH78">
        <v>0</v>
      </c>
      <c r="BI78">
        <v>0</v>
      </c>
      <c r="BJ78">
        <v>0</v>
      </c>
      <c r="BK78">
        <v>2</v>
      </c>
      <c r="BL78">
        <v>2</v>
      </c>
      <c r="BM78">
        <v>3</v>
      </c>
      <c r="BN78">
        <v>3</v>
      </c>
      <c r="BO78">
        <v>1</v>
      </c>
      <c r="BP78">
        <v>4</v>
      </c>
      <c r="BQ78">
        <v>2</v>
      </c>
      <c r="BR78">
        <v>3</v>
      </c>
      <c r="BS78">
        <v>1</v>
      </c>
    </row>
    <row r="79" spans="1:71" x14ac:dyDescent="0.3">
      <c r="A79" t="s">
        <v>354</v>
      </c>
      <c r="B79" t="s">
        <v>355</v>
      </c>
      <c r="C79" t="s">
        <v>29</v>
      </c>
      <c r="D79" t="s">
        <v>29</v>
      </c>
      <c r="E79" t="s">
        <v>29</v>
      </c>
      <c r="F79" t="s">
        <v>356</v>
      </c>
      <c r="G79" t="s">
        <v>357</v>
      </c>
      <c r="H79">
        <v>2022</v>
      </c>
      <c r="I79">
        <v>12</v>
      </c>
      <c r="J79">
        <v>3</v>
      </c>
      <c r="K79" t="s">
        <v>29</v>
      </c>
      <c r="L79" t="s">
        <v>29</v>
      </c>
      <c r="M79" t="s">
        <v>29</v>
      </c>
      <c r="N79" t="s">
        <v>29</v>
      </c>
      <c r="O79" t="s">
        <v>29</v>
      </c>
      <c r="P79">
        <v>72</v>
      </c>
      <c r="Q79" t="s">
        <v>358</v>
      </c>
      <c r="R79" t="s">
        <v>29</v>
      </c>
      <c r="S79" t="s">
        <v>29</v>
      </c>
      <c r="T79">
        <v>20</v>
      </c>
      <c r="U79">
        <v>6.67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  <c r="AB79">
        <v>0</v>
      </c>
      <c r="AC79">
        <v>0</v>
      </c>
      <c r="AD79">
        <v>0</v>
      </c>
      <c r="AE79">
        <v>0</v>
      </c>
      <c r="AF79">
        <v>0</v>
      </c>
      <c r="AG79">
        <v>0</v>
      </c>
      <c r="AH79">
        <v>0</v>
      </c>
      <c r="AI79">
        <v>0</v>
      </c>
      <c r="AJ79">
        <v>0</v>
      </c>
      <c r="AK79">
        <v>0</v>
      </c>
      <c r="AL79">
        <v>0</v>
      </c>
      <c r="AM79">
        <v>0</v>
      </c>
      <c r="AN79">
        <v>0</v>
      </c>
      <c r="AO79">
        <v>0</v>
      </c>
      <c r="AP79">
        <v>0</v>
      </c>
      <c r="AQ79">
        <v>0</v>
      </c>
      <c r="AR79">
        <v>0</v>
      </c>
      <c r="AS79">
        <v>0</v>
      </c>
      <c r="AT79">
        <v>0</v>
      </c>
      <c r="AU79">
        <v>0</v>
      </c>
      <c r="AV79">
        <v>0</v>
      </c>
      <c r="AW79">
        <v>0</v>
      </c>
      <c r="AX79">
        <v>0</v>
      </c>
      <c r="AY79">
        <v>0</v>
      </c>
      <c r="AZ79">
        <v>0</v>
      </c>
      <c r="BA79">
        <v>0</v>
      </c>
      <c r="BB79">
        <v>0</v>
      </c>
      <c r="BC79">
        <v>0</v>
      </c>
      <c r="BD79">
        <v>0</v>
      </c>
      <c r="BE79">
        <v>0</v>
      </c>
      <c r="BF79">
        <v>0</v>
      </c>
      <c r="BG79">
        <v>0</v>
      </c>
      <c r="BH79">
        <v>0</v>
      </c>
      <c r="BI79">
        <v>0</v>
      </c>
      <c r="BJ79">
        <v>0</v>
      </c>
      <c r="BK79">
        <v>0</v>
      </c>
      <c r="BL79">
        <v>0</v>
      </c>
      <c r="BM79">
        <v>0</v>
      </c>
      <c r="BN79">
        <v>0</v>
      </c>
      <c r="BO79">
        <v>0</v>
      </c>
      <c r="BP79">
        <v>0</v>
      </c>
      <c r="BQ79">
        <v>1</v>
      </c>
      <c r="BR79">
        <v>7</v>
      </c>
      <c r="BS79">
        <v>12</v>
      </c>
    </row>
    <row r="80" spans="1:71" x14ac:dyDescent="0.3">
      <c r="A80" t="s">
        <v>359</v>
      </c>
      <c r="B80" t="s">
        <v>360</v>
      </c>
      <c r="C80" t="s">
        <v>29</v>
      </c>
      <c r="D80" t="s">
        <v>29</v>
      </c>
      <c r="E80" t="s">
        <v>29</v>
      </c>
      <c r="F80" t="s">
        <v>361</v>
      </c>
      <c r="G80" t="s">
        <v>59</v>
      </c>
      <c r="H80">
        <v>2020</v>
      </c>
      <c r="I80">
        <v>8</v>
      </c>
      <c r="J80">
        <v>2</v>
      </c>
      <c r="K80" t="s">
        <v>29</v>
      </c>
      <c r="L80" t="s">
        <v>29</v>
      </c>
      <c r="M80" t="s">
        <v>29</v>
      </c>
      <c r="N80">
        <v>349</v>
      </c>
      <c r="O80">
        <v>360</v>
      </c>
      <c r="P80" t="s">
        <v>29</v>
      </c>
      <c r="Q80" t="s">
        <v>362</v>
      </c>
      <c r="R80" t="s">
        <v>29</v>
      </c>
      <c r="S80" t="s">
        <v>29</v>
      </c>
      <c r="T80">
        <v>20</v>
      </c>
      <c r="U80">
        <v>4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  <c r="AB80">
        <v>0</v>
      </c>
      <c r="AC80">
        <v>0</v>
      </c>
      <c r="AD80">
        <v>0</v>
      </c>
      <c r="AE80">
        <v>0</v>
      </c>
      <c r="AF80">
        <v>0</v>
      </c>
      <c r="AG80">
        <v>0</v>
      </c>
      <c r="AH80">
        <v>0</v>
      </c>
      <c r="AI80">
        <v>0</v>
      </c>
      <c r="AJ80">
        <v>0</v>
      </c>
      <c r="AK80">
        <v>0</v>
      </c>
      <c r="AL80">
        <v>0</v>
      </c>
      <c r="AM80">
        <v>0</v>
      </c>
      <c r="AN80">
        <v>0</v>
      </c>
      <c r="AO80">
        <v>0</v>
      </c>
      <c r="AP80">
        <v>0</v>
      </c>
      <c r="AQ80">
        <v>0</v>
      </c>
      <c r="AR80">
        <v>0</v>
      </c>
      <c r="AS80">
        <v>0</v>
      </c>
      <c r="AT80">
        <v>0</v>
      </c>
      <c r="AU80">
        <v>0</v>
      </c>
      <c r="AV80">
        <v>0</v>
      </c>
      <c r="AW80">
        <v>0</v>
      </c>
      <c r="AX80">
        <v>0</v>
      </c>
      <c r="AY80">
        <v>0</v>
      </c>
      <c r="AZ80">
        <v>0</v>
      </c>
      <c r="BA80">
        <v>0</v>
      </c>
      <c r="BB80">
        <v>0</v>
      </c>
      <c r="BC80">
        <v>0</v>
      </c>
      <c r="BD80">
        <v>0</v>
      </c>
      <c r="BE80">
        <v>0</v>
      </c>
      <c r="BF80">
        <v>0</v>
      </c>
      <c r="BG80">
        <v>0</v>
      </c>
      <c r="BH80">
        <v>0</v>
      </c>
      <c r="BI80">
        <v>0</v>
      </c>
      <c r="BJ80">
        <v>0</v>
      </c>
      <c r="BK80">
        <v>0</v>
      </c>
      <c r="BL80">
        <v>0</v>
      </c>
      <c r="BM80">
        <v>0</v>
      </c>
      <c r="BN80">
        <v>0</v>
      </c>
      <c r="BO80">
        <v>0</v>
      </c>
      <c r="BP80">
        <v>7</v>
      </c>
      <c r="BQ80">
        <v>5</v>
      </c>
      <c r="BR80">
        <v>0</v>
      </c>
      <c r="BS80">
        <v>7</v>
      </c>
    </row>
    <row r="81" spans="1:71" x14ac:dyDescent="0.3">
      <c r="A81" t="s">
        <v>363</v>
      </c>
      <c r="B81" t="s">
        <v>364</v>
      </c>
      <c r="C81" t="s">
        <v>29</v>
      </c>
      <c r="D81" t="s">
        <v>29</v>
      </c>
      <c r="E81" t="s">
        <v>29</v>
      </c>
      <c r="F81" t="s">
        <v>365</v>
      </c>
      <c r="G81" t="s">
        <v>366</v>
      </c>
      <c r="H81">
        <v>2019</v>
      </c>
      <c r="I81">
        <v>9</v>
      </c>
      <c r="J81">
        <v>3</v>
      </c>
      <c r="K81" t="s">
        <v>29</v>
      </c>
      <c r="L81" t="s">
        <v>29</v>
      </c>
      <c r="M81" t="s">
        <v>29</v>
      </c>
      <c r="N81">
        <v>264</v>
      </c>
      <c r="O81">
        <v>278</v>
      </c>
      <c r="P81" t="s">
        <v>29</v>
      </c>
      <c r="Q81" t="s">
        <v>367</v>
      </c>
      <c r="R81" t="s">
        <v>29</v>
      </c>
      <c r="S81" t="s">
        <v>29</v>
      </c>
      <c r="T81">
        <v>20</v>
      </c>
      <c r="U81">
        <v>3.33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  <c r="AB81">
        <v>0</v>
      </c>
      <c r="AC81">
        <v>0</v>
      </c>
      <c r="AD81">
        <v>0</v>
      </c>
      <c r="AE81">
        <v>0</v>
      </c>
      <c r="AF81">
        <v>0</v>
      </c>
      <c r="AG81">
        <v>0</v>
      </c>
      <c r="AH81">
        <v>0</v>
      </c>
      <c r="AI81">
        <v>0</v>
      </c>
      <c r="AJ81">
        <v>0</v>
      </c>
      <c r="AK81">
        <v>0</v>
      </c>
      <c r="AL81">
        <v>0</v>
      </c>
      <c r="AM81">
        <v>0</v>
      </c>
      <c r="AN81">
        <v>0</v>
      </c>
      <c r="AO81">
        <v>0</v>
      </c>
      <c r="AP81">
        <v>0</v>
      </c>
      <c r="AQ81">
        <v>0</v>
      </c>
      <c r="AR81">
        <v>0</v>
      </c>
      <c r="AS81">
        <v>0</v>
      </c>
      <c r="AT81">
        <v>0</v>
      </c>
      <c r="AU81">
        <v>0</v>
      </c>
      <c r="AV81">
        <v>0</v>
      </c>
      <c r="AW81">
        <v>0</v>
      </c>
      <c r="AX81">
        <v>0</v>
      </c>
      <c r="AY81">
        <v>0</v>
      </c>
      <c r="AZ81">
        <v>0</v>
      </c>
      <c r="BA81">
        <v>0</v>
      </c>
      <c r="BB81">
        <v>0</v>
      </c>
      <c r="BC81">
        <v>0</v>
      </c>
      <c r="BD81">
        <v>0</v>
      </c>
      <c r="BE81">
        <v>0</v>
      </c>
      <c r="BF81">
        <v>0</v>
      </c>
      <c r="BG81">
        <v>0</v>
      </c>
      <c r="BH81">
        <v>0</v>
      </c>
      <c r="BI81">
        <v>0</v>
      </c>
      <c r="BJ81">
        <v>0</v>
      </c>
      <c r="BK81">
        <v>0</v>
      </c>
      <c r="BL81">
        <v>0</v>
      </c>
      <c r="BM81">
        <v>0</v>
      </c>
      <c r="BN81">
        <v>1</v>
      </c>
      <c r="BO81">
        <v>2</v>
      </c>
      <c r="BP81">
        <v>4</v>
      </c>
      <c r="BQ81">
        <v>6</v>
      </c>
      <c r="BR81">
        <v>4</v>
      </c>
      <c r="BS81">
        <v>3</v>
      </c>
    </row>
    <row r="82" spans="1:71" x14ac:dyDescent="0.3">
      <c r="A82" t="s">
        <v>368</v>
      </c>
      <c r="B82" t="s">
        <v>369</v>
      </c>
      <c r="C82" t="s">
        <v>29</v>
      </c>
      <c r="D82" t="s">
        <v>29</v>
      </c>
      <c r="E82" t="s">
        <v>370</v>
      </c>
      <c r="F82" t="s">
        <v>371</v>
      </c>
      <c r="G82">
        <v>2012</v>
      </c>
      <c r="H82">
        <v>2012</v>
      </c>
      <c r="I82">
        <v>59</v>
      </c>
      <c r="J82" t="s">
        <v>29</v>
      </c>
      <c r="K82" t="s">
        <v>29</v>
      </c>
      <c r="L82" t="s">
        <v>29</v>
      </c>
      <c r="M82" t="s">
        <v>29</v>
      </c>
      <c r="N82">
        <v>591</v>
      </c>
      <c r="O82">
        <v>597</v>
      </c>
      <c r="P82" t="s">
        <v>29</v>
      </c>
      <c r="Q82" t="s">
        <v>372</v>
      </c>
      <c r="R82" t="s">
        <v>373</v>
      </c>
      <c r="S82" t="s">
        <v>374</v>
      </c>
      <c r="T82">
        <v>20</v>
      </c>
      <c r="U82">
        <v>1.54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  <c r="AB82">
        <v>0</v>
      </c>
      <c r="AC82">
        <v>0</v>
      </c>
      <c r="AD82">
        <v>0</v>
      </c>
      <c r="AE82">
        <v>0</v>
      </c>
      <c r="AF82">
        <v>0</v>
      </c>
      <c r="AG82">
        <v>0</v>
      </c>
      <c r="AH82">
        <v>0</v>
      </c>
      <c r="AI82">
        <v>0</v>
      </c>
      <c r="AJ82">
        <v>0</v>
      </c>
      <c r="AK82">
        <v>0</v>
      </c>
      <c r="AL82">
        <v>0</v>
      </c>
      <c r="AM82">
        <v>0</v>
      </c>
      <c r="AN82">
        <v>0</v>
      </c>
      <c r="AO82">
        <v>0</v>
      </c>
      <c r="AP82">
        <v>0</v>
      </c>
      <c r="AQ82">
        <v>0</v>
      </c>
      <c r="AR82">
        <v>0</v>
      </c>
      <c r="AS82">
        <v>0</v>
      </c>
      <c r="AT82">
        <v>0</v>
      </c>
      <c r="AU82">
        <v>0</v>
      </c>
      <c r="AV82">
        <v>0</v>
      </c>
      <c r="AW82">
        <v>0</v>
      </c>
      <c r="AX82">
        <v>0</v>
      </c>
      <c r="AY82">
        <v>0</v>
      </c>
      <c r="AZ82">
        <v>0</v>
      </c>
      <c r="BA82">
        <v>0</v>
      </c>
      <c r="BB82">
        <v>0</v>
      </c>
      <c r="BC82">
        <v>0</v>
      </c>
      <c r="BD82">
        <v>0</v>
      </c>
      <c r="BE82">
        <v>0</v>
      </c>
      <c r="BF82">
        <v>0</v>
      </c>
      <c r="BG82">
        <v>0</v>
      </c>
      <c r="BH82">
        <v>0</v>
      </c>
      <c r="BI82">
        <v>0</v>
      </c>
      <c r="BJ82">
        <v>1</v>
      </c>
      <c r="BK82">
        <v>2</v>
      </c>
      <c r="BL82">
        <v>0</v>
      </c>
      <c r="BM82">
        <v>2</v>
      </c>
      <c r="BN82">
        <v>2</v>
      </c>
      <c r="BO82">
        <v>2</v>
      </c>
      <c r="BP82">
        <v>2</v>
      </c>
      <c r="BQ82">
        <v>5</v>
      </c>
      <c r="BR82">
        <v>2</v>
      </c>
      <c r="BS82">
        <v>2</v>
      </c>
    </row>
    <row r="83" spans="1:71" x14ac:dyDescent="0.3">
      <c r="A83" t="s">
        <v>375</v>
      </c>
      <c r="B83" t="s">
        <v>376</v>
      </c>
      <c r="C83" t="s">
        <v>29</v>
      </c>
      <c r="D83" t="s">
        <v>29</v>
      </c>
      <c r="E83" t="s">
        <v>29</v>
      </c>
      <c r="F83" t="s">
        <v>200</v>
      </c>
      <c r="G83" t="s">
        <v>377</v>
      </c>
      <c r="H83">
        <v>2021</v>
      </c>
      <c r="I83">
        <v>11</v>
      </c>
      <c r="J83">
        <v>10</v>
      </c>
      <c r="K83" t="s">
        <v>29</v>
      </c>
      <c r="L83" t="s">
        <v>29</v>
      </c>
      <c r="M83" t="s">
        <v>29</v>
      </c>
      <c r="N83" t="s">
        <v>29</v>
      </c>
      <c r="O83" t="s">
        <v>29</v>
      </c>
      <c r="P83">
        <v>641</v>
      </c>
      <c r="Q83" t="s">
        <v>378</v>
      </c>
      <c r="R83" t="s">
        <v>29</v>
      </c>
      <c r="S83" t="s">
        <v>29</v>
      </c>
      <c r="T83">
        <v>19</v>
      </c>
      <c r="U83">
        <v>4.75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  <c r="AB83">
        <v>0</v>
      </c>
      <c r="AC83">
        <v>0</v>
      </c>
      <c r="AD83">
        <v>0</v>
      </c>
      <c r="AE83">
        <v>0</v>
      </c>
      <c r="AF83">
        <v>0</v>
      </c>
      <c r="AG83">
        <v>0</v>
      </c>
      <c r="AH83">
        <v>0</v>
      </c>
      <c r="AI83">
        <v>0</v>
      </c>
      <c r="AJ83">
        <v>0</v>
      </c>
      <c r="AK83">
        <v>0</v>
      </c>
      <c r="AL83">
        <v>0</v>
      </c>
      <c r="AM83">
        <v>0</v>
      </c>
      <c r="AN83">
        <v>0</v>
      </c>
      <c r="AO83">
        <v>0</v>
      </c>
      <c r="AP83">
        <v>0</v>
      </c>
      <c r="AQ83">
        <v>0</v>
      </c>
      <c r="AR83">
        <v>0</v>
      </c>
      <c r="AS83">
        <v>0</v>
      </c>
      <c r="AT83">
        <v>0</v>
      </c>
      <c r="AU83">
        <v>0</v>
      </c>
      <c r="AV83">
        <v>0</v>
      </c>
      <c r="AW83">
        <v>0</v>
      </c>
      <c r="AX83">
        <v>0</v>
      </c>
      <c r="AY83">
        <v>0</v>
      </c>
      <c r="AZ83">
        <v>0</v>
      </c>
      <c r="BA83">
        <v>0</v>
      </c>
      <c r="BB83">
        <v>0</v>
      </c>
      <c r="BC83">
        <v>0</v>
      </c>
      <c r="BD83">
        <v>0</v>
      </c>
      <c r="BE83">
        <v>0</v>
      </c>
      <c r="BF83">
        <v>0</v>
      </c>
      <c r="BG83">
        <v>0</v>
      </c>
      <c r="BH83">
        <v>0</v>
      </c>
      <c r="BI83">
        <v>0</v>
      </c>
      <c r="BJ83">
        <v>0</v>
      </c>
      <c r="BK83">
        <v>0</v>
      </c>
      <c r="BL83">
        <v>0</v>
      </c>
      <c r="BM83">
        <v>0</v>
      </c>
      <c r="BN83">
        <v>0</v>
      </c>
      <c r="BO83">
        <v>0</v>
      </c>
      <c r="BP83">
        <v>0</v>
      </c>
      <c r="BQ83">
        <v>2</v>
      </c>
      <c r="BR83">
        <v>6</v>
      </c>
      <c r="BS83">
        <v>11</v>
      </c>
    </row>
    <row r="84" spans="1:71" x14ac:dyDescent="0.3">
      <c r="A84" t="s">
        <v>379</v>
      </c>
      <c r="B84" t="s">
        <v>380</v>
      </c>
      <c r="C84" t="s">
        <v>29</v>
      </c>
      <c r="D84" t="s">
        <v>29</v>
      </c>
      <c r="E84" t="s">
        <v>29</v>
      </c>
      <c r="F84" t="s">
        <v>43</v>
      </c>
      <c r="G84" t="s">
        <v>381</v>
      </c>
      <c r="H84">
        <v>2022</v>
      </c>
      <c r="I84">
        <v>68</v>
      </c>
      <c r="J84">
        <v>5</v>
      </c>
      <c r="K84" t="s">
        <v>29</v>
      </c>
      <c r="L84" t="s">
        <v>29</v>
      </c>
      <c r="M84" t="s">
        <v>29</v>
      </c>
      <c r="N84">
        <v>3262</v>
      </c>
      <c r="O84">
        <v>3281</v>
      </c>
      <c r="P84" t="s">
        <v>29</v>
      </c>
      <c r="Q84" t="s">
        <v>382</v>
      </c>
      <c r="R84" t="s">
        <v>29</v>
      </c>
      <c r="S84" t="s">
        <v>29</v>
      </c>
      <c r="T84">
        <v>19</v>
      </c>
      <c r="U84">
        <v>4.75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  <c r="AB84">
        <v>0</v>
      </c>
      <c r="AC84">
        <v>0</v>
      </c>
      <c r="AD84">
        <v>0</v>
      </c>
      <c r="AE84">
        <v>0</v>
      </c>
      <c r="AF84">
        <v>0</v>
      </c>
      <c r="AG84">
        <v>0</v>
      </c>
      <c r="AH84">
        <v>0</v>
      </c>
      <c r="AI84">
        <v>0</v>
      </c>
      <c r="AJ84">
        <v>0</v>
      </c>
      <c r="AK84">
        <v>0</v>
      </c>
      <c r="AL84">
        <v>0</v>
      </c>
      <c r="AM84">
        <v>0</v>
      </c>
      <c r="AN84">
        <v>0</v>
      </c>
      <c r="AO84">
        <v>0</v>
      </c>
      <c r="AP84">
        <v>0</v>
      </c>
      <c r="AQ84">
        <v>0</v>
      </c>
      <c r="AR84">
        <v>0</v>
      </c>
      <c r="AS84">
        <v>0</v>
      </c>
      <c r="AT84">
        <v>0</v>
      </c>
      <c r="AU84">
        <v>0</v>
      </c>
      <c r="AV84">
        <v>0</v>
      </c>
      <c r="AW84">
        <v>0</v>
      </c>
      <c r="AX84">
        <v>0</v>
      </c>
      <c r="AY84">
        <v>0</v>
      </c>
      <c r="AZ84">
        <v>0</v>
      </c>
      <c r="BA84">
        <v>0</v>
      </c>
      <c r="BB84">
        <v>0</v>
      </c>
      <c r="BC84">
        <v>0</v>
      </c>
      <c r="BD84">
        <v>0</v>
      </c>
      <c r="BE84">
        <v>0</v>
      </c>
      <c r="BF84">
        <v>0</v>
      </c>
      <c r="BG84">
        <v>0</v>
      </c>
      <c r="BH84">
        <v>0</v>
      </c>
      <c r="BI84">
        <v>0</v>
      </c>
      <c r="BJ84">
        <v>0</v>
      </c>
      <c r="BK84">
        <v>0</v>
      </c>
      <c r="BL84">
        <v>0</v>
      </c>
      <c r="BM84">
        <v>0</v>
      </c>
      <c r="BN84">
        <v>0</v>
      </c>
      <c r="BO84">
        <v>0</v>
      </c>
      <c r="BP84">
        <v>0</v>
      </c>
      <c r="BQ84">
        <v>1</v>
      </c>
      <c r="BR84">
        <v>5</v>
      </c>
      <c r="BS84">
        <v>13</v>
      </c>
    </row>
    <row r="85" spans="1:71" x14ac:dyDescent="0.3">
      <c r="A85" t="s">
        <v>383</v>
      </c>
      <c r="B85" t="s">
        <v>384</v>
      </c>
      <c r="C85" t="s">
        <v>29</v>
      </c>
      <c r="D85" t="s">
        <v>29</v>
      </c>
      <c r="E85" t="s">
        <v>29</v>
      </c>
      <c r="F85" t="s">
        <v>385</v>
      </c>
      <c r="G85" t="s">
        <v>386</v>
      </c>
      <c r="H85">
        <v>2019</v>
      </c>
      <c r="I85">
        <v>25</v>
      </c>
      <c r="J85">
        <v>2</v>
      </c>
      <c r="K85" t="s">
        <v>29</v>
      </c>
      <c r="L85" t="s">
        <v>29</v>
      </c>
      <c r="M85" t="s">
        <v>32</v>
      </c>
      <c r="N85">
        <v>250</v>
      </c>
      <c r="O85">
        <v>274</v>
      </c>
      <c r="P85" t="s">
        <v>29</v>
      </c>
      <c r="Q85" t="s">
        <v>387</v>
      </c>
      <c r="R85" t="s">
        <v>29</v>
      </c>
      <c r="S85" t="s">
        <v>29</v>
      </c>
      <c r="T85">
        <v>19</v>
      </c>
      <c r="U85">
        <v>3.17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  <c r="AB85">
        <v>0</v>
      </c>
      <c r="AC85">
        <v>0</v>
      </c>
      <c r="AD85">
        <v>0</v>
      </c>
      <c r="AE85">
        <v>0</v>
      </c>
      <c r="AF85">
        <v>0</v>
      </c>
      <c r="AG85">
        <v>0</v>
      </c>
      <c r="AH85">
        <v>0</v>
      </c>
      <c r="AI85">
        <v>0</v>
      </c>
      <c r="AJ85">
        <v>0</v>
      </c>
      <c r="AK85">
        <v>0</v>
      </c>
      <c r="AL85">
        <v>0</v>
      </c>
      <c r="AM85">
        <v>0</v>
      </c>
      <c r="AN85">
        <v>0</v>
      </c>
      <c r="AO85">
        <v>0</v>
      </c>
      <c r="AP85">
        <v>0</v>
      </c>
      <c r="AQ85">
        <v>0</v>
      </c>
      <c r="AR85">
        <v>0</v>
      </c>
      <c r="AS85">
        <v>0</v>
      </c>
      <c r="AT85">
        <v>0</v>
      </c>
      <c r="AU85">
        <v>0</v>
      </c>
      <c r="AV85">
        <v>0</v>
      </c>
      <c r="AW85">
        <v>0</v>
      </c>
      <c r="AX85">
        <v>0</v>
      </c>
      <c r="AY85">
        <v>0</v>
      </c>
      <c r="AZ85">
        <v>0</v>
      </c>
      <c r="BA85">
        <v>0</v>
      </c>
      <c r="BB85">
        <v>0</v>
      </c>
      <c r="BC85">
        <v>0</v>
      </c>
      <c r="BD85">
        <v>0</v>
      </c>
      <c r="BE85">
        <v>0</v>
      </c>
      <c r="BF85">
        <v>0</v>
      </c>
      <c r="BG85">
        <v>0</v>
      </c>
      <c r="BH85">
        <v>0</v>
      </c>
      <c r="BI85">
        <v>0</v>
      </c>
      <c r="BJ85">
        <v>0</v>
      </c>
      <c r="BK85">
        <v>0</v>
      </c>
      <c r="BL85">
        <v>0</v>
      </c>
      <c r="BM85">
        <v>0</v>
      </c>
      <c r="BN85">
        <v>2</v>
      </c>
      <c r="BO85">
        <v>6</v>
      </c>
      <c r="BP85">
        <v>5</v>
      </c>
      <c r="BQ85">
        <v>4</v>
      </c>
      <c r="BR85">
        <v>2</v>
      </c>
      <c r="BS85">
        <v>0</v>
      </c>
    </row>
    <row r="86" spans="1:71" x14ac:dyDescent="0.3">
      <c r="A86" t="s">
        <v>388</v>
      </c>
      <c r="B86" t="s">
        <v>389</v>
      </c>
      <c r="C86" t="s">
        <v>29</v>
      </c>
      <c r="D86" t="s">
        <v>29</v>
      </c>
      <c r="E86" t="s">
        <v>29</v>
      </c>
      <c r="F86" t="s">
        <v>390</v>
      </c>
      <c r="G86" t="s">
        <v>391</v>
      </c>
      <c r="H86">
        <v>2019</v>
      </c>
      <c r="I86">
        <v>81</v>
      </c>
      <c r="J86" t="s">
        <v>29</v>
      </c>
      <c r="K86" t="s">
        <v>29</v>
      </c>
      <c r="L86" t="s">
        <v>29</v>
      </c>
      <c r="M86" t="s">
        <v>29</v>
      </c>
      <c r="N86">
        <v>1</v>
      </c>
      <c r="O86">
        <v>22</v>
      </c>
      <c r="P86" t="s">
        <v>29</v>
      </c>
      <c r="Q86" t="s">
        <v>392</v>
      </c>
      <c r="R86" t="s">
        <v>29</v>
      </c>
      <c r="S86" t="s">
        <v>29</v>
      </c>
      <c r="T86">
        <v>19</v>
      </c>
      <c r="U86">
        <v>3.17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  <c r="AB86">
        <v>0</v>
      </c>
      <c r="AC86">
        <v>0</v>
      </c>
      <c r="AD86">
        <v>0</v>
      </c>
      <c r="AE86">
        <v>0</v>
      </c>
      <c r="AF86">
        <v>0</v>
      </c>
      <c r="AG86">
        <v>0</v>
      </c>
      <c r="AH86">
        <v>0</v>
      </c>
      <c r="AI86">
        <v>0</v>
      </c>
      <c r="AJ86">
        <v>0</v>
      </c>
      <c r="AK86">
        <v>0</v>
      </c>
      <c r="AL86">
        <v>0</v>
      </c>
      <c r="AM86">
        <v>0</v>
      </c>
      <c r="AN86">
        <v>0</v>
      </c>
      <c r="AO86">
        <v>0</v>
      </c>
      <c r="AP86">
        <v>0</v>
      </c>
      <c r="AQ86">
        <v>0</v>
      </c>
      <c r="AR86">
        <v>0</v>
      </c>
      <c r="AS86">
        <v>0</v>
      </c>
      <c r="AT86">
        <v>0</v>
      </c>
      <c r="AU86">
        <v>0</v>
      </c>
      <c r="AV86">
        <v>0</v>
      </c>
      <c r="AW86">
        <v>0</v>
      </c>
      <c r="AX86">
        <v>0</v>
      </c>
      <c r="AY86">
        <v>0</v>
      </c>
      <c r="AZ86">
        <v>0</v>
      </c>
      <c r="BA86">
        <v>0</v>
      </c>
      <c r="BB86">
        <v>0</v>
      </c>
      <c r="BC86">
        <v>0</v>
      </c>
      <c r="BD86">
        <v>0</v>
      </c>
      <c r="BE86">
        <v>0</v>
      </c>
      <c r="BF86">
        <v>0</v>
      </c>
      <c r="BG86">
        <v>0</v>
      </c>
      <c r="BH86">
        <v>0</v>
      </c>
      <c r="BI86">
        <v>0</v>
      </c>
      <c r="BJ86">
        <v>0</v>
      </c>
      <c r="BK86">
        <v>0</v>
      </c>
      <c r="BL86">
        <v>0</v>
      </c>
      <c r="BM86">
        <v>0</v>
      </c>
      <c r="BN86">
        <v>3</v>
      </c>
      <c r="BO86">
        <v>3</v>
      </c>
      <c r="BP86">
        <v>3</v>
      </c>
      <c r="BQ86">
        <v>3</v>
      </c>
      <c r="BR86">
        <v>4</v>
      </c>
      <c r="BS86">
        <v>3</v>
      </c>
    </row>
    <row r="87" spans="1:71" x14ac:dyDescent="0.3">
      <c r="A87" t="s">
        <v>393</v>
      </c>
      <c r="B87" t="s">
        <v>394</v>
      </c>
      <c r="C87" t="s">
        <v>29</v>
      </c>
      <c r="D87" t="s">
        <v>29</v>
      </c>
      <c r="E87" t="s">
        <v>29</v>
      </c>
      <c r="F87" t="s">
        <v>395</v>
      </c>
      <c r="G87" t="s">
        <v>210</v>
      </c>
      <c r="H87">
        <v>2015</v>
      </c>
      <c r="I87">
        <v>100</v>
      </c>
      <c r="J87">
        <v>6</v>
      </c>
      <c r="K87" t="s">
        <v>29</v>
      </c>
      <c r="L87" t="s">
        <v>29</v>
      </c>
      <c r="M87" t="s">
        <v>29</v>
      </c>
      <c r="N87">
        <v>2305</v>
      </c>
      <c r="O87">
        <v>2313</v>
      </c>
      <c r="P87" t="s">
        <v>29</v>
      </c>
      <c r="Q87" t="s">
        <v>396</v>
      </c>
      <c r="R87" t="s">
        <v>397</v>
      </c>
      <c r="S87" t="s">
        <v>398</v>
      </c>
      <c r="T87">
        <v>19</v>
      </c>
      <c r="U87">
        <v>1.9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  <c r="AB87">
        <v>0</v>
      </c>
      <c r="AC87">
        <v>0</v>
      </c>
      <c r="AD87">
        <v>0</v>
      </c>
      <c r="AE87">
        <v>0</v>
      </c>
      <c r="AF87">
        <v>0</v>
      </c>
      <c r="AG87">
        <v>0</v>
      </c>
      <c r="AH87">
        <v>0</v>
      </c>
      <c r="AI87">
        <v>0</v>
      </c>
      <c r="AJ87">
        <v>0</v>
      </c>
      <c r="AK87">
        <v>0</v>
      </c>
      <c r="AL87">
        <v>0</v>
      </c>
      <c r="AM87">
        <v>0</v>
      </c>
      <c r="AN87">
        <v>0</v>
      </c>
      <c r="AO87">
        <v>0</v>
      </c>
      <c r="AP87">
        <v>0</v>
      </c>
      <c r="AQ87">
        <v>0</v>
      </c>
      <c r="AR87">
        <v>0</v>
      </c>
      <c r="AS87">
        <v>0</v>
      </c>
      <c r="AT87">
        <v>0</v>
      </c>
      <c r="AU87">
        <v>0</v>
      </c>
      <c r="AV87">
        <v>0</v>
      </c>
      <c r="AW87">
        <v>0</v>
      </c>
      <c r="AX87">
        <v>0</v>
      </c>
      <c r="AY87">
        <v>0</v>
      </c>
      <c r="AZ87">
        <v>0</v>
      </c>
      <c r="BA87">
        <v>0</v>
      </c>
      <c r="BB87">
        <v>0</v>
      </c>
      <c r="BC87">
        <v>0</v>
      </c>
      <c r="BD87">
        <v>0</v>
      </c>
      <c r="BE87">
        <v>0</v>
      </c>
      <c r="BF87">
        <v>0</v>
      </c>
      <c r="BG87">
        <v>0</v>
      </c>
      <c r="BH87">
        <v>0</v>
      </c>
      <c r="BI87">
        <v>0</v>
      </c>
      <c r="BJ87">
        <v>0</v>
      </c>
      <c r="BK87">
        <v>1</v>
      </c>
      <c r="BL87">
        <v>3</v>
      </c>
      <c r="BM87">
        <v>2</v>
      </c>
      <c r="BN87">
        <v>2</v>
      </c>
      <c r="BO87">
        <v>3</v>
      </c>
      <c r="BP87">
        <v>6</v>
      </c>
      <c r="BQ87">
        <v>0</v>
      </c>
      <c r="BR87">
        <v>1</v>
      </c>
      <c r="BS87">
        <v>1</v>
      </c>
    </row>
    <row r="88" spans="1:71" x14ac:dyDescent="0.3">
      <c r="A88" t="s">
        <v>399</v>
      </c>
      <c r="B88" t="s">
        <v>400</v>
      </c>
      <c r="C88" t="s">
        <v>29</v>
      </c>
      <c r="D88" t="s">
        <v>29</v>
      </c>
      <c r="E88" t="s">
        <v>29</v>
      </c>
      <c r="F88" t="s">
        <v>328</v>
      </c>
      <c r="G88">
        <v>2012</v>
      </c>
      <c r="H88">
        <v>2012</v>
      </c>
      <c r="I88">
        <v>28</v>
      </c>
      <c r="J88">
        <v>5</v>
      </c>
      <c r="K88" t="s">
        <v>29</v>
      </c>
      <c r="L88" t="s">
        <v>29</v>
      </c>
      <c r="M88" t="s">
        <v>32</v>
      </c>
      <c r="N88">
        <v>1221</v>
      </c>
      <c r="O88">
        <v>1231</v>
      </c>
      <c r="P88" t="s">
        <v>29</v>
      </c>
      <c r="Q88" t="s">
        <v>29</v>
      </c>
      <c r="R88" t="s">
        <v>29</v>
      </c>
      <c r="S88" t="s">
        <v>29</v>
      </c>
      <c r="T88">
        <v>19</v>
      </c>
      <c r="U88">
        <v>1.46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  <c r="AB88">
        <v>0</v>
      </c>
      <c r="AC88">
        <v>0</v>
      </c>
      <c r="AD88">
        <v>0</v>
      </c>
      <c r="AE88">
        <v>0</v>
      </c>
      <c r="AF88">
        <v>0</v>
      </c>
      <c r="AG88">
        <v>0</v>
      </c>
      <c r="AH88">
        <v>0</v>
      </c>
      <c r="AI88">
        <v>0</v>
      </c>
      <c r="AJ88">
        <v>0</v>
      </c>
      <c r="AK88">
        <v>0</v>
      </c>
      <c r="AL88">
        <v>0</v>
      </c>
      <c r="AM88">
        <v>0</v>
      </c>
      <c r="AN88">
        <v>0</v>
      </c>
      <c r="AO88">
        <v>0</v>
      </c>
      <c r="AP88">
        <v>0</v>
      </c>
      <c r="AQ88">
        <v>0</v>
      </c>
      <c r="AR88">
        <v>0</v>
      </c>
      <c r="AS88">
        <v>0</v>
      </c>
      <c r="AT88">
        <v>0</v>
      </c>
      <c r="AU88">
        <v>0</v>
      </c>
      <c r="AV88">
        <v>0</v>
      </c>
      <c r="AW88">
        <v>0</v>
      </c>
      <c r="AX88">
        <v>0</v>
      </c>
      <c r="AY88">
        <v>0</v>
      </c>
      <c r="AZ88">
        <v>0</v>
      </c>
      <c r="BA88">
        <v>0</v>
      </c>
      <c r="BB88">
        <v>0</v>
      </c>
      <c r="BC88">
        <v>0</v>
      </c>
      <c r="BD88">
        <v>0</v>
      </c>
      <c r="BE88">
        <v>0</v>
      </c>
      <c r="BF88">
        <v>0</v>
      </c>
      <c r="BG88">
        <v>0</v>
      </c>
      <c r="BH88">
        <v>2</v>
      </c>
      <c r="BI88">
        <v>3</v>
      </c>
      <c r="BJ88">
        <v>1</v>
      </c>
      <c r="BK88">
        <v>1</v>
      </c>
      <c r="BL88">
        <v>6</v>
      </c>
      <c r="BM88">
        <v>2</v>
      </c>
      <c r="BN88">
        <v>1</v>
      </c>
      <c r="BO88">
        <v>3</v>
      </c>
      <c r="BP88">
        <v>0</v>
      </c>
      <c r="BQ88">
        <v>0</v>
      </c>
      <c r="BR88">
        <v>0</v>
      </c>
      <c r="BS88">
        <v>0</v>
      </c>
    </row>
    <row r="89" spans="1:71" x14ac:dyDescent="0.3">
      <c r="A89" t="s">
        <v>401</v>
      </c>
      <c r="B89" t="s">
        <v>402</v>
      </c>
      <c r="C89" t="s">
        <v>29</v>
      </c>
      <c r="D89" t="s">
        <v>29</v>
      </c>
      <c r="E89" t="s">
        <v>29</v>
      </c>
      <c r="F89" t="s">
        <v>403</v>
      </c>
      <c r="G89">
        <v>2018</v>
      </c>
      <c r="H89">
        <v>2018</v>
      </c>
      <c r="I89">
        <v>29</v>
      </c>
      <c r="J89">
        <v>1</v>
      </c>
      <c r="K89" t="s">
        <v>29</v>
      </c>
      <c r="L89" t="s">
        <v>29</v>
      </c>
      <c r="M89" t="s">
        <v>29</v>
      </c>
      <c r="N89">
        <v>147</v>
      </c>
      <c r="O89">
        <v>163</v>
      </c>
      <c r="P89" t="s">
        <v>29</v>
      </c>
      <c r="Q89" t="s">
        <v>404</v>
      </c>
      <c r="R89" t="s">
        <v>29</v>
      </c>
      <c r="S89" t="s">
        <v>29</v>
      </c>
      <c r="T89">
        <v>18</v>
      </c>
      <c r="U89">
        <v>2.57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  <c r="AB89">
        <v>0</v>
      </c>
      <c r="AC89">
        <v>0</v>
      </c>
      <c r="AD89">
        <v>0</v>
      </c>
      <c r="AE89">
        <v>0</v>
      </c>
      <c r="AF89">
        <v>0</v>
      </c>
      <c r="AG89">
        <v>0</v>
      </c>
      <c r="AH89">
        <v>0</v>
      </c>
      <c r="AI89">
        <v>0</v>
      </c>
      <c r="AJ89">
        <v>0</v>
      </c>
      <c r="AK89">
        <v>0</v>
      </c>
      <c r="AL89">
        <v>0</v>
      </c>
      <c r="AM89">
        <v>0</v>
      </c>
      <c r="AN89">
        <v>0</v>
      </c>
      <c r="AO89">
        <v>0</v>
      </c>
      <c r="AP89">
        <v>0</v>
      </c>
      <c r="AQ89">
        <v>0</v>
      </c>
      <c r="AR89">
        <v>0</v>
      </c>
      <c r="AS89">
        <v>0</v>
      </c>
      <c r="AT89">
        <v>0</v>
      </c>
      <c r="AU89">
        <v>0</v>
      </c>
      <c r="AV89">
        <v>0</v>
      </c>
      <c r="AW89">
        <v>0</v>
      </c>
      <c r="AX89">
        <v>0</v>
      </c>
      <c r="AY89">
        <v>0</v>
      </c>
      <c r="AZ89">
        <v>0</v>
      </c>
      <c r="BA89">
        <v>0</v>
      </c>
      <c r="BB89">
        <v>0</v>
      </c>
      <c r="BC89">
        <v>0</v>
      </c>
      <c r="BD89">
        <v>0</v>
      </c>
      <c r="BE89">
        <v>0</v>
      </c>
      <c r="BF89">
        <v>0</v>
      </c>
      <c r="BG89">
        <v>0</v>
      </c>
      <c r="BH89">
        <v>0</v>
      </c>
      <c r="BI89">
        <v>0</v>
      </c>
      <c r="BJ89">
        <v>0</v>
      </c>
      <c r="BK89">
        <v>0</v>
      </c>
      <c r="BL89">
        <v>0</v>
      </c>
      <c r="BM89">
        <v>1</v>
      </c>
      <c r="BN89">
        <v>2</v>
      </c>
      <c r="BO89">
        <v>2</v>
      </c>
      <c r="BP89">
        <v>6</v>
      </c>
      <c r="BQ89">
        <v>2</v>
      </c>
      <c r="BR89">
        <v>2</v>
      </c>
      <c r="BS89">
        <v>3</v>
      </c>
    </row>
    <row r="90" spans="1:71" x14ac:dyDescent="0.3">
      <c r="A90" t="s">
        <v>405</v>
      </c>
      <c r="B90" t="s">
        <v>406</v>
      </c>
      <c r="C90" t="s">
        <v>29</v>
      </c>
      <c r="D90" t="s">
        <v>29</v>
      </c>
      <c r="E90" t="s">
        <v>29</v>
      </c>
      <c r="F90" t="s">
        <v>407</v>
      </c>
      <c r="G90" t="s">
        <v>352</v>
      </c>
      <c r="H90">
        <v>2016</v>
      </c>
      <c r="I90">
        <v>16</v>
      </c>
      <c r="J90">
        <v>2</v>
      </c>
      <c r="K90" t="s">
        <v>29</v>
      </c>
      <c r="L90" t="s">
        <v>29</v>
      </c>
      <c r="M90" t="s">
        <v>29</v>
      </c>
      <c r="N90" t="s">
        <v>29</v>
      </c>
      <c r="O90" t="s">
        <v>29</v>
      </c>
      <c r="P90">
        <v>5</v>
      </c>
      <c r="Q90" t="s">
        <v>408</v>
      </c>
      <c r="R90" t="s">
        <v>29</v>
      </c>
      <c r="S90" t="s">
        <v>29</v>
      </c>
      <c r="T90">
        <v>18</v>
      </c>
      <c r="U90">
        <v>2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  <c r="AB90">
        <v>0</v>
      </c>
      <c r="AC90">
        <v>0</v>
      </c>
      <c r="AD90">
        <v>0</v>
      </c>
      <c r="AE90">
        <v>0</v>
      </c>
      <c r="AF90">
        <v>0</v>
      </c>
      <c r="AG90">
        <v>0</v>
      </c>
      <c r="AH90">
        <v>0</v>
      </c>
      <c r="AI90">
        <v>0</v>
      </c>
      <c r="AJ90">
        <v>0</v>
      </c>
      <c r="AK90">
        <v>0</v>
      </c>
      <c r="AL90">
        <v>0</v>
      </c>
      <c r="AM90">
        <v>0</v>
      </c>
      <c r="AN90">
        <v>0</v>
      </c>
      <c r="AO90">
        <v>0</v>
      </c>
      <c r="AP90">
        <v>0</v>
      </c>
      <c r="AQ90">
        <v>0</v>
      </c>
      <c r="AR90">
        <v>0</v>
      </c>
      <c r="AS90">
        <v>0</v>
      </c>
      <c r="AT90">
        <v>0</v>
      </c>
      <c r="AU90">
        <v>0</v>
      </c>
      <c r="AV90">
        <v>0</v>
      </c>
      <c r="AW90">
        <v>0</v>
      </c>
      <c r="AX90">
        <v>0</v>
      </c>
      <c r="AY90">
        <v>0</v>
      </c>
      <c r="AZ90">
        <v>0</v>
      </c>
      <c r="BA90">
        <v>0</v>
      </c>
      <c r="BB90">
        <v>0</v>
      </c>
      <c r="BC90">
        <v>0</v>
      </c>
      <c r="BD90">
        <v>0</v>
      </c>
      <c r="BE90">
        <v>0</v>
      </c>
      <c r="BF90">
        <v>0</v>
      </c>
      <c r="BG90">
        <v>0</v>
      </c>
      <c r="BH90">
        <v>0</v>
      </c>
      <c r="BI90">
        <v>0</v>
      </c>
      <c r="BJ90">
        <v>0</v>
      </c>
      <c r="BK90">
        <v>0</v>
      </c>
      <c r="BL90">
        <v>0</v>
      </c>
      <c r="BM90">
        <v>2</v>
      </c>
      <c r="BN90">
        <v>3</v>
      </c>
      <c r="BO90">
        <v>2</v>
      </c>
      <c r="BP90">
        <v>3</v>
      </c>
      <c r="BQ90">
        <v>1</v>
      </c>
      <c r="BR90">
        <v>4</v>
      </c>
      <c r="BS90">
        <v>3</v>
      </c>
    </row>
    <row r="91" spans="1:71" x14ac:dyDescent="0.3">
      <c r="A91" t="s">
        <v>409</v>
      </c>
      <c r="B91" t="s">
        <v>410</v>
      </c>
      <c r="C91" t="s">
        <v>29</v>
      </c>
      <c r="D91" t="s">
        <v>29</v>
      </c>
      <c r="E91" t="s">
        <v>29</v>
      </c>
      <c r="F91" t="s">
        <v>411</v>
      </c>
      <c r="G91">
        <v>2009</v>
      </c>
      <c r="H91">
        <v>2009</v>
      </c>
      <c r="I91">
        <v>111</v>
      </c>
      <c r="J91">
        <v>3</v>
      </c>
      <c r="K91" t="s">
        <v>29</v>
      </c>
      <c r="L91" t="s">
        <v>29</v>
      </c>
      <c r="M91" t="s">
        <v>29</v>
      </c>
      <c r="N91">
        <v>487</v>
      </c>
      <c r="O91">
        <v>510</v>
      </c>
      <c r="P91" t="s">
        <v>29</v>
      </c>
      <c r="Q91" t="s">
        <v>412</v>
      </c>
      <c r="R91" t="s">
        <v>29</v>
      </c>
      <c r="S91" t="s">
        <v>29</v>
      </c>
      <c r="T91">
        <v>18</v>
      </c>
      <c r="U91">
        <v>1.1299999999999999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  <c r="AB91">
        <v>0</v>
      </c>
      <c r="AC91">
        <v>0</v>
      </c>
      <c r="AD91">
        <v>0</v>
      </c>
      <c r="AE91">
        <v>0</v>
      </c>
      <c r="AF91">
        <v>0</v>
      </c>
      <c r="AG91">
        <v>0</v>
      </c>
      <c r="AH91">
        <v>0</v>
      </c>
      <c r="AI91">
        <v>0</v>
      </c>
      <c r="AJ91">
        <v>0</v>
      </c>
      <c r="AK91">
        <v>0</v>
      </c>
      <c r="AL91">
        <v>0</v>
      </c>
      <c r="AM91">
        <v>0</v>
      </c>
      <c r="AN91">
        <v>0</v>
      </c>
      <c r="AO91">
        <v>0</v>
      </c>
      <c r="AP91">
        <v>0</v>
      </c>
      <c r="AQ91">
        <v>0</v>
      </c>
      <c r="AR91">
        <v>0</v>
      </c>
      <c r="AS91">
        <v>0</v>
      </c>
      <c r="AT91">
        <v>0</v>
      </c>
      <c r="AU91">
        <v>0</v>
      </c>
      <c r="AV91">
        <v>0</v>
      </c>
      <c r="AW91">
        <v>0</v>
      </c>
      <c r="AX91">
        <v>0</v>
      </c>
      <c r="AY91">
        <v>0</v>
      </c>
      <c r="AZ91">
        <v>0</v>
      </c>
      <c r="BA91">
        <v>0</v>
      </c>
      <c r="BB91">
        <v>0</v>
      </c>
      <c r="BC91">
        <v>0</v>
      </c>
      <c r="BD91">
        <v>0</v>
      </c>
      <c r="BE91">
        <v>0</v>
      </c>
      <c r="BF91">
        <v>1</v>
      </c>
      <c r="BG91">
        <v>0</v>
      </c>
      <c r="BH91">
        <v>3</v>
      </c>
      <c r="BI91">
        <v>2</v>
      </c>
      <c r="BJ91">
        <v>2</v>
      </c>
      <c r="BK91">
        <v>1</v>
      </c>
      <c r="BL91">
        <v>0</v>
      </c>
      <c r="BM91">
        <v>0</v>
      </c>
      <c r="BN91">
        <v>1</v>
      </c>
      <c r="BO91">
        <v>3</v>
      </c>
      <c r="BP91">
        <v>0</v>
      </c>
      <c r="BQ91">
        <v>1</v>
      </c>
      <c r="BR91">
        <v>1</v>
      </c>
      <c r="BS91">
        <v>3</v>
      </c>
    </row>
    <row r="92" spans="1:71" x14ac:dyDescent="0.3">
      <c r="A92" t="s">
        <v>413</v>
      </c>
      <c r="B92" t="s">
        <v>414</v>
      </c>
      <c r="C92" t="s">
        <v>29</v>
      </c>
      <c r="D92" t="s">
        <v>29</v>
      </c>
      <c r="E92" t="s">
        <v>29</v>
      </c>
      <c r="F92" t="s">
        <v>43</v>
      </c>
      <c r="G92" t="s">
        <v>237</v>
      </c>
      <c r="H92">
        <v>2021</v>
      </c>
      <c r="I92">
        <v>67</v>
      </c>
      <c r="J92">
        <v>7</v>
      </c>
      <c r="K92" t="s">
        <v>29</v>
      </c>
      <c r="L92" t="s">
        <v>29</v>
      </c>
      <c r="M92" t="s">
        <v>29</v>
      </c>
      <c r="N92">
        <v>4362</v>
      </c>
      <c r="O92">
        <v>4383</v>
      </c>
      <c r="P92" t="s">
        <v>29</v>
      </c>
      <c r="Q92" t="s">
        <v>415</v>
      </c>
      <c r="R92" t="s">
        <v>29</v>
      </c>
      <c r="S92" t="s">
        <v>29</v>
      </c>
      <c r="T92">
        <v>17</v>
      </c>
      <c r="U92">
        <v>4.25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  <c r="AB92">
        <v>0</v>
      </c>
      <c r="AC92">
        <v>0</v>
      </c>
      <c r="AD92">
        <v>0</v>
      </c>
      <c r="AE92">
        <v>0</v>
      </c>
      <c r="AF92">
        <v>0</v>
      </c>
      <c r="AG92">
        <v>0</v>
      </c>
      <c r="AH92">
        <v>0</v>
      </c>
      <c r="AI92">
        <v>0</v>
      </c>
      <c r="AJ92">
        <v>0</v>
      </c>
      <c r="AK92">
        <v>0</v>
      </c>
      <c r="AL92">
        <v>0</v>
      </c>
      <c r="AM92">
        <v>0</v>
      </c>
      <c r="AN92">
        <v>0</v>
      </c>
      <c r="AO92">
        <v>0</v>
      </c>
      <c r="AP92">
        <v>0</v>
      </c>
      <c r="AQ92">
        <v>0</v>
      </c>
      <c r="AR92">
        <v>0</v>
      </c>
      <c r="AS92">
        <v>0</v>
      </c>
      <c r="AT92">
        <v>0</v>
      </c>
      <c r="AU92">
        <v>0</v>
      </c>
      <c r="AV92">
        <v>0</v>
      </c>
      <c r="AW92">
        <v>0</v>
      </c>
      <c r="AX92">
        <v>0</v>
      </c>
      <c r="AY92">
        <v>0</v>
      </c>
      <c r="AZ92">
        <v>0</v>
      </c>
      <c r="BA92">
        <v>0</v>
      </c>
      <c r="BB92">
        <v>0</v>
      </c>
      <c r="BC92">
        <v>0</v>
      </c>
      <c r="BD92">
        <v>0</v>
      </c>
      <c r="BE92">
        <v>0</v>
      </c>
      <c r="BF92">
        <v>0</v>
      </c>
      <c r="BG92">
        <v>0</v>
      </c>
      <c r="BH92">
        <v>0</v>
      </c>
      <c r="BI92">
        <v>0</v>
      </c>
      <c r="BJ92">
        <v>0</v>
      </c>
      <c r="BK92">
        <v>0</v>
      </c>
      <c r="BL92">
        <v>0</v>
      </c>
      <c r="BM92">
        <v>0</v>
      </c>
      <c r="BN92">
        <v>0</v>
      </c>
      <c r="BO92">
        <v>0</v>
      </c>
      <c r="BP92">
        <v>0</v>
      </c>
      <c r="BQ92">
        <v>5</v>
      </c>
      <c r="BR92">
        <v>5</v>
      </c>
      <c r="BS92">
        <v>7</v>
      </c>
    </row>
    <row r="93" spans="1:71" x14ac:dyDescent="0.3">
      <c r="A93" t="s">
        <v>416</v>
      </c>
      <c r="B93" t="s">
        <v>417</v>
      </c>
      <c r="C93" t="s">
        <v>29</v>
      </c>
      <c r="D93" t="s">
        <v>29</v>
      </c>
      <c r="E93" t="s">
        <v>29</v>
      </c>
      <c r="F93" t="s">
        <v>167</v>
      </c>
      <c r="G93" t="s">
        <v>418</v>
      </c>
      <c r="H93">
        <v>2021</v>
      </c>
      <c r="I93">
        <v>29</v>
      </c>
      <c r="J93">
        <v>1</v>
      </c>
      <c r="K93" t="s">
        <v>29</v>
      </c>
      <c r="L93" t="s">
        <v>29</v>
      </c>
      <c r="M93" t="s">
        <v>29</v>
      </c>
      <c r="N93">
        <v>164</v>
      </c>
      <c r="O93">
        <v>180</v>
      </c>
      <c r="P93">
        <v>1069072720943838</v>
      </c>
      <c r="Q93" t="s">
        <v>419</v>
      </c>
      <c r="R93" t="s">
        <v>29</v>
      </c>
      <c r="S93" t="s">
        <v>29</v>
      </c>
      <c r="T93">
        <v>17</v>
      </c>
      <c r="U93">
        <v>3.4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  <c r="AB93">
        <v>0</v>
      </c>
      <c r="AC93">
        <v>0</v>
      </c>
      <c r="AD93">
        <v>0</v>
      </c>
      <c r="AE93">
        <v>0</v>
      </c>
      <c r="AF93">
        <v>0</v>
      </c>
      <c r="AG93">
        <v>0</v>
      </c>
      <c r="AH93">
        <v>0</v>
      </c>
      <c r="AI93">
        <v>0</v>
      </c>
      <c r="AJ93">
        <v>0</v>
      </c>
      <c r="AK93">
        <v>0</v>
      </c>
      <c r="AL93">
        <v>0</v>
      </c>
      <c r="AM93">
        <v>0</v>
      </c>
      <c r="AN93">
        <v>0</v>
      </c>
      <c r="AO93">
        <v>0</v>
      </c>
      <c r="AP93">
        <v>0</v>
      </c>
      <c r="AQ93">
        <v>0</v>
      </c>
      <c r="AR93">
        <v>0</v>
      </c>
      <c r="AS93">
        <v>0</v>
      </c>
      <c r="AT93">
        <v>0</v>
      </c>
      <c r="AU93">
        <v>0</v>
      </c>
      <c r="AV93">
        <v>0</v>
      </c>
      <c r="AW93">
        <v>0</v>
      </c>
      <c r="AX93">
        <v>0</v>
      </c>
      <c r="AY93">
        <v>0</v>
      </c>
      <c r="AZ93">
        <v>0</v>
      </c>
      <c r="BA93">
        <v>0</v>
      </c>
      <c r="BB93">
        <v>0</v>
      </c>
      <c r="BC93">
        <v>0</v>
      </c>
      <c r="BD93">
        <v>0</v>
      </c>
      <c r="BE93">
        <v>0</v>
      </c>
      <c r="BF93">
        <v>0</v>
      </c>
      <c r="BG93">
        <v>0</v>
      </c>
      <c r="BH93">
        <v>0</v>
      </c>
      <c r="BI93">
        <v>0</v>
      </c>
      <c r="BJ93">
        <v>0</v>
      </c>
      <c r="BK93">
        <v>0</v>
      </c>
      <c r="BL93">
        <v>0</v>
      </c>
      <c r="BM93">
        <v>0</v>
      </c>
      <c r="BN93">
        <v>0</v>
      </c>
      <c r="BO93">
        <v>0</v>
      </c>
      <c r="BP93">
        <v>1</v>
      </c>
      <c r="BQ93">
        <v>4</v>
      </c>
      <c r="BR93">
        <v>3</v>
      </c>
      <c r="BS93">
        <v>9</v>
      </c>
    </row>
    <row r="94" spans="1:71" x14ac:dyDescent="0.3">
      <c r="A94" t="s">
        <v>420</v>
      </c>
      <c r="B94" t="s">
        <v>421</v>
      </c>
      <c r="C94" t="s">
        <v>29</v>
      </c>
      <c r="D94" t="s">
        <v>29</v>
      </c>
      <c r="E94" t="s">
        <v>29</v>
      </c>
      <c r="F94" t="s">
        <v>422</v>
      </c>
      <c r="G94" t="s">
        <v>64</v>
      </c>
      <c r="H94">
        <v>2019</v>
      </c>
      <c r="I94">
        <v>17</v>
      </c>
      <c r="J94">
        <v>3</v>
      </c>
      <c r="K94" t="s">
        <v>29</v>
      </c>
      <c r="L94" t="s">
        <v>29</v>
      </c>
      <c r="M94" t="s">
        <v>29</v>
      </c>
      <c r="N94">
        <v>337</v>
      </c>
      <c r="O94">
        <v>357</v>
      </c>
      <c r="P94" t="s">
        <v>29</v>
      </c>
      <c r="Q94" t="s">
        <v>423</v>
      </c>
      <c r="R94" t="s">
        <v>29</v>
      </c>
      <c r="S94" t="s">
        <v>29</v>
      </c>
      <c r="T94">
        <v>17</v>
      </c>
      <c r="U94">
        <v>2.83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  <c r="AB94">
        <v>0</v>
      </c>
      <c r="AC94">
        <v>0</v>
      </c>
      <c r="AD94">
        <v>0</v>
      </c>
      <c r="AE94">
        <v>0</v>
      </c>
      <c r="AF94">
        <v>0</v>
      </c>
      <c r="AG94">
        <v>0</v>
      </c>
      <c r="AH94">
        <v>0</v>
      </c>
      <c r="AI94">
        <v>0</v>
      </c>
      <c r="AJ94">
        <v>0</v>
      </c>
      <c r="AK94">
        <v>0</v>
      </c>
      <c r="AL94">
        <v>0</v>
      </c>
      <c r="AM94">
        <v>0</v>
      </c>
      <c r="AN94">
        <v>0</v>
      </c>
      <c r="AO94">
        <v>0</v>
      </c>
      <c r="AP94">
        <v>0</v>
      </c>
      <c r="AQ94">
        <v>0</v>
      </c>
      <c r="AR94">
        <v>0</v>
      </c>
      <c r="AS94">
        <v>0</v>
      </c>
      <c r="AT94">
        <v>0</v>
      </c>
      <c r="AU94">
        <v>0</v>
      </c>
      <c r="AV94">
        <v>0</v>
      </c>
      <c r="AW94">
        <v>0</v>
      </c>
      <c r="AX94">
        <v>0</v>
      </c>
      <c r="AY94">
        <v>0</v>
      </c>
      <c r="AZ94">
        <v>0</v>
      </c>
      <c r="BA94">
        <v>0</v>
      </c>
      <c r="BB94">
        <v>0</v>
      </c>
      <c r="BC94">
        <v>0</v>
      </c>
      <c r="BD94">
        <v>0</v>
      </c>
      <c r="BE94">
        <v>0</v>
      </c>
      <c r="BF94">
        <v>0</v>
      </c>
      <c r="BG94">
        <v>0</v>
      </c>
      <c r="BH94">
        <v>0</v>
      </c>
      <c r="BI94">
        <v>0</v>
      </c>
      <c r="BJ94">
        <v>0</v>
      </c>
      <c r="BK94">
        <v>0</v>
      </c>
      <c r="BL94">
        <v>0</v>
      </c>
      <c r="BM94">
        <v>0</v>
      </c>
      <c r="BN94">
        <v>1</v>
      </c>
      <c r="BO94">
        <v>2</v>
      </c>
      <c r="BP94">
        <v>5</v>
      </c>
      <c r="BQ94">
        <v>2</v>
      </c>
      <c r="BR94">
        <v>3</v>
      </c>
      <c r="BS94">
        <v>4</v>
      </c>
    </row>
    <row r="95" spans="1:71" x14ac:dyDescent="0.3">
      <c r="A95" t="s">
        <v>424</v>
      </c>
      <c r="B95" t="s">
        <v>425</v>
      </c>
      <c r="C95" t="s">
        <v>29</v>
      </c>
      <c r="D95" t="s">
        <v>29</v>
      </c>
      <c r="E95" t="s">
        <v>29</v>
      </c>
      <c r="F95" t="s">
        <v>426</v>
      </c>
      <c r="G95">
        <v>2017</v>
      </c>
      <c r="H95">
        <v>2017</v>
      </c>
      <c r="I95">
        <v>36</v>
      </c>
      <c r="J95">
        <v>6</v>
      </c>
      <c r="K95" t="s">
        <v>29</v>
      </c>
      <c r="L95" t="s">
        <v>29</v>
      </c>
      <c r="M95" t="s">
        <v>29</v>
      </c>
      <c r="N95">
        <v>801</v>
      </c>
      <c r="O95">
        <v>816</v>
      </c>
      <c r="P95" t="s">
        <v>29</v>
      </c>
      <c r="Q95" t="s">
        <v>427</v>
      </c>
      <c r="R95" t="s">
        <v>29</v>
      </c>
      <c r="S95" t="s">
        <v>29</v>
      </c>
      <c r="T95">
        <v>17</v>
      </c>
      <c r="U95">
        <v>2.13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  <c r="AB95">
        <v>0</v>
      </c>
      <c r="AC95">
        <v>0</v>
      </c>
      <c r="AD95">
        <v>0</v>
      </c>
      <c r="AE95">
        <v>0</v>
      </c>
      <c r="AF95">
        <v>0</v>
      </c>
      <c r="AG95">
        <v>0</v>
      </c>
      <c r="AH95">
        <v>0</v>
      </c>
      <c r="AI95">
        <v>0</v>
      </c>
      <c r="AJ95">
        <v>0</v>
      </c>
      <c r="AK95">
        <v>0</v>
      </c>
      <c r="AL95">
        <v>0</v>
      </c>
      <c r="AM95">
        <v>0</v>
      </c>
      <c r="AN95">
        <v>0</v>
      </c>
      <c r="AO95">
        <v>0</v>
      </c>
      <c r="AP95">
        <v>0</v>
      </c>
      <c r="AQ95">
        <v>0</v>
      </c>
      <c r="AR95">
        <v>0</v>
      </c>
      <c r="AS95">
        <v>0</v>
      </c>
      <c r="AT95">
        <v>0</v>
      </c>
      <c r="AU95">
        <v>0</v>
      </c>
      <c r="AV95">
        <v>0</v>
      </c>
      <c r="AW95">
        <v>0</v>
      </c>
      <c r="AX95">
        <v>0</v>
      </c>
      <c r="AY95">
        <v>0</v>
      </c>
      <c r="AZ95">
        <v>0</v>
      </c>
      <c r="BA95">
        <v>0</v>
      </c>
      <c r="BB95">
        <v>0</v>
      </c>
      <c r="BC95">
        <v>0</v>
      </c>
      <c r="BD95">
        <v>0</v>
      </c>
      <c r="BE95">
        <v>0</v>
      </c>
      <c r="BF95">
        <v>0</v>
      </c>
      <c r="BG95">
        <v>0</v>
      </c>
      <c r="BH95">
        <v>0</v>
      </c>
      <c r="BI95">
        <v>0</v>
      </c>
      <c r="BJ95">
        <v>0</v>
      </c>
      <c r="BK95">
        <v>0</v>
      </c>
      <c r="BL95">
        <v>0</v>
      </c>
      <c r="BM95">
        <v>1</v>
      </c>
      <c r="BN95">
        <v>4</v>
      </c>
      <c r="BO95">
        <v>4</v>
      </c>
      <c r="BP95">
        <v>3</v>
      </c>
      <c r="BQ95">
        <v>2</v>
      </c>
      <c r="BR95">
        <v>1</v>
      </c>
      <c r="BS95">
        <v>2</v>
      </c>
    </row>
    <row r="96" spans="1:71" x14ac:dyDescent="0.3">
      <c r="A96" t="s">
        <v>428</v>
      </c>
      <c r="B96" t="s">
        <v>429</v>
      </c>
      <c r="C96" t="s">
        <v>29</v>
      </c>
      <c r="D96" t="s">
        <v>29</v>
      </c>
      <c r="E96" t="s">
        <v>29</v>
      </c>
      <c r="F96" t="s">
        <v>430</v>
      </c>
      <c r="G96" t="s">
        <v>431</v>
      </c>
      <c r="H96">
        <v>2015</v>
      </c>
      <c r="I96">
        <v>52</v>
      </c>
      <c r="J96">
        <v>4</v>
      </c>
      <c r="K96" t="s">
        <v>29</v>
      </c>
      <c r="L96" t="s">
        <v>29</v>
      </c>
      <c r="M96" t="s">
        <v>29</v>
      </c>
      <c r="N96">
        <v>343</v>
      </c>
      <c r="O96">
        <v>376</v>
      </c>
      <c r="P96" t="s">
        <v>29</v>
      </c>
      <c r="Q96" t="s">
        <v>432</v>
      </c>
      <c r="R96" t="s">
        <v>29</v>
      </c>
      <c r="S96" t="s">
        <v>29</v>
      </c>
      <c r="T96">
        <v>17</v>
      </c>
      <c r="U96">
        <v>1.7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  <c r="AB96">
        <v>0</v>
      </c>
      <c r="AC96">
        <v>0</v>
      </c>
      <c r="AD96">
        <v>0</v>
      </c>
      <c r="AE96">
        <v>0</v>
      </c>
      <c r="AF96">
        <v>0</v>
      </c>
      <c r="AG96">
        <v>0</v>
      </c>
      <c r="AH96">
        <v>0</v>
      </c>
      <c r="AI96">
        <v>0</v>
      </c>
      <c r="AJ96">
        <v>0</v>
      </c>
      <c r="AK96">
        <v>0</v>
      </c>
      <c r="AL96">
        <v>0</v>
      </c>
      <c r="AM96">
        <v>0</v>
      </c>
      <c r="AN96">
        <v>0</v>
      </c>
      <c r="AO96">
        <v>0</v>
      </c>
      <c r="AP96">
        <v>0</v>
      </c>
      <c r="AQ96">
        <v>0</v>
      </c>
      <c r="AR96">
        <v>0</v>
      </c>
      <c r="AS96">
        <v>0</v>
      </c>
      <c r="AT96">
        <v>0</v>
      </c>
      <c r="AU96">
        <v>0</v>
      </c>
      <c r="AV96">
        <v>0</v>
      </c>
      <c r="AW96">
        <v>0</v>
      </c>
      <c r="AX96">
        <v>0</v>
      </c>
      <c r="AY96">
        <v>0</v>
      </c>
      <c r="AZ96">
        <v>0</v>
      </c>
      <c r="BA96">
        <v>0</v>
      </c>
      <c r="BB96">
        <v>0</v>
      </c>
      <c r="BC96">
        <v>0</v>
      </c>
      <c r="BD96">
        <v>0</v>
      </c>
      <c r="BE96">
        <v>0</v>
      </c>
      <c r="BF96">
        <v>0</v>
      </c>
      <c r="BG96">
        <v>0</v>
      </c>
      <c r="BH96">
        <v>0</v>
      </c>
      <c r="BI96">
        <v>0</v>
      </c>
      <c r="BJ96">
        <v>0</v>
      </c>
      <c r="BK96">
        <v>1</v>
      </c>
      <c r="BL96">
        <v>0</v>
      </c>
      <c r="BM96">
        <v>3</v>
      </c>
      <c r="BN96">
        <v>1</v>
      </c>
      <c r="BO96">
        <v>2</v>
      </c>
      <c r="BP96">
        <v>2</v>
      </c>
      <c r="BQ96">
        <v>1</v>
      </c>
      <c r="BR96">
        <v>4</v>
      </c>
      <c r="BS96">
        <v>3</v>
      </c>
    </row>
    <row r="97" spans="1:71" x14ac:dyDescent="0.3">
      <c r="A97" t="s">
        <v>433</v>
      </c>
      <c r="B97" t="s">
        <v>434</v>
      </c>
      <c r="C97" t="s">
        <v>29</v>
      </c>
      <c r="D97" t="s">
        <v>29</v>
      </c>
      <c r="E97" t="s">
        <v>29</v>
      </c>
      <c r="F97" t="s">
        <v>435</v>
      </c>
      <c r="G97">
        <v>2014</v>
      </c>
      <c r="H97">
        <v>2014</v>
      </c>
      <c r="I97" t="s">
        <v>29</v>
      </c>
      <c r="J97" t="s">
        <v>29</v>
      </c>
      <c r="K97" t="s">
        <v>29</v>
      </c>
      <c r="L97" t="s">
        <v>29</v>
      </c>
      <c r="M97" t="s">
        <v>29</v>
      </c>
      <c r="N97">
        <v>1069</v>
      </c>
      <c r="O97">
        <v>1076</v>
      </c>
      <c r="P97" t="s">
        <v>29</v>
      </c>
      <c r="Q97" t="s">
        <v>29</v>
      </c>
      <c r="R97" t="s">
        <v>436</v>
      </c>
      <c r="S97" t="s">
        <v>437</v>
      </c>
      <c r="T97">
        <v>17</v>
      </c>
      <c r="U97">
        <v>1.55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  <c r="AB97">
        <v>0</v>
      </c>
      <c r="AC97">
        <v>0</v>
      </c>
      <c r="AD97">
        <v>0</v>
      </c>
      <c r="AE97">
        <v>0</v>
      </c>
      <c r="AF97">
        <v>0</v>
      </c>
      <c r="AG97">
        <v>0</v>
      </c>
      <c r="AH97">
        <v>0</v>
      </c>
      <c r="AI97">
        <v>0</v>
      </c>
      <c r="AJ97">
        <v>0</v>
      </c>
      <c r="AK97">
        <v>0</v>
      </c>
      <c r="AL97">
        <v>0</v>
      </c>
      <c r="AM97">
        <v>0</v>
      </c>
      <c r="AN97">
        <v>0</v>
      </c>
      <c r="AO97">
        <v>0</v>
      </c>
      <c r="AP97">
        <v>0</v>
      </c>
      <c r="AQ97">
        <v>0</v>
      </c>
      <c r="AR97">
        <v>0</v>
      </c>
      <c r="AS97">
        <v>0</v>
      </c>
      <c r="AT97">
        <v>0</v>
      </c>
      <c r="AU97">
        <v>0</v>
      </c>
      <c r="AV97">
        <v>0</v>
      </c>
      <c r="AW97">
        <v>0</v>
      </c>
      <c r="AX97">
        <v>0</v>
      </c>
      <c r="AY97">
        <v>0</v>
      </c>
      <c r="AZ97">
        <v>0</v>
      </c>
      <c r="BA97">
        <v>0</v>
      </c>
      <c r="BB97">
        <v>0</v>
      </c>
      <c r="BC97">
        <v>0</v>
      </c>
      <c r="BD97">
        <v>0</v>
      </c>
      <c r="BE97">
        <v>0</v>
      </c>
      <c r="BF97">
        <v>0</v>
      </c>
      <c r="BG97">
        <v>0</v>
      </c>
      <c r="BH97">
        <v>0</v>
      </c>
      <c r="BI97">
        <v>0</v>
      </c>
      <c r="BJ97">
        <v>1</v>
      </c>
      <c r="BK97">
        <v>2</v>
      </c>
      <c r="BL97">
        <v>2</v>
      </c>
      <c r="BM97">
        <v>3</v>
      </c>
      <c r="BN97">
        <v>3</v>
      </c>
      <c r="BO97">
        <v>3</v>
      </c>
      <c r="BP97">
        <v>0</v>
      </c>
      <c r="BQ97">
        <v>2</v>
      </c>
      <c r="BR97">
        <v>1</v>
      </c>
      <c r="BS97">
        <v>0</v>
      </c>
    </row>
    <row r="98" spans="1:71" x14ac:dyDescent="0.3">
      <c r="A98" t="s">
        <v>438</v>
      </c>
      <c r="B98" t="s">
        <v>439</v>
      </c>
      <c r="C98" t="s">
        <v>29</v>
      </c>
      <c r="D98" t="s">
        <v>29</v>
      </c>
      <c r="E98" t="s">
        <v>29</v>
      </c>
      <c r="F98" t="s">
        <v>440</v>
      </c>
      <c r="G98" t="s">
        <v>441</v>
      </c>
      <c r="H98">
        <v>2021</v>
      </c>
      <c r="I98">
        <v>42</v>
      </c>
      <c r="J98">
        <v>4</v>
      </c>
      <c r="K98" t="s">
        <v>29</v>
      </c>
      <c r="L98" t="s">
        <v>29</v>
      </c>
      <c r="M98" t="s">
        <v>29</v>
      </c>
      <c r="N98">
        <v>937</v>
      </c>
      <c r="O98">
        <v>959</v>
      </c>
      <c r="P98" t="s">
        <v>29</v>
      </c>
      <c r="Q98" t="s">
        <v>442</v>
      </c>
      <c r="R98" t="s">
        <v>29</v>
      </c>
      <c r="S98" t="s">
        <v>29</v>
      </c>
      <c r="T98">
        <v>16</v>
      </c>
      <c r="U98">
        <v>4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  <c r="AB98">
        <v>0</v>
      </c>
      <c r="AC98">
        <v>0</v>
      </c>
      <c r="AD98">
        <v>0</v>
      </c>
      <c r="AE98">
        <v>0</v>
      </c>
      <c r="AF98">
        <v>0</v>
      </c>
      <c r="AG98">
        <v>0</v>
      </c>
      <c r="AH98">
        <v>0</v>
      </c>
      <c r="AI98">
        <v>0</v>
      </c>
      <c r="AJ98">
        <v>0</v>
      </c>
      <c r="AK98">
        <v>0</v>
      </c>
      <c r="AL98">
        <v>0</v>
      </c>
      <c r="AM98">
        <v>0</v>
      </c>
      <c r="AN98">
        <v>0</v>
      </c>
      <c r="AO98">
        <v>0</v>
      </c>
      <c r="AP98">
        <v>0</v>
      </c>
      <c r="AQ98">
        <v>0</v>
      </c>
      <c r="AR98">
        <v>0</v>
      </c>
      <c r="AS98">
        <v>0</v>
      </c>
      <c r="AT98">
        <v>0</v>
      </c>
      <c r="AU98">
        <v>0</v>
      </c>
      <c r="AV98">
        <v>0</v>
      </c>
      <c r="AW98">
        <v>0</v>
      </c>
      <c r="AX98">
        <v>0</v>
      </c>
      <c r="AY98">
        <v>0</v>
      </c>
      <c r="AZ98">
        <v>0</v>
      </c>
      <c r="BA98">
        <v>0</v>
      </c>
      <c r="BB98">
        <v>0</v>
      </c>
      <c r="BC98">
        <v>0</v>
      </c>
      <c r="BD98">
        <v>0</v>
      </c>
      <c r="BE98">
        <v>0</v>
      </c>
      <c r="BF98">
        <v>0</v>
      </c>
      <c r="BG98">
        <v>0</v>
      </c>
      <c r="BH98">
        <v>0</v>
      </c>
      <c r="BI98">
        <v>0</v>
      </c>
      <c r="BJ98">
        <v>0</v>
      </c>
      <c r="BK98">
        <v>0</v>
      </c>
      <c r="BL98">
        <v>0</v>
      </c>
      <c r="BM98">
        <v>0</v>
      </c>
      <c r="BN98">
        <v>0</v>
      </c>
      <c r="BO98">
        <v>3</v>
      </c>
      <c r="BP98">
        <v>5</v>
      </c>
      <c r="BQ98">
        <v>2</v>
      </c>
      <c r="BR98">
        <v>4</v>
      </c>
      <c r="BS98">
        <v>2</v>
      </c>
    </row>
    <row r="99" spans="1:71" x14ac:dyDescent="0.3">
      <c r="A99" t="s">
        <v>443</v>
      </c>
      <c r="B99" t="s">
        <v>444</v>
      </c>
      <c r="C99" t="s">
        <v>29</v>
      </c>
      <c r="D99" t="s">
        <v>29</v>
      </c>
      <c r="E99" t="s">
        <v>29</v>
      </c>
      <c r="F99" t="s">
        <v>445</v>
      </c>
      <c r="G99" t="s">
        <v>446</v>
      </c>
      <c r="H99">
        <v>2020</v>
      </c>
      <c r="I99">
        <v>51</v>
      </c>
      <c r="J99">
        <v>2</v>
      </c>
      <c r="K99" t="s">
        <v>29</v>
      </c>
      <c r="L99" t="s">
        <v>29</v>
      </c>
      <c r="M99" t="s">
        <v>29</v>
      </c>
      <c r="N99">
        <v>154</v>
      </c>
      <c r="O99">
        <v>164</v>
      </c>
      <c r="P99">
        <v>8756972819896697</v>
      </c>
      <c r="Q99" t="s">
        <v>447</v>
      </c>
      <c r="R99" t="s">
        <v>29</v>
      </c>
      <c r="S99" t="s">
        <v>29</v>
      </c>
      <c r="T99">
        <v>16</v>
      </c>
      <c r="U99">
        <v>3.2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  <c r="AB99">
        <v>0</v>
      </c>
      <c r="AC99">
        <v>0</v>
      </c>
      <c r="AD99">
        <v>0</v>
      </c>
      <c r="AE99">
        <v>0</v>
      </c>
      <c r="AF99">
        <v>0</v>
      </c>
      <c r="AG99">
        <v>0</v>
      </c>
      <c r="AH99">
        <v>0</v>
      </c>
      <c r="AI99">
        <v>0</v>
      </c>
      <c r="AJ99">
        <v>0</v>
      </c>
      <c r="AK99">
        <v>0</v>
      </c>
      <c r="AL99">
        <v>0</v>
      </c>
      <c r="AM99">
        <v>0</v>
      </c>
      <c r="AN99">
        <v>0</v>
      </c>
      <c r="AO99">
        <v>0</v>
      </c>
      <c r="AP99">
        <v>0</v>
      </c>
      <c r="AQ99">
        <v>0</v>
      </c>
      <c r="AR99">
        <v>0</v>
      </c>
      <c r="AS99">
        <v>0</v>
      </c>
      <c r="AT99">
        <v>0</v>
      </c>
      <c r="AU99">
        <v>0</v>
      </c>
      <c r="AV99">
        <v>0</v>
      </c>
      <c r="AW99">
        <v>0</v>
      </c>
      <c r="AX99">
        <v>0</v>
      </c>
      <c r="AY99">
        <v>0</v>
      </c>
      <c r="AZ99">
        <v>0</v>
      </c>
      <c r="BA99">
        <v>0</v>
      </c>
      <c r="BB99">
        <v>0</v>
      </c>
      <c r="BC99">
        <v>0</v>
      </c>
      <c r="BD99">
        <v>0</v>
      </c>
      <c r="BE99">
        <v>0</v>
      </c>
      <c r="BF99">
        <v>0</v>
      </c>
      <c r="BG99">
        <v>0</v>
      </c>
      <c r="BH99">
        <v>0</v>
      </c>
      <c r="BI99">
        <v>0</v>
      </c>
      <c r="BJ99">
        <v>0</v>
      </c>
      <c r="BK99">
        <v>0</v>
      </c>
      <c r="BL99">
        <v>0</v>
      </c>
      <c r="BM99">
        <v>0</v>
      </c>
      <c r="BN99">
        <v>0</v>
      </c>
      <c r="BO99">
        <v>1</v>
      </c>
      <c r="BP99">
        <v>3</v>
      </c>
      <c r="BQ99">
        <v>7</v>
      </c>
      <c r="BR99">
        <v>4</v>
      </c>
      <c r="BS99">
        <v>1</v>
      </c>
    </row>
    <row r="100" spans="1:71" x14ac:dyDescent="0.3">
      <c r="A100" t="s">
        <v>448</v>
      </c>
      <c r="B100" t="s">
        <v>449</v>
      </c>
      <c r="C100" t="s">
        <v>29</v>
      </c>
      <c r="D100" t="s">
        <v>29</v>
      </c>
      <c r="E100" t="s">
        <v>29</v>
      </c>
      <c r="F100" t="s">
        <v>450</v>
      </c>
      <c r="G100" t="s">
        <v>451</v>
      </c>
      <c r="H100">
        <v>2017</v>
      </c>
      <c r="I100">
        <v>32</v>
      </c>
      <c r="J100">
        <v>3</v>
      </c>
      <c r="K100" t="s">
        <v>29</v>
      </c>
      <c r="L100" t="s">
        <v>29</v>
      </c>
      <c r="M100" t="s">
        <v>29</v>
      </c>
      <c r="N100">
        <v>522</v>
      </c>
      <c r="O100">
        <v>543</v>
      </c>
      <c r="P100" t="s">
        <v>29</v>
      </c>
      <c r="Q100" t="s">
        <v>452</v>
      </c>
      <c r="R100" t="s">
        <v>29</v>
      </c>
      <c r="S100" t="s">
        <v>29</v>
      </c>
      <c r="T100">
        <v>16</v>
      </c>
      <c r="U100">
        <v>2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  <c r="AB100">
        <v>0</v>
      </c>
      <c r="AC100">
        <v>0</v>
      </c>
      <c r="AD100">
        <v>0</v>
      </c>
      <c r="AE100">
        <v>0</v>
      </c>
      <c r="AF100">
        <v>0</v>
      </c>
      <c r="AG100">
        <v>0</v>
      </c>
      <c r="AH100">
        <v>0</v>
      </c>
      <c r="AI100">
        <v>0</v>
      </c>
      <c r="AJ100">
        <v>0</v>
      </c>
      <c r="AK100">
        <v>0</v>
      </c>
      <c r="AL100">
        <v>0</v>
      </c>
      <c r="AM100">
        <v>0</v>
      </c>
      <c r="AN100">
        <v>0</v>
      </c>
      <c r="AO100">
        <v>0</v>
      </c>
      <c r="AP100">
        <v>0</v>
      </c>
      <c r="AQ100">
        <v>0</v>
      </c>
      <c r="AR100">
        <v>0</v>
      </c>
      <c r="AS100">
        <v>0</v>
      </c>
      <c r="AT100">
        <v>0</v>
      </c>
      <c r="AU100">
        <v>0</v>
      </c>
      <c r="AV100">
        <v>0</v>
      </c>
      <c r="AW100">
        <v>0</v>
      </c>
      <c r="AX100">
        <v>0</v>
      </c>
      <c r="AY100">
        <v>0</v>
      </c>
      <c r="AZ100">
        <v>0</v>
      </c>
      <c r="BA100">
        <v>0</v>
      </c>
      <c r="BB100">
        <v>0</v>
      </c>
      <c r="BC100">
        <v>0</v>
      </c>
      <c r="BD100">
        <v>0</v>
      </c>
      <c r="BE100">
        <v>0</v>
      </c>
      <c r="BF100">
        <v>0</v>
      </c>
      <c r="BG100">
        <v>0</v>
      </c>
      <c r="BH100">
        <v>0</v>
      </c>
      <c r="BI100">
        <v>0</v>
      </c>
      <c r="BJ100">
        <v>0</v>
      </c>
      <c r="BK100">
        <v>0</v>
      </c>
      <c r="BL100">
        <v>0</v>
      </c>
      <c r="BM100">
        <v>2</v>
      </c>
      <c r="BN100">
        <v>3</v>
      </c>
      <c r="BO100">
        <v>4</v>
      </c>
      <c r="BP100">
        <v>2</v>
      </c>
      <c r="BQ100">
        <v>0</v>
      </c>
      <c r="BR100">
        <v>3</v>
      </c>
      <c r="BS100">
        <v>2</v>
      </c>
    </row>
    <row r="101" spans="1:71" x14ac:dyDescent="0.3">
      <c r="A101" t="s">
        <v>453</v>
      </c>
      <c r="B101" t="s">
        <v>454</v>
      </c>
      <c r="C101" t="s">
        <v>29</v>
      </c>
      <c r="D101" t="s">
        <v>29</v>
      </c>
      <c r="E101" t="s">
        <v>29</v>
      </c>
      <c r="F101" t="s">
        <v>455</v>
      </c>
      <c r="G101" t="s">
        <v>456</v>
      </c>
      <c r="H101">
        <v>2022</v>
      </c>
      <c r="I101">
        <v>11</v>
      </c>
      <c r="J101">
        <v>8</v>
      </c>
      <c r="K101" t="s">
        <v>29</v>
      </c>
      <c r="L101" t="s">
        <v>29</v>
      </c>
      <c r="M101" t="s">
        <v>29</v>
      </c>
      <c r="N101" t="s">
        <v>29</v>
      </c>
      <c r="O101" t="s">
        <v>29</v>
      </c>
      <c r="P101">
        <v>360</v>
      </c>
      <c r="Q101" t="s">
        <v>457</v>
      </c>
      <c r="R101" t="s">
        <v>29</v>
      </c>
      <c r="S101" t="s">
        <v>29</v>
      </c>
      <c r="T101">
        <v>15</v>
      </c>
      <c r="U101">
        <v>5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  <c r="AB101">
        <v>0</v>
      </c>
      <c r="AC101">
        <v>0</v>
      </c>
      <c r="AD101">
        <v>0</v>
      </c>
      <c r="AE101">
        <v>0</v>
      </c>
      <c r="AF101">
        <v>0</v>
      </c>
      <c r="AG101">
        <v>0</v>
      </c>
      <c r="AH101">
        <v>0</v>
      </c>
      <c r="AI101">
        <v>0</v>
      </c>
      <c r="AJ101">
        <v>0</v>
      </c>
      <c r="AK101">
        <v>0</v>
      </c>
      <c r="AL101">
        <v>0</v>
      </c>
      <c r="AM101">
        <v>0</v>
      </c>
      <c r="AN101">
        <v>0</v>
      </c>
      <c r="AO101">
        <v>0</v>
      </c>
      <c r="AP101">
        <v>0</v>
      </c>
      <c r="AQ101">
        <v>0</v>
      </c>
      <c r="AR101">
        <v>0</v>
      </c>
      <c r="AS101">
        <v>0</v>
      </c>
      <c r="AT101">
        <v>0</v>
      </c>
      <c r="AU101">
        <v>0</v>
      </c>
      <c r="AV101">
        <v>0</v>
      </c>
      <c r="AW101">
        <v>0</v>
      </c>
      <c r="AX101">
        <v>0</v>
      </c>
      <c r="AY101">
        <v>0</v>
      </c>
      <c r="AZ101">
        <v>0</v>
      </c>
      <c r="BA101">
        <v>0</v>
      </c>
      <c r="BB101">
        <v>0</v>
      </c>
      <c r="BC101">
        <v>0</v>
      </c>
      <c r="BD101">
        <v>0</v>
      </c>
      <c r="BE101">
        <v>0</v>
      </c>
      <c r="BF101">
        <v>0</v>
      </c>
      <c r="BG101">
        <v>0</v>
      </c>
      <c r="BH101">
        <v>0</v>
      </c>
      <c r="BI101">
        <v>0</v>
      </c>
      <c r="BJ101">
        <v>0</v>
      </c>
      <c r="BK101">
        <v>0</v>
      </c>
      <c r="BL101">
        <v>0</v>
      </c>
      <c r="BM101">
        <v>0</v>
      </c>
      <c r="BN101">
        <v>0</v>
      </c>
      <c r="BO101">
        <v>0</v>
      </c>
      <c r="BP101">
        <v>0</v>
      </c>
      <c r="BQ101">
        <v>2</v>
      </c>
      <c r="BR101">
        <v>6</v>
      </c>
      <c r="BS101">
        <v>7</v>
      </c>
    </row>
    <row r="102" spans="1:71" x14ac:dyDescent="0.3">
      <c r="A102" t="s">
        <v>458</v>
      </c>
      <c r="B102" t="s">
        <v>459</v>
      </c>
      <c r="C102" t="s">
        <v>29</v>
      </c>
      <c r="D102" t="s">
        <v>29</v>
      </c>
      <c r="E102" t="s">
        <v>29</v>
      </c>
      <c r="F102" t="s">
        <v>460</v>
      </c>
      <c r="G102" t="s">
        <v>29</v>
      </c>
      <c r="H102">
        <v>2021</v>
      </c>
      <c r="I102" t="s">
        <v>29</v>
      </c>
      <c r="J102" t="s">
        <v>29</v>
      </c>
      <c r="K102" t="s">
        <v>29</v>
      </c>
      <c r="L102" t="s">
        <v>29</v>
      </c>
      <c r="M102" t="s">
        <v>29</v>
      </c>
      <c r="N102" t="s">
        <v>29</v>
      </c>
      <c r="O102" t="s">
        <v>29</v>
      </c>
      <c r="P102" t="s">
        <v>29</v>
      </c>
      <c r="Q102" t="s">
        <v>461</v>
      </c>
      <c r="R102" t="s">
        <v>29</v>
      </c>
      <c r="S102" t="s">
        <v>29</v>
      </c>
      <c r="T102">
        <v>15</v>
      </c>
      <c r="U102">
        <v>3.75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  <c r="AB102">
        <v>0</v>
      </c>
      <c r="AC102">
        <v>0</v>
      </c>
      <c r="AD102">
        <v>0</v>
      </c>
      <c r="AE102">
        <v>0</v>
      </c>
      <c r="AF102">
        <v>0</v>
      </c>
      <c r="AG102">
        <v>0</v>
      </c>
      <c r="AH102">
        <v>0</v>
      </c>
      <c r="AI102">
        <v>0</v>
      </c>
      <c r="AJ102">
        <v>0</v>
      </c>
      <c r="AK102">
        <v>0</v>
      </c>
      <c r="AL102">
        <v>0</v>
      </c>
      <c r="AM102">
        <v>0</v>
      </c>
      <c r="AN102">
        <v>0</v>
      </c>
      <c r="AO102">
        <v>0</v>
      </c>
      <c r="AP102">
        <v>0</v>
      </c>
      <c r="AQ102">
        <v>0</v>
      </c>
      <c r="AR102">
        <v>0</v>
      </c>
      <c r="AS102">
        <v>0</v>
      </c>
      <c r="AT102">
        <v>0</v>
      </c>
      <c r="AU102">
        <v>0</v>
      </c>
      <c r="AV102">
        <v>0</v>
      </c>
      <c r="AW102">
        <v>0</v>
      </c>
      <c r="AX102">
        <v>0</v>
      </c>
      <c r="AY102">
        <v>0</v>
      </c>
      <c r="AZ102">
        <v>0</v>
      </c>
      <c r="BA102">
        <v>0</v>
      </c>
      <c r="BB102">
        <v>0</v>
      </c>
      <c r="BC102">
        <v>0</v>
      </c>
      <c r="BD102">
        <v>0</v>
      </c>
      <c r="BE102">
        <v>0</v>
      </c>
      <c r="BF102">
        <v>0</v>
      </c>
      <c r="BG102">
        <v>0</v>
      </c>
      <c r="BH102">
        <v>0</v>
      </c>
      <c r="BI102">
        <v>0</v>
      </c>
      <c r="BJ102">
        <v>0</v>
      </c>
      <c r="BK102">
        <v>0</v>
      </c>
      <c r="BL102">
        <v>0</v>
      </c>
      <c r="BM102">
        <v>0</v>
      </c>
      <c r="BN102">
        <v>0</v>
      </c>
      <c r="BO102">
        <v>0</v>
      </c>
      <c r="BP102">
        <v>1</v>
      </c>
      <c r="BQ102">
        <v>3</v>
      </c>
      <c r="BR102">
        <v>7</v>
      </c>
      <c r="BS102">
        <v>4</v>
      </c>
    </row>
    <row r="103" spans="1:71" x14ac:dyDescent="0.3">
      <c r="A103" t="s">
        <v>462</v>
      </c>
      <c r="B103" t="s">
        <v>463</v>
      </c>
      <c r="C103" t="s">
        <v>29</v>
      </c>
      <c r="D103" t="s">
        <v>29</v>
      </c>
      <c r="E103" t="s">
        <v>29</v>
      </c>
      <c r="F103" t="s">
        <v>464</v>
      </c>
      <c r="G103" t="s">
        <v>347</v>
      </c>
      <c r="H103">
        <v>2021</v>
      </c>
      <c r="I103">
        <v>150</v>
      </c>
      <c r="J103" t="s">
        <v>29</v>
      </c>
      <c r="K103" t="s">
        <v>29</v>
      </c>
      <c r="L103" t="s">
        <v>29</v>
      </c>
      <c r="M103" t="s">
        <v>29</v>
      </c>
      <c r="N103" t="s">
        <v>29</v>
      </c>
      <c r="O103" t="s">
        <v>29</v>
      </c>
      <c r="P103">
        <v>104453</v>
      </c>
      <c r="Q103" t="s">
        <v>465</v>
      </c>
      <c r="R103" t="s">
        <v>29</v>
      </c>
      <c r="S103" t="s">
        <v>29</v>
      </c>
      <c r="T103">
        <v>15</v>
      </c>
      <c r="U103">
        <v>3.75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  <c r="AB103">
        <v>0</v>
      </c>
      <c r="AC103">
        <v>0</v>
      </c>
      <c r="AD103">
        <v>0</v>
      </c>
      <c r="AE103">
        <v>0</v>
      </c>
      <c r="AF103">
        <v>0</v>
      </c>
      <c r="AG103">
        <v>0</v>
      </c>
      <c r="AH103">
        <v>0</v>
      </c>
      <c r="AI103">
        <v>0</v>
      </c>
      <c r="AJ103">
        <v>0</v>
      </c>
      <c r="AK103">
        <v>0</v>
      </c>
      <c r="AL103">
        <v>0</v>
      </c>
      <c r="AM103">
        <v>0</v>
      </c>
      <c r="AN103">
        <v>0</v>
      </c>
      <c r="AO103">
        <v>0</v>
      </c>
      <c r="AP103">
        <v>0</v>
      </c>
      <c r="AQ103">
        <v>0</v>
      </c>
      <c r="AR103">
        <v>0</v>
      </c>
      <c r="AS103">
        <v>0</v>
      </c>
      <c r="AT103">
        <v>0</v>
      </c>
      <c r="AU103">
        <v>0</v>
      </c>
      <c r="AV103">
        <v>0</v>
      </c>
      <c r="AW103">
        <v>0</v>
      </c>
      <c r="AX103">
        <v>0</v>
      </c>
      <c r="AY103">
        <v>0</v>
      </c>
      <c r="AZ103">
        <v>0</v>
      </c>
      <c r="BA103">
        <v>0</v>
      </c>
      <c r="BB103">
        <v>0</v>
      </c>
      <c r="BC103">
        <v>0</v>
      </c>
      <c r="BD103">
        <v>0</v>
      </c>
      <c r="BE103">
        <v>0</v>
      </c>
      <c r="BF103">
        <v>0</v>
      </c>
      <c r="BG103">
        <v>0</v>
      </c>
      <c r="BH103">
        <v>0</v>
      </c>
      <c r="BI103">
        <v>0</v>
      </c>
      <c r="BJ103">
        <v>0</v>
      </c>
      <c r="BK103">
        <v>0</v>
      </c>
      <c r="BL103">
        <v>0</v>
      </c>
      <c r="BM103">
        <v>0</v>
      </c>
      <c r="BN103">
        <v>0</v>
      </c>
      <c r="BO103">
        <v>0</v>
      </c>
      <c r="BP103">
        <v>2</v>
      </c>
      <c r="BQ103">
        <v>8</v>
      </c>
      <c r="BR103">
        <v>2</v>
      </c>
      <c r="BS103">
        <v>3</v>
      </c>
    </row>
    <row r="104" spans="1:71" x14ac:dyDescent="0.3">
      <c r="A104" t="s">
        <v>466</v>
      </c>
      <c r="B104" t="s">
        <v>467</v>
      </c>
      <c r="C104" t="s">
        <v>29</v>
      </c>
      <c r="D104" t="s">
        <v>29</v>
      </c>
      <c r="E104" t="s">
        <v>29</v>
      </c>
      <c r="F104" t="s">
        <v>468</v>
      </c>
      <c r="G104">
        <v>2018</v>
      </c>
      <c r="H104">
        <v>2018</v>
      </c>
      <c r="I104">
        <v>44</v>
      </c>
      <c r="J104">
        <v>5</v>
      </c>
      <c r="K104" t="s">
        <v>29</v>
      </c>
      <c r="L104" t="s">
        <v>29</v>
      </c>
      <c r="M104" t="s">
        <v>29</v>
      </c>
      <c r="N104">
        <v>475</v>
      </c>
      <c r="O104">
        <v>484</v>
      </c>
      <c r="P104" t="s">
        <v>29</v>
      </c>
      <c r="Q104" t="s">
        <v>469</v>
      </c>
      <c r="R104" t="s">
        <v>29</v>
      </c>
      <c r="S104" t="s">
        <v>29</v>
      </c>
      <c r="T104">
        <v>15</v>
      </c>
      <c r="U104">
        <v>2.14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  <c r="AB104">
        <v>0</v>
      </c>
      <c r="AC104">
        <v>0</v>
      </c>
      <c r="AD104">
        <v>0</v>
      </c>
      <c r="AE104">
        <v>0</v>
      </c>
      <c r="AF104">
        <v>0</v>
      </c>
      <c r="AG104">
        <v>0</v>
      </c>
      <c r="AH104">
        <v>0</v>
      </c>
      <c r="AI104">
        <v>0</v>
      </c>
      <c r="AJ104">
        <v>0</v>
      </c>
      <c r="AK104">
        <v>0</v>
      </c>
      <c r="AL104">
        <v>0</v>
      </c>
      <c r="AM104">
        <v>0</v>
      </c>
      <c r="AN104">
        <v>0</v>
      </c>
      <c r="AO104">
        <v>0</v>
      </c>
      <c r="AP104">
        <v>0</v>
      </c>
      <c r="AQ104">
        <v>0</v>
      </c>
      <c r="AR104">
        <v>0</v>
      </c>
      <c r="AS104">
        <v>0</v>
      </c>
      <c r="AT104">
        <v>0</v>
      </c>
      <c r="AU104">
        <v>0</v>
      </c>
      <c r="AV104">
        <v>0</v>
      </c>
      <c r="AW104">
        <v>0</v>
      </c>
      <c r="AX104">
        <v>0</v>
      </c>
      <c r="AY104">
        <v>0</v>
      </c>
      <c r="AZ104">
        <v>0</v>
      </c>
      <c r="BA104">
        <v>0</v>
      </c>
      <c r="BB104">
        <v>0</v>
      </c>
      <c r="BC104">
        <v>0</v>
      </c>
      <c r="BD104">
        <v>0</v>
      </c>
      <c r="BE104">
        <v>0</v>
      </c>
      <c r="BF104">
        <v>0</v>
      </c>
      <c r="BG104">
        <v>0</v>
      </c>
      <c r="BH104">
        <v>0</v>
      </c>
      <c r="BI104">
        <v>0</v>
      </c>
      <c r="BJ104">
        <v>0</v>
      </c>
      <c r="BK104">
        <v>0</v>
      </c>
      <c r="BL104">
        <v>0</v>
      </c>
      <c r="BM104">
        <v>1</v>
      </c>
      <c r="BN104">
        <v>0</v>
      </c>
      <c r="BO104">
        <v>2</v>
      </c>
      <c r="BP104">
        <v>5</v>
      </c>
      <c r="BQ104">
        <v>3</v>
      </c>
      <c r="BR104">
        <v>3</v>
      </c>
      <c r="BS104">
        <v>1</v>
      </c>
    </row>
    <row r="105" spans="1:71" x14ac:dyDescent="0.3">
      <c r="A105" t="s">
        <v>470</v>
      </c>
      <c r="B105" t="s">
        <v>471</v>
      </c>
      <c r="C105" t="s">
        <v>29</v>
      </c>
      <c r="D105" t="s">
        <v>29</v>
      </c>
      <c r="E105" t="s">
        <v>29</v>
      </c>
      <c r="F105" t="s">
        <v>472</v>
      </c>
      <c r="G105" t="s">
        <v>473</v>
      </c>
      <c r="H105">
        <v>2011</v>
      </c>
      <c r="I105">
        <v>51</v>
      </c>
      <c r="J105">
        <v>1</v>
      </c>
      <c r="K105" t="s">
        <v>29</v>
      </c>
      <c r="L105" t="s">
        <v>29</v>
      </c>
      <c r="M105" t="s">
        <v>29</v>
      </c>
      <c r="N105">
        <v>5</v>
      </c>
      <c r="O105">
        <v>30</v>
      </c>
      <c r="P105" t="s">
        <v>29</v>
      </c>
      <c r="Q105" t="s">
        <v>474</v>
      </c>
      <c r="R105" t="s">
        <v>29</v>
      </c>
      <c r="S105" t="s">
        <v>29</v>
      </c>
      <c r="T105">
        <v>15</v>
      </c>
      <c r="U105">
        <v>1.07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  <c r="AB105">
        <v>0</v>
      </c>
      <c r="AC105">
        <v>0</v>
      </c>
      <c r="AD105">
        <v>0</v>
      </c>
      <c r="AE105">
        <v>0</v>
      </c>
      <c r="AF105">
        <v>0</v>
      </c>
      <c r="AG105">
        <v>0</v>
      </c>
      <c r="AH105">
        <v>0</v>
      </c>
      <c r="AI105">
        <v>0</v>
      </c>
      <c r="AJ105">
        <v>0</v>
      </c>
      <c r="AK105">
        <v>0</v>
      </c>
      <c r="AL105">
        <v>0</v>
      </c>
      <c r="AM105">
        <v>0</v>
      </c>
      <c r="AN105">
        <v>0</v>
      </c>
      <c r="AO105">
        <v>0</v>
      </c>
      <c r="AP105">
        <v>0</v>
      </c>
      <c r="AQ105">
        <v>0</v>
      </c>
      <c r="AR105">
        <v>0</v>
      </c>
      <c r="AS105">
        <v>0</v>
      </c>
      <c r="AT105">
        <v>0</v>
      </c>
      <c r="AU105">
        <v>0</v>
      </c>
      <c r="AV105">
        <v>0</v>
      </c>
      <c r="AW105">
        <v>0</v>
      </c>
      <c r="AX105">
        <v>0</v>
      </c>
      <c r="AY105">
        <v>0</v>
      </c>
      <c r="AZ105">
        <v>0</v>
      </c>
      <c r="BA105">
        <v>0</v>
      </c>
      <c r="BB105">
        <v>0</v>
      </c>
      <c r="BC105">
        <v>0</v>
      </c>
      <c r="BD105">
        <v>0</v>
      </c>
      <c r="BE105">
        <v>0</v>
      </c>
      <c r="BF105">
        <v>2</v>
      </c>
      <c r="BG105">
        <v>0</v>
      </c>
      <c r="BH105">
        <v>2</v>
      </c>
      <c r="BI105">
        <v>0</v>
      </c>
      <c r="BJ105">
        <v>1</v>
      </c>
      <c r="BK105">
        <v>0</v>
      </c>
      <c r="BL105">
        <v>1</v>
      </c>
      <c r="BM105">
        <v>1</v>
      </c>
      <c r="BN105">
        <v>2</v>
      </c>
      <c r="BO105">
        <v>1</v>
      </c>
      <c r="BP105">
        <v>2</v>
      </c>
      <c r="BQ105">
        <v>2</v>
      </c>
      <c r="BR105">
        <v>0</v>
      </c>
      <c r="BS105">
        <v>1</v>
      </c>
    </row>
    <row r="106" spans="1:71" x14ac:dyDescent="0.3">
      <c r="A106" t="s">
        <v>475</v>
      </c>
      <c r="B106" t="s">
        <v>476</v>
      </c>
      <c r="C106" t="s">
        <v>29</v>
      </c>
      <c r="D106" t="s">
        <v>29</v>
      </c>
      <c r="E106" t="s">
        <v>29</v>
      </c>
      <c r="F106" t="s">
        <v>477</v>
      </c>
      <c r="G106" t="s">
        <v>478</v>
      </c>
      <c r="H106">
        <v>2008</v>
      </c>
      <c r="I106">
        <v>30</v>
      </c>
      <c r="J106">
        <v>3</v>
      </c>
      <c r="K106" t="s">
        <v>29</v>
      </c>
      <c r="L106" t="s">
        <v>29</v>
      </c>
      <c r="M106" t="s">
        <v>29</v>
      </c>
      <c r="N106">
        <v>491</v>
      </c>
      <c r="O106">
        <v>503</v>
      </c>
      <c r="P106" t="s">
        <v>29</v>
      </c>
      <c r="Q106" t="s">
        <v>479</v>
      </c>
      <c r="R106" t="s">
        <v>29</v>
      </c>
      <c r="S106" t="s">
        <v>29</v>
      </c>
      <c r="T106">
        <v>15</v>
      </c>
      <c r="U106">
        <v>0.88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  <c r="AB106">
        <v>0</v>
      </c>
      <c r="AC106">
        <v>0</v>
      </c>
      <c r="AD106">
        <v>0</v>
      </c>
      <c r="AE106">
        <v>0</v>
      </c>
      <c r="AF106">
        <v>0</v>
      </c>
      <c r="AG106">
        <v>0</v>
      </c>
      <c r="AH106">
        <v>0</v>
      </c>
      <c r="AI106">
        <v>0</v>
      </c>
      <c r="AJ106">
        <v>0</v>
      </c>
      <c r="AK106">
        <v>0</v>
      </c>
      <c r="AL106">
        <v>0</v>
      </c>
      <c r="AM106">
        <v>0</v>
      </c>
      <c r="AN106">
        <v>0</v>
      </c>
      <c r="AO106">
        <v>0</v>
      </c>
      <c r="AP106">
        <v>0</v>
      </c>
      <c r="AQ106">
        <v>0</v>
      </c>
      <c r="AR106">
        <v>0</v>
      </c>
      <c r="AS106">
        <v>0</v>
      </c>
      <c r="AT106">
        <v>0</v>
      </c>
      <c r="AU106">
        <v>0</v>
      </c>
      <c r="AV106">
        <v>0</v>
      </c>
      <c r="AW106">
        <v>0</v>
      </c>
      <c r="AX106">
        <v>0</v>
      </c>
      <c r="AY106">
        <v>0</v>
      </c>
      <c r="AZ106">
        <v>0</v>
      </c>
      <c r="BA106">
        <v>0</v>
      </c>
      <c r="BB106">
        <v>0</v>
      </c>
      <c r="BC106">
        <v>0</v>
      </c>
      <c r="BD106">
        <v>0</v>
      </c>
      <c r="BE106">
        <v>1</v>
      </c>
      <c r="BF106">
        <v>0</v>
      </c>
      <c r="BG106">
        <v>3</v>
      </c>
      <c r="BH106">
        <v>1</v>
      </c>
      <c r="BI106">
        <v>2</v>
      </c>
      <c r="BJ106">
        <v>1</v>
      </c>
      <c r="BK106">
        <v>0</v>
      </c>
      <c r="BL106">
        <v>1</v>
      </c>
      <c r="BM106">
        <v>0</v>
      </c>
      <c r="BN106">
        <v>0</v>
      </c>
      <c r="BO106">
        <v>2</v>
      </c>
      <c r="BP106">
        <v>0</v>
      </c>
      <c r="BQ106">
        <v>4</v>
      </c>
      <c r="BR106">
        <v>0</v>
      </c>
      <c r="BS106">
        <v>0</v>
      </c>
    </row>
    <row r="107" spans="1:71" x14ac:dyDescent="0.3">
      <c r="A107" t="s">
        <v>480</v>
      </c>
      <c r="B107" t="s">
        <v>481</v>
      </c>
      <c r="C107" t="s">
        <v>29</v>
      </c>
      <c r="D107" t="s">
        <v>29</v>
      </c>
      <c r="E107" t="s">
        <v>29</v>
      </c>
      <c r="F107" t="s">
        <v>30</v>
      </c>
      <c r="G107" t="s">
        <v>482</v>
      </c>
      <c r="H107">
        <v>2020</v>
      </c>
      <c r="I107">
        <v>65</v>
      </c>
      <c r="J107" t="s">
        <v>29</v>
      </c>
      <c r="K107" t="s">
        <v>29</v>
      </c>
      <c r="L107" t="s">
        <v>29</v>
      </c>
      <c r="M107" t="s">
        <v>29</v>
      </c>
      <c r="N107" t="s">
        <v>29</v>
      </c>
      <c r="O107" t="s">
        <v>29</v>
      </c>
      <c r="P107">
        <v>101824</v>
      </c>
      <c r="Q107" t="s">
        <v>483</v>
      </c>
      <c r="R107" t="s">
        <v>29</v>
      </c>
      <c r="S107" t="s">
        <v>29</v>
      </c>
      <c r="T107">
        <v>14</v>
      </c>
      <c r="U107">
        <v>2.8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  <c r="AB107">
        <v>0</v>
      </c>
      <c r="AC107">
        <v>0</v>
      </c>
      <c r="AD107">
        <v>0</v>
      </c>
      <c r="AE107">
        <v>0</v>
      </c>
      <c r="AF107">
        <v>0</v>
      </c>
      <c r="AG107">
        <v>0</v>
      </c>
      <c r="AH107">
        <v>0</v>
      </c>
      <c r="AI107">
        <v>0</v>
      </c>
      <c r="AJ107">
        <v>0</v>
      </c>
      <c r="AK107">
        <v>0</v>
      </c>
      <c r="AL107">
        <v>0</v>
      </c>
      <c r="AM107">
        <v>0</v>
      </c>
      <c r="AN107">
        <v>0</v>
      </c>
      <c r="AO107">
        <v>0</v>
      </c>
      <c r="AP107">
        <v>0</v>
      </c>
      <c r="AQ107">
        <v>0</v>
      </c>
      <c r="AR107">
        <v>0</v>
      </c>
      <c r="AS107">
        <v>0</v>
      </c>
      <c r="AT107">
        <v>0</v>
      </c>
      <c r="AU107">
        <v>0</v>
      </c>
      <c r="AV107">
        <v>0</v>
      </c>
      <c r="AW107">
        <v>0</v>
      </c>
      <c r="AX107">
        <v>0</v>
      </c>
      <c r="AY107">
        <v>0</v>
      </c>
      <c r="AZ107">
        <v>0</v>
      </c>
      <c r="BA107">
        <v>0</v>
      </c>
      <c r="BB107">
        <v>0</v>
      </c>
      <c r="BC107">
        <v>0</v>
      </c>
      <c r="BD107">
        <v>0</v>
      </c>
      <c r="BE107">
        <v>0</v>
      </c>
      <c r="BF107">
        <v>0</v>
      </c>
      <c r="BG107">
        <v>0</v>
      </c>
      <c r="BH107">
        <v>0</v>
      </c>
      <c r="BI107">
        <v>0</v>
      </c>
      <c r="BJ107">
        <v>0</v>
      </c>
      <c r="BK107">
        <v>0</v>
      </c>
      <c r="BL107">
        <v>0</v>
      </c>
      <c r="BM107">
        <v>0</v>
      </c>
      <c r="BN107">
        <v>0</v>
      </c>
      <c r="BO107">
        <v>0</v>
      </c>
      <c r="BP107">
        <v>1</v>
      </c>
      <c r="BQ107">
        <v>2</v>
      </c>
      <c r="BR107">
        <v>6</v>
      </c>
      <c r="BS107">
        <v>5</v>
      </c>
    </row>
    <row r="108" spans="1:71" x14ac:dyDescent="0.3">
      <c r="A108" t="s">
        <v>484</v>
      </c>
      <c r="B108" t="s">
        <v>485</v>
      </c>
      <c r="C108" t="s">
        <v>29</v>
      </c>
      <c r="D108" t="s">
        <v>29</v>
      </c>
      <c r="E108" t="s">
        <v>29</v>
      </c>
      <c r="F108" t="s">
        <v>486</v>
      </c>
      <c r="G108" t="s">
        <v>487</v>
      </c>
      <c r="H108">
        <v>2020</v>
      </c>
      <c r="I108">
        <v>12</v>
      </c>
      <c r="J108">
        <v>10</v>
      </c>
      <c r="K108" t="s">
        <v>29</v>
      </c>
      <c r="L108" t="s">
        <v>29</v>
      </c>
      <c r="M108" t="s">
        <v>29</v>
      </c>
      <c r="N108" t="s">
        <v>29</v>
      </c>
      <c r="O108" t="s">
        <v>29</v>
      </c>
      <c r="P108">
        <v>4031</v>
      </c>
      <c r="Q108" t="s">
        <v>488</v>
      </c>
      <c r="R108" t="s">
        <v>29</v>
      </c>
      <c r="S108" t="s">
        <v>29</v>
      </c>
      <c r="T108">
        <v>14</v>
      </c>
      <c r="U108">
        <v>2.8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  <c r="AB108">
        <v>0</v>
      </c>
      <c r="AC108">
        <v>0</v>
      </c>
      <c r="AD108">
        <v>0</v>
      </c>
      <c r="AE108">
        <v>0</v>
      </c>
      <c r="AF108">
        <v>0</v>
      </c>
      <c r="AG108">
        <v>0</v>
      </c>
      <c r="AH108">
        <v>0</v>
      </c>
      <c r="AI108">
        <v>0</v>
      </c>
      <c r="AJ108">
        <v>0</v>
      </c>
      <c r="AK108">
        <v>0</v>
      </c>
      <c r="AL108">
        <v>0</v>
      </c>
      <c r="AM108">
        <v>0</v>
      </c>
      <c r="AN108">
        <v>0</v>
      </c>
      <c r="AO108">
        <v>0</v>
      </c>
      <c r="AP108">
        <v>0</v>
      </c>
      <c r="AQ108">
        <v>0</v>
      </c>
      <c r="AR108">
        <v>0</v>
      </c>
      <c r="AS108">
        <v>0</v>
      </c>
      <c r="AT108">
        <v>0</v>
      </c>
      <c r="AU108">
        <v>0</v>
      </c>
      <c r="AV108">
        <v>0</v>
      </c>
      <c r="AW108">
        <v>0</v>
      </c>
      <c r="AX108">
        <v>0</v>
      </c>
      <c r="AY108">
        <v>0</v>
      </c>
      <c r="AZ108">
        <v>0</v>
      </c>
      <c r="BA108">
        <v>0</v>
      </c>
      <c r="BB108">
        <v>0</v>
      </c>
      <c r="BC108">
        <v>0</v>
      </c>
      <c r="BD108">
        <v>0</v>
      </c>
      <c r="BE108">
        <v>0</v>
      </c>
      <c r="BF108">
        <v>0</v>
      </c>
      <c r="BG108">
        <v>0</v>
      </c>
      <c r="BH108">
        <v>0</v>
      </c>
      <c r="BI108">
        <v>0</v>
      </c>
      <c r="BJ108">
        <v>0</v>
      </c>
      <c r="BK108">
        <v>0</v>
      </c>
      <c r="BL108">
        <v>0</v>
      </c>
      <c r="BM108">
        <v>0</v>
      </c>
      <c r="BN108">
        <v>0</v>
      </c>
      <c r="BO108">
        <v>3</v>
      </c>
      <c r="BP108">
        <v>3</v>
      </c>
      <c r="BQ108">
        <v>3</v>
      </c>
      <c r="BR108">
        <v>2</v>
      </c>
      <c r="BS108">
        <v>3</v>
      </c>
    </row>
    <row r="109" spans="1:71" x14ac:dyDescent="0.3">
      <c r="A109" t="s">
        <v>489</v>
      </c>
      <c r="B109" t="s">
        <v>490</v>
      </c>
      <c r="C109" t="s">
        <v>29</v>
      </c>
      <c r="D109" t="s">
        <v>29</v>
      </c>
      <c r="E109" t="s">
        <v>29</v>
      </c>
      <c r="F109" t="s">
        <v>336</v>
      </c>
      <c r="G109" t="s">
        <v>491</v>
      </c>
      <c r="H109">
        <v>2018</v>
      </c>
      <c r="I109">
        <v>69</v>
      </c>
      <c r="J109" t="s">
        <v>29</v>
      </c>
      <c r="K109" t="s">
        <v>29</v>
      </c>
      <c r="L109" t="s">
        <v>29</v>
      </c>
      <c r="M109" t="s">
        <v>29</v>
      </c>
      <c r="N109">
        <v>52</v>
      </c>
      <c r="O109">
        <v>64</v>
      </c>
      <c r="P109" t="s">
        <v>29</v>
      </c>
      <c r="Q109" t="s">
        <v>492</v>
      </c>
      <c r="R109" t="s">
        <v>29</v>
      </c>
      <c r="S109" t="s">
        <v>29</v>
      </c>
      <c r="T109">
        <v>14</v>
      </c>
      <c r="U109">
        <v>2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  <c r="AB109">
        <v>0</v>
      </c>
      <c r="AC109">
        <v>0</v>
      </c>
      <c r="AD109">
        <v>0</v>
      </c>
      <c r="AE109">
        <v>0</v>
      </c>
      <c r="AF109">
        <v>0</v>
      </c>
      <c r="AG109">
        <v>0</v>
      </c>
      <c r="AH109">
        <v>0</v>
      </c>
      <c r="AI109">
        <v>0</v>
      </c>
      <c r="AJ109">
        <v>0</v>
      </c>
      <c r="AK109">
        <v>0</v>
      </c>
      <c r="AL109">
        <v>0</v>
      </c>
      <c r="AM109">
        <v>0</v>
      </c>
      <c r="AN109">
        <v>0</v>
      </c>
      <c r="AO109">
        <v>0</v>
      </c>
      <c r="AP109">
        <v>0</v>
      </c>
      <c r="AQ109">
        <v>0</v>
      </c>
      <c r="AR109">
        <v>0</v>
      </c>
      <c r="AS109">
        <v>0</v>
      </c>
      <c r="AT109">
        <v>0</v>
      </c>
      <c r="AU109">
        <v>0</v>
      </c>
      <c r="AV109">
        <v>0</v>
      </c>
      <c r="AW109">
        <v>0</v>
      </c>
      <c r="AX109">
        <v>0</v>
      </c>
      <c r="AY109">
        <v>0</v>
      </c>
      <c r="AZ109">
        <v>0</v>
      </c>
      <c r="BA109">
        <v>0</v>
      </c>
      <c r="BB109">
        <v>0</v>
      </c>
      <c r="BC109">
        <v>0</v>
      </c>
      <c r="BD109">
        <v>0</v>
      </c>
      <c r="BE109">
        <v>0</v>
      </c>
      <c r="BF109">
        <v>0</v>
      </c>
      <c r="BG109">
        <v>0</v>
      </c>
      <c r="BH109">
        <v>0</v>
      </c>
      <c r="BI109">
        <v>0</v>
      </c>
      <c r="BJ109">
        <v>0</v>
      </c>
      <c r="BK109">
        <v>0</v>
      </c>
      <c r="BL109">
        <v>0</v>
      </c>
      <c r="BM109">
        <v>0</v>
      </c>
      <c r="BN109">
        <v>1</v>
      </c>
      <c r="BO109">
        <v>3</v>
      </c>
      <c r="BP109">
        <v>0</v>
      </c>
      <c r="BQ109">
        <v>5</v>
      </c>
      <c r="BR109">
        <v>3</v>
      </c>
      <c r="BS109">
        <v>2</v>
      </c>
    </row>
    <row r="110" spans="1:71" x14ac:dyDescent="0.3">
      <c r="A110" t="s">
        <v>493</v>
      </c>
      <c r="B110" t="s">
        <v>494</v>
      </c>
      <c r="C110" t="s">
        <v>29</v>
      </c>
      <c r="D110" t="s">
        <v>29</v>
      </c>
      <c r="E110" t="s">
        <v>29</v>
      </c>
      <c r="F110" t="s">
        <v>495</v>
      </c>
      <c r="G110" t="s">
        <v>496</v>
      </c>
      <c r="H110">
        <v>2017</v>
      </c>
      <c r="I110">
        <v>94</v>
      </c>
      <c r="J110">
        <v>10</v>
      </c>
      <c r="K110" t="s">
        <v>29</v>
      </c>
      <c r="L110" t="s">
        <v>29</v>
      </c>
      <c r="M110" t="s">
        <v>29</v>
      </c>
      <c r="N110">
        <v>1443</v>
      </c>
      <c r="O110">
        <v>1449</v>
      </c>
      <c r="P110" t="s">
        <v>29</v>
      </c>
      <c r="Q110" t="s">
        <v>497</v>
      </c>
      <c r="R110" t="s">
        <v>29</v>
      </c>
      <c r="S110" t="s">
        <v>29</v>
      </c>
      <c r="T110">
        <v>14</v>
      </c>
      <c r="U110">
        <v>1.75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  <c r="AB110">
        <v>0</v>
      </c>
      <c r="AC110">
        <v>0</v>
      </c>
      <c r="AD110">
        <v>0</v>
      </c>
      <c r="AE110">
        <v>0</v>
      </c>
      <c r="AF110">
        <v>0</v>
      </c>
      <c r="AG110">
        <v>0</v>
      </c>
      <c r="AH110">
        <v>0</v>
      </c>
      <c r="AI110">
        <v>0</v>
      </c>
      <c r="AJ110">
        <v>0</v>
      </c>
      <c r="AK110">
        <v>0</v>
      </c>
      <c r="AL110">
        <v>0</v>
      </c>
      <c r="AM110">
        <v>0</v>
      </c>
      <c r="AN110">
        <v>0</v>
      </c>
      <c r="AO110">
        <v>0</v>
      </c>
      <c r="AP110">
        <v>0</v>
      </c>
      <c r="AQ110">
        <v>0</v>
      </c>
      <c r="AR110">
        <v>0</v>
      </c>
      <c r="AS110">
        <v>0</v>
      </c>
      <c r="AT110">
        <v>0</v>
      </c>
      <c r="AU110">
        <v>0</v>
      </c>
      <c r="AV110">
        <v>0</v>
      </c>
      <c r="AW110">
        <v>0</v>
      </c>
      <c r="AX110">
        <v>0</v>
      </c>
      <c r="AY110">
        <v>0</v>
      </c>
      <c r="AZ110">
        <v>0</v>
      </c>
      <c r="BA110">
        <v>0</v>
      </c>
      <c r="BB110">
        <v>0</v>
      </c>
      <c r="BC110">
        <v>0</v>
      </c>
      <c r="BD110">
        <v>0</v>
      </c>
      <c r="BE110">
        <v>0</v>
      </c>
      <c r="BF110">
        <v>0</v>
      </c>
      <c r="BG110">
        <v>0</v>
      </c>
      <c r="BH110">
        <v>0</v>
      </c>
      <c r="BI110">
        <v>0</v>
      </c>
      <c r="BJ110">
        <v>0</v>
      </c>
      <c r="BK110">
        <v>0</v>
      </c>
      <c r="BL110">
        <v>0</v>
      </c>
      <c r="BM110">
        <v>1</v>
      </c>
      <c r="BN110">
        <v>2</v>
      </c>
      <c r="BO110">
        <v>1</v>
      </c>
      <c r="BP110">
        <v>3</v>
      </c>
      <c r="BQ110">
        <v>3</v>
      </c>
      <c r="BR110">
        <v>0</v>
      </c>
      <c r="BS110">
        <v>4</v>
      </c>
    </row>
    <row r="111" spans="1:71" x14ac:dyDescent="0.3">
      <c r="A111" t="s">
        <v>498</v>
      </c>
      <c r="B111" t="s">
        <v>499</v>
      </c>
      <c r="C111" t="s">
        <v>29</v>
      </c>
      <c r="D111" t="s">
        <v>29</v>
      </c>
      <c r="E111" t="s">
        <v>29</v>
      </c>
      <c r="F111" t="s">
        <v>500</v>
      </c>
      <c r="G111">
        <v>2017</v>
      </c>
      <c r="H111">
        <v>2017</v>
      </c>
      <c r="I111">
        <v>35</v>
      </c>
      <c r="J111">
        <v>2</v>
      </c>
      <c r="K111" t="s">
        <v>29</v>
      </c>
      <c r="L111" t="s">
        <v>29</v>
      </c>
      <c r="M111" t="s">
        <v>29</v>
      </c>
      <c r="N111">
        <v>132</v>
      </c>
      <c r="O111">
        <v>149</v>
      </c>
      <c r="P111" t="s">
        <v>29</v>
      </c>
      <c r="Q111" t="s">
        <v>501</v>
      </c>
      <c r="R111" t="s">
        <v>29</v>
      </c>
      <c r="S111" t="s">
        <v>29</v>
      </c>
      <c r="T111">
        <v>14</v>
      </c>
      <c r="U111">
        <v>1.75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  <c r="AB111">
        <v>0</v>
      </c>
      <c r="AC111">
        <v>0</v>
      </c>
      <c r="AD111">
        <v>0</v>
      </c>
      <c r="AE111">
        <v>0</v>
      </c>
      <c r="AF111">
        <v>0</v>
      </c>
      <c r="AG111">
        <v>0</v>
      </c>
      <c r="AH111">
        <v>0</v>
      </c>
      <c r="AI111">
        <v>0</v>
      </c>
      <c r="AJ111">
        <v>0</v>
      </c>
      <c r="AK111">
        <v>0</v>
      </c>
      <c r="AL111">
        <v>0</v>
      </c>
      <c r="AM111">
        <v>0</v>
      </c>
      <c r="AN111">
        <v>0</v>
      </c>
      <c r="AO111">
        <v>0</v>
      </c>
      <c r="AP111">
        <v>0</v>
      </c>
      <c r="AQ111">
        <v>0</v>
      </c>
      <c r="AR111">
        <v>0</v>
      </c>
      <c r="AS111">
        <v>0</v>
      </c>
      <c r="AT111">
        <v>0</v>
      </c>
      <c r="AU111">
        <v>0</v>
      </c>
      <c r="AV111">
        <v>0</v>
      </c>
      <c r="AW111">
        <v>0</v>
      </c>
      <c r="AX111">
        <v>0</v>
      </c>
      <c r="AY111">
        <v>0</v>
      </c>
      <c r="AZ111">
        <v>0</v>
      </c>
      <c r="BA111">
        <v>0</v>
      </c>
      <c r="BB111">
        <v>0</v>
      </c>
      <c r="BC111">
        <v>0</v>
      </c>
      <c r="BD111">
        <v>0</v>
      </c>
      <c r="BE111">
        <v>0</v>
      </c>
      <c r="BF111">
        <v>0</v>
      </c>
      <c r="BG111">
        <v>0</v>
      </c>
      <c r="BH111">
        <v>0</v>
      </c>
      <c r="BI111">
        <v>0</v>
      </c>
      <c r="BJ111">
        <v>0</v>
      </c>
      <c r="BK111">
        <v>0</v>
      </c>
      <c r="BL111">
        <v>0</v>
      </c>
      <c r="BM111">
        <v>1</v>
      </c>
      <c r="BN111">
        <v>4</v>
      </c>
      <c r="BO111">
        <v>2</v>
      </c>
      <c r="BP111">
        <v>4</v>
      </c>
      <c r="BQ111">
        <v>0</v>
      </c>
      <c r="BR111">
        <v>2</v>
      </c>
      <c r="BS111">
        <v>1</v>
      </c>
    </row>
    <row r="112" spans="1:71" x14ac:dyDescent="0.3">
      <c r="A112" t="s">
        <v>502</v>
      </c>
      <c r="B112" t="s">
        <v>503</v>
      </c>
      <c r="C112" t="s">
        <v>29</v>
      </c>
      <c r="D112" t="s">
        <v>29</v>
      </c>
      <c r="E112" t="s">
        <v>29</v>
      </c>
      <c r="F112" t="s">
        <v>504</v>
      </c>
      <c r="G112">
        <v>2017</v>
      </c>
      <c r="H112">
        <v>2017</v>
      </c>
      <c r="I112">
        <v>23</v>
      </c>
      <c r="J112">
        <v>4</v>
      </c>
      <c r="K112" t="s">
        <v>29</v>
      </c>
      <c r="L112" t="s">
        <v>29</v>
      </c>
      <c r="M112" t="s">
        <v>29</v>
      </c>
      <c r="N112">
        <v>32</v>
      </c>
      <c r="O112">
        <v>61</v>
      </c>
      <c r="P112" t="s">
        <v>29</v>
      </c>
      <c r="Q112" t="s">
        <v>505</v>
      </c>
      <c r="R112" t="s">
        <v>29</v>
      </c>
      <c r="S112" t="s">
        <v>29</v>
      </c>
      <c r="T112">
        <v>14</v>
      </c>
      <c r="U112">
        <v>1.75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  <c r="AB112">
        <v>0</v>
      </c>
      <c r="AC112">
        <v>0</v>
      </c>
      <c r="AD112">
        <v>0</v>
      </c>
      <c r="AE112">
        <v>0</v>
      </c>
      <c r="AF112">
        <v>0</v>
      </c>
      <c r="AG112">
        <v>0</v>
      </c>
      <c r="AH112">
        <v>0</v>
      </c>
      <c r="AI112">
        <v>0</v>
      </c>
      <c r="AJ112">
        <v>0</v>
      </c>
      <c r="AK112">
        <v>0</v>
      </c>
      <c r="AL112">
        <v>0</v>
      </c>
      <c r="AM112">
        <v>0</v>
      </c>
      <c r="AN112">
        <v>0</v>
      </c>
      <c r="AO112">
        <v>0</v>
      </c>
      <c r="AP112">
        <v>0</v>
      </c>
      <c r="AQ112">
        <v>0</v>
      </c>
      <c r="AR112">
        <v>0</v>
      </c>
      <c r="AS112">
        <v>0</v>
      </c>
      <c r="AT112">
        <v>0</v>
      </c>
      <c r="AU112">
        <v>0</v>
      </c>
      <c r="AV112">
        <v>0</v>
      </c>
      <c r="AW112">
        <v>0</v>
      </c>
      <c r="AX112">
        <v>0</v>
      </c>
      <c r="AY112">
        <v>0</v>
      </c>
      <c r="AZ112">
        <v>0</v>
      </c>
      <c r="BA112">
        <v>0</v>
      </c>
      <c r="BB112">
        <v>0</v>
      </c>
      <c r="BC112">
        <v>0</v>
      </c>
      <c r="BD112">
        <v>0</v>
      </c>
      <c r="BE112">
        <v>0</v>
      </c>
      <c r="BF112">
        <v>0</v>
      </c>
      <c r="BG112">
        <v>0</v>
      </c>
      <c r="BH112">
        <v>0</v>
      </c>
      <c r="BI112">
        <v>0</v>
      </c>
      <c r="BJ112">
        <v>0</v>
      </c>
      <c r="BK112">
        <v>0</v>
      </c>
      <c r="BL112">
        <v>0</v>
      </c>
      <c r="BM112">
        <v>0</v>
      </c>
      <c r="BN112">
        <v>2</v>
      </c>
      <c r="BO112">
        <v>1</v>
      </c>
      <c r="BP112">
        <v>6</v>
      </c>
      <c r="BQ112">
        <v>1</v>
      </c>
      <c r="BR112">
        <v>3</v>
      </c>
      <c r="BS112">
        <v>1</v>
      </c>
    </row>
    <row r="113" spans="1:71" x14ac:dyDescent="0.3">
      <c r="A113" t="s">
        <v>506</v>
      </c>
      <c r="B113" t="s">
        <v>507</v>
      </c>
      <c r="C113" t="s">
        <v>29</v>
      </c>
      <c r="D113" t="s">
        <v>29</v>
      </c>
      <c r="E113" t="s">
        <v>29</v>
      </c>
      <c r="F113" t="s">
        <v>508</v>
      </c>
      <c r="G113" t="s">
        <v>509</v>
      </c>
      <c r="H113">
        <v>2022</v>
      </c>
      <c r="I113">
        <v>45</v>
      </c>
      <c r="J113">
        <v>5</v>
      </c>
      <c r="K113" t="s">
        <v>29</v>
      </c>
      <c r="L113" t="s">
        <v>29</v>
      </c>
      <c r="M113" t="s">
        <v>32</v>
      </c>
      <c r="N113">
        <v>664</v>
      </c>
      <c r="O113">
        <v>683</v>
      </c>
      <c r="P113" t="s">
        <v>29</v>
      </c>
      <c r="Q113" t="s">
        <v>510</v>
      </c>
      <c r="R113" t="s">
        <v>29</v>
      </c>
      <c r="S113" t="s">
        <v>29</v>
      </c>
      <c r="T113">
        <v>13</v>
      </c>
      <c r="U113">
        <v>4.33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  <c r="AB113">
        <v>0</v>
      </c>
      <c r="AC113">
        <v>0</v>
      </c>
      <c r="AD113">
        <v>0</v>
      </c>
      <c r="AE113">
        <v>0</v>
      </c>
      <c r="AF113">
        <v>0</v>
      </c>
      <c r="AG113">
        <v>0</v>
      </c>
      <c r="AH113">
        <v>0</v>
      </c>
      <c r="AI113">
        <v>0</v>
      </c>
      <c r="AJ113">
        <v>0</v>
      </c>
      <c r="AK113">
        <v>0</v>
      </c>
      <c r="AL113">
        <v>0</v>
      </c>
      <c r="AM113">
        <v>0</v>
      </c>
      <c r="AN113">
        <v>0</v>
      </c>
      <c r="AO113">
        <v>0</v>
      </c>
      <c r="AP113">
        <v>0</v>
      </c>
      <c r="AQ113">
        <v>0</v>
      </c>
      <c r="AR113">
        <v>0</v>
      </c>
      <c r="AS113">
        <v>0</v>
      </c>
      <c r="AT113">
        <v>0</v>
      </c>
      <c r="AU113">
        <v>0</v>
      </c>
      <c r="AV113">
        <v>0</v>
      </c>
      <c r="AW113">
        <v>0</v>
      </c>
      <c r="AX113">
        <v>0</v>
      </c>
      <c r="AY113">
        <v>0</v>
      </c>
      <c r="AZ113">
        <v>0</v>
      </c>
      <c r="BA113">
        <v>0</v>
      </c>
      <c r="BB113">
        <v>0</v>
      </c>
      <c r="BC113">
        <v>0</v>
      </c>
      <c r="BD113">
        <v>0</v>
      </c>
      <c r="BE113">
        <v>0</v>
      </c>
      <c r="BF113">
        <v>0</v>
      </c>
      <c r="BG113">
        <v>0</v>
      </c>
      <c r="BH113">
        <v>0</v>
      </c>
      <c r="BI113">
        <v>0</v>
      </c>
      <c r="BJ113">
        <v>0</v>
      </c>
      <c r="BK113">
        <v>0</v>
      </c>
      <c r="BL113">
        <v>0</v>
      </c>
      <c r="BM113">
        <v>0</v>
      </c>
      <c r="BN113">
        <v>0</v>
      </c>
      <c r="BO113">
        <v>0</v>
      </c>
      <c r="BP113">
        <v>0</v>
      </c>
      <c r="BQ113">
        <v>5</v>
      </c>
      <c r="BR113">
        <v>3</v>
      </c>
      <c r="BS113">
        <v>5</v>
      </c>
    </row>
    <row r="114" spans="1:71" x14ac:dyDescent="0.3">
      <c r="A114" t="s">
        <v>511</v>
      </c>
      <c r="B114" t="s">
        <v>512</v>
      </c>
      <c r="C114" t="s">
        <v>29</v>
      </c>
      <c r="D114" t="s">
        <v>29</v>
      </c>
      <c r="E114" t="s">
        <v>29</v>
      </c>
      <c r="F114" t="s">
        <v>200</v>
      </c>
      <c r="G114" t="s">
        <v>513</v>
      </c>
      <c r="H114">
        <v>2021</v>
      </c>
      <c r="I114">
        <v>11</v>
      </c>
      <c r="J114">
        <v>1</v>
      </c>
      <c r="K114" t="s">
        <v>29</v>
      </c>
      <c r="L114" t="s">
        <v>29</v>
      </c>
      <c r="M114" t="s">
        <v>29</v>
      </c>
      <c r="N114" t="s">
        <v>29</v>
      </c>
      <c r="O114" t="s">
        <v>29</v>
      </c>
      <c r="P114">
        <v>27</v>
      </c>
      <c r="Q114" t="s">
        <v>514</v>
      </c>
      <c r="R114" t="s">
        <v>29</v>
      </c>
      <c r="S114" t="s">
        <v>29</v>
      </c>
      <c r="T114">
        <v>13</v>
      </c>
      <c r="U114">
        <v>3.25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  <c r="AB114">
        <v>0</v>
      </c>
      <c r="AC114">
        <v>0</v>
      </c>
      <c r="AD114">
        <v>0</v>
      </c>
      <c r="AE114">
        <v>0</v>
      </c>
      <c r="AF114">
        <v>0</v>
      </c>
      <c r="AG114">
        <v>0</v>
      </c>
      <c r="AH114">
        <v>0</v>
      </c>
      <c r="AI114">
        <v>0</v>
      </c>
      <c r="AJ114">
        <v>0</v>
      </c>
      <c r="AK114">
        <v>0</v>
      </c>
      <c r="AL114">
        <v>0</v>
      </c>
      <c r="AM114">
        <v>0</v>
      </c>
      <c r="AN114">
        <v>0</v>
      </c>
      <c r="AO114">
        <v>0</v>
      </c>
      <c r="AP114">
        <v>0</v>
      </c>
      <c r="AQ114">
        <v>0</v>
      </c>
      <c r="AR114">
        <v>0</v>
      </c>
      <c r="AS114">
        <v>0</v>
      </c>
      <c r="AT114">
        <v>0</v>
      </c>
      <c r="AU114">
        <v>0</v>
      </c>
      <c r="AV114">
        <v>0</v>
      </c>
      <c r="AW114">
        <v>0</v>
      </c>
      <c r="AX114">
        <v>0</v>
      </c>
      <c r="AY114">
        <v>0</v>
      </c>
      <c r="AZ114">
        <v>0</v>
      </c>
      <c r="BA114">
        <v>0</v>
      </c>
      <c r="BB114">
        <v>0</v>
      </c>
      <c r="BC114">
        <v>0</v>
      </c>
      <c r="BD114">
        <v>0</v>
      </c>
      <c r="BE114">
        <v>0</v>
      </c>
      <c r="BF114">
        <v>0</v>
      </c>
      <c r="BG114">
        <v>0</v>
      </c>
      <c r="BH114">
        <v>0</v>
      </c>
      <c r="BI114">
        <v>0</v>
      </c>
      <c r="BJ114">
        <v>0</v>
      </c>
      <c r="BK114">
        <v>0</v>
      </c>
      <c r="BL114">
        <v>0</v>
      </c>
      <c r="BM114">
        <v>0</v>
      </c>
      <c r="BN114">
        <v>0</v>
      </c>
      <c r="BO114">
        <v>0</v>
      </c>
      <c r="BP114">
        <v>4</v>
      </c>
      <c r="BQ114">
        <v>4</v>
      </c>
      <c r="BR114">
        <v>3</v>
      </c>
      <c r="BS114">
        <v>2</v>
      </c>
    </row>
    <row r="115" spans="1:71" x14ac:dyDescent="0.3">
      <c r="A115" t="s">
        <v>515</v>
      </c>
      <c r="B115" t="s">
        <v>516</v>
      </c>
      <c r="C115" t="s">
        <v>29</v>
      </c>
      <c r="D115" t="s">
        <v>29</v>
      </c>
      <c r="E115" t="s">
        <v>29</v>
      </c>
      <c r="F115" t="s">
        <v>200</v>
      </c>
      <c r="G115" t="s">
        <v>517</v>
      </c>
      <c r="H115">
        <v>2020</v>
      </c>
      <c r="I115">
        <v>10</v>
      </c>
      <c r="J115">
        <v>12</v>
      </c>
      <c r="K115" t="s">
        <v>29</v>
      </c>
      <c r="L115" t="s">
        <v>29</v>
      </c>
      <c r="M115" t="s">
        <v>29</v>
      </c>
      <c r="N115" t="s">
        <v>29</v>
      </c>
      <c r="O115" t="s">
        <v>29</v>
      </c>
      <c r="P115">
        <v>379</v>
      </c>
      <c r="Q115" t="s">
        <v>518</v>
      </c>
      <c r="R115" t="s">
        <v>29</v>
      </c>
      <c r="S115" t="s">
        <v>29</v>
      </c>
      <c r="T115">
        <v>13</v>
      </c>
      <c r="U115">
        <v>2.6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  <c r="AB115">
        <v>0</v>
      </c>
      <c r="AC115">
        <v>0</v>
      </c>
      <c r="AD115">
        <v>0</v>
      </c>
      <c r="AE115">
        <v>0</v>
      </c>
      <c r="AF115">
        <v>0</v>
      </c>
      <c r="AG115">
        <v>0</v>
      </c>
      <c r="AH115">
        <v>0</v>
      </c>
      <c r="AI115">
        <v>0</v>
      </c>
      <c r="AJ115">
        <v>0</v>
      </c>
      <c r="AK115">
        <v>0</v>
      </c>
      <c r="AL115">
        <v>0</v>
      </c>
      <c r="AM115">
        <v>0</v>
      </c>
      <c r="AN115">
        <v>0</v>
      </c>
      <c r="AO115">
        <v>0</v>
      </c>
      <c r="AP115">
        <v>0</v>
      </c>
      <c r="AQ115">
        <v>0</v>
      </c>
      <c r="AR115">
        <v>0</v>
      </c>
      <c r="AS115">
        <v>0</v>
      </c>
      <c r="AT115">
        <v>0</v>
      </c>
      <c r="AU115">
        <v>0</v>
      </c>
      <c r="AV115">
        <v>0</v>
      </c>
      <c r="AW115">
        <v>0</v>
      </c>
      <c r="AX115">
        <v>0</v>
      </c>
      <c r="AY115">
        <v>0</v>
      </c>
      <c r="AZ115">
        <v>0</v>
      </c>
      <c r="BA115">
        <v>0</v>
      </c>
      <c r="BB115">
        <v>0</v>
      </c>
      <c r="BC115">
        <v>0</v>
      </c>
      <c r="BD115">
        <v>0</v>
      </c>
      <c r="BE115">
        <v>0</v>
      </c>
      <c r="BF115">
        <v>0</v>
      </c>
      <c r="BG115">
        <v>0</v>
      </c>
      <c r="BH115">
        <v>0</v>
      </c>
      <c r="BI115">
        <v>0</v>
      </c>
      <c r="BJ115">
        <v>0</v>
      </c>
      <c r="BK115">
        <v>0</v>
      </c>
      <c r="BL115">
        <v>0</v>
      </c>
      <c r="BM115">
        <v>0</v>
      </c>
      <c r="BN115">
        <v>0</v>
      </c>
      <c r="BO115">
        <v>0</v>
      </c>
      <c r="BP115">
        <v>2</v>
      </c>
      <c r="BQ115">
        <v>4</v>
      </c>
      <c r="BR115">
        <v>2</v>
      </c>
      <c r="BS115">
        <v>5</v>
      </c>
    </row>
    <row r="116" spans="1:71" x14ac:dyDescent="0.3">
      <c r="A116" t="s">
        <v>519</v>
      </c>
      <c r="B116" t="s">
        <v>520</v>
      </c>
      <c r="C116" t="s">
        <v>29</v>
      </c>
      <c r="D116" t="s">
        <v>29</v>
      </c>
      <c r="E116" t="s">
        <v>29</v>
      </c>
      <c r="F116" t="s">
        <v>521</v>
      </c>
      <c r="G116" t="s">
        <v>522</v>
      </c>
      <c r="H116">
        <v>2019</v>
      </c>
      <c r="I116">
        <v>9</v>
      </c>
      <c r="J116">
        <v>1</v>
      </c>
      <c r="K116" t="s">
        <v>29</v>
      </c>
      <c r="L116" t="s">
        <v>29</v>
      </c>
      <c r="M116" t="s">
        <v>29</v>
      </c>
      <c r="N116" t="s">
        <v>29</v>
      </c>
      <c r="O116" t="s">
        <v>29</v>
      </c>
      <c r="P116">
        <v>43</v>
      </c>
      <c r="Q116" t="s">
        <v>523</v>
      </c>
      <c r="R116" t="s">
        <v>29</v>
      </c>
      <c r="S116" t="s">
        <v>29</v>
      </c>
      <c r="T116">
        <v>13</v>
      </c>
      <c r="U116">
        <v>2.17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  <c r="AB116">
        <v>0</v>
      </c>
      <c r="AC116">
        <v>0</v>
      </c>
      <c r="AD116">
        <v>0</v>
      </c>
      <c r="AE116">
        <v>0</v>
      </c>
      <c r="AF116">
        <v>0</v>
      </c>
      <c r="AG116">
        <v>0</v>
      </c>
      <c r="AH116">
        <v>0</v>
      </c>
      <c r="AI116">
        <v>0</v>
      </c>
      <c r="AJ116">
        <v>0</v>
      </c>
      <c r="AK116">
        <v>0</v>
      </c>
      <c r="AL116">
        <v>0</v>
      </c>
      <c r="AM116">
        <v>0</v>
      </c>
      <c r="AN116">
        <v>0</v>
      </c>
      <c r="AO116">
        <v>0</v>
      </c>
      <c r="AP116">
        <v>0</v>
      </c>
      <c r="AQ116">
        <v>0</v>
      </c>
      <c r="AR116">
        <v>0</v>
      </c>
      <c r="AS116">
        <v>0</v>
      </c>
      <c r="AT116">
        <v>0</v>
      </c>
      <c r="AU116">
        <v>0</v>
      </c>
      <c r="AV116">
        <v>0</v>
      </c>
      <c r="AW116">
        <v>0</v>
      </c>
      <c r="AX116">
        <v>0</v>
      </c>
      <c r="AY116">
        <v>0</v>
      </c>
      <c r="AZ116">
        <v>0</v>
      </c>
      <c r="BA116">
        <v>0</v>
      </c>
      <c r="BB116">
        <v>0</v>
      </c>
      <c r="BC116">
        <v>0</v>
      </c>
      <c r="BD116">
        <v>0</v>
      </c>
      <c r="BE116">
        <v>0</v>
      </c>
      <c r="BF116">
        <v>0</v>
      </c>
      <c r="BG116">
        <v>0</v>
      </c>
      <c r="BH116">
        <v>0</v>
      </c>
      <c r="BI116">
        <v>0</v>
      </c>
      <c r="BJ116">
        <v>0</v>
      </c>
      <c r="BK116">
        <v>0</v>
      </c>
      <c r="BL116">
        <v>0</v>
      </c>
      <c r="BM116">
        <v>0</v>
      </c>
      <c r="BN116">
        <v>0</v>
      </c>
      <c r="BO116">
        <v>0</v>
      </c>
      <c r="BP116">
        <v>4</v>
      </c>
      <c r="BQ116">
        <v>4</v>
      </c>
      <c r="BR116">
        <v>2</v>
      </c>
      <c r="BS116">
        <v>3</v>
      </c>
    </row>
    <row r="117" spans="1:71" x14ac:dyDescent="0.3">
      <c r="A117" t="s">
        <v>524</v>
      </c>
      <c r="B117" t="s">
        <v>525</v>
      </c>
      <c r="C117" t="s">
        <v>29</v>
      </c>
      <c r="D117" t="s">
        <v>29</v>
      </c>
      <c r="E117" t="s">
        <v>29</v>
      </c>
      <c r="F117" t="s">
        <v>526</v>
      </c>
      <c r="G117" t="s">
        <v>287</v>
      </c>
      <c r="H117">
        <v>2021</v>
      </c>
      <c r="I117">
        <v>48</v>
      </c>
      <c r="J117">
        <v>4</v>
      </c>
      <c r="K117" t="s">
        <v>29</v>
      </c>
      <c r="L117" t="s">
        <v>29</v>
      </c>
      <c r="M117" t="s">
        <v>29</v>
      </c>
      <c r="N117">
        <v>443</v>
      </c>
      <c r="O117">
        <v>458</v>
      </c>
      <c r="P117">
        <v>894845319867431</v>
      </c>
      <c r="Q117" t="s">
        <v>527</v>
      </c>
      <c r="R117" t="s">
        <v>29</v>
      </c>
      <c r="S117" t="s">
        <v>29</v>
      </c>
      <c r="T117">
        <v>13</v>
      </c>
      <c r="U117">
        <v>2.17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  <c r="AB117">
        <v>0</v>
      </c>
      <c r="AC117">
        <v>0</v>
      </c>
      <c r="AD117">
        <v>0</v>
      </c>
      <c r="AE117">
        <v>0</v>
      </c>
      <c r="AF117">
        <v>0</v>
      </c>
      <c r="AG117">
        <v>0</v>
      </c>
      <c r="AH117">
        <v>0</v>
      </c>
      <c r="AI117">
        <v>0</v>
      </c>
      <c r="AJ117">
        <v>0</v>
      </c>
      <c r="AK117">
        <v>0</v>
      </c>
      <c r="AL117">
        <v>0</v>
      </c>
      <c r="AM117">
        <v>0</v>
      </c>
      <c r="AN117">
        <v>0</v>
      </c>
      <c r="AO117">
        <v>0</v>
      </c>
      <c r="AP117">
        <v>0</v>
      </c>
      <c r="AQ117">
        <v>0</v>
      </c>
      <c r="AR117">
        <v>0</v>
      </c>
      <c r="AS117">
        <v>0</v>
      </c>
      <c r="AT117">
        <v>0</v>
      </c>
      <c r="AU117">
        <v>0</v>
      </c>
      <c r="AV117">
        <v>0</v>
      </c>
      <c r="AW117">
        <v>0</v>
      </c>
      <c r="AX117">
        <v>0</v>
      </c>
      <c r="AY117">
        <v>0</v>
      </c>
      <c r="AZ117">
        <v>0</v>
      </c>
      <c r="BA117">
        <v>0</v>
      </c>
      <c r="BB117">
        <v>0</v>
      </c>
      <c r="BC117">
        <v>0</v>
      </c>
      <c r="BD117">
        <v>0</v>
      </c>
      <c r="BE117">
        <v>0</v>
      </c>
      <c r="BF117">
        <v>0</v>
      </c>
      <c r="BG117">
        <v>0</v>
      </c>
      <c r="BH117">
        <v>0</v>
      </c>
      <c r="BI117">
        <v>0</v>
      </c>
      <c r="BJ117">
        <v>0</v>
      </c>
      <c r="BK117">
        <v>0</v>
      </c>
      <c r="BL117">
        <v>0</v>
      </c>
      <c r="BM117">
        <v>0</v>
      </c>
      <c r="BN117">
        <v>0</v>
      </c>
      <c r="BO117">
        <v>1</v>
      </c>
      <c r="BP117">
        <v>1</v>
      </c>
      <c r="BQ117">
        <v>2</v>
      </c>
      <c r="BR117">
        <v>6</v>
      </c>
      <c r="BS117">
        <v>3</v>
      </c>
    </row>
    <row r="118" spans="1:71" x14ac:dyDescent="0.3">
      <c r="A118" t="s">
        <v>528</v>
      </c>
      <c r="B118" t="s">
        <v>529</v>
      </c>
      <c r="C118" t="s">
        <v>29</v>
      </c>
      <c r="D118" t="s">
        <v>29</v>
      </c>
      <c r="E118" t="s">
        <v>29</v>
      </c>
      <c r="F118" t="s">
        <v>530</v>
      </c>
      <c r="G118">
        <v>2018</v>
      </c>
      <c r="H118">
        <v>2018</v>
      </c>
      <c r="I118">
        <v>43</v>
      </c>
      <c r="J118">
        <v>4</v>
      </c>
      <c r="K118" t="s">
        <v>29</v>
      </c>
      <c r="L118" t="s">
        <v>29</v>
      </c>
      <c r="M118" t="s">
        <v>29</v>
      </c>
      <c r="N118">
        <v>769</v>
      </c>
      <c r="O118">
        <v>785</v>
      </c>
      <c r="P118" t="s">
        <v>29</v>
      </c>
      <c r="Q118" t="s">
        <v>531</v>
      </c>
      <c r="R118" t="s">
        <v>29</v>
      </c>
      <c r="S118" t="s">
        <v>29</v>
      </c>
      <c r="T118">
        <v>13</v>
      </c>
      <c r="U118">
        <v>1.86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  <c r="AB118">
        <v>0</v>
      </c>
      <c r="AC118">
        <v>0</v>
      </c>
      <c r="AD118">
        <v>0</v>
      </c>
      <c r="AE118">
        <v>0</v>
      </c>
      <c r="AF118">
        <v>0</v>
      </c>
      <c r="AG118">
        <v>0</v>
      </c>
      <c r="AH118">
        <v>0</v>
      </c>
      <c r="AI118">
        <v>0</v>
      </c>
      <c r="AJ118">
        <v>0</v>
      </c>
      <c r="AK118">
        <v>0</v>
      </c>
      <c r="AL118">
        <v>0</v>
      </c>
      <c r="AM118">
        <v>0</v>
      </c>
      <c r="AN118">
        <v>0</v>
      </c>
      <c r="AO118">
        <v>0</v>
      </c>
      <c r="AP118">
        <v>0</v>
      </c>
      <c r="AQ118">
        <v>0</v>
      </c>
      <c r="AR118">
        <v>0</v>
      </c>
      <c r="AS118">
        <v>0</v>
      </c>
      <c r="AT118">
        <v>0</v>
      </c>
      <c r="AU118">
        <v>0</v>
      </c>
      <c r="AV118">
        <v>0</v>
      </c>
      <c r="AW118">
        <v>0</v>
      </c>
      <c r="AX118">
        <v>0</v>
      </c>
      <c r="AY118">
        <v>0</v>
      </c>
      <c r="AZ118">
        <v>0</v>
      </c>
      <c r="BA118">
        <v>0</v>
      </c>
      <c r="BB118">
        <v>0</v>
      </c>
      <c r="BC118">
        <v>0</v>
      </c>
      <c r="BD118">
        <v>0</v>
      </c>
      <c r="BE118">
        <v>0</v>
      </c>
      <c r="BF118">
        <v>0</v>
      </c>
      <c r="BG118">
        <v>0</v>
      </c>
      <c r="BH118">
        <v>0</v>
      </c>
      <c r="BI118">
        <v>0</v>
      </c>
      <c r="BJ118">
        <v>0</v>
      </c>
      <c r="BK118">
        <v>0</v>
      </c>
      <c r="BL118">
        <v>0</v>
      </c>
      <c r="BM118">
        <v>1</v>
      </c>
      <c r="BN118">
        <v>4</v>
      </c>
      <c r="BO118">
        <v>1</v>
      </c>
      <c r="BP118">
        <v>4</v>
      </c>
      <c r="BQ118">
        <v>1</v>
      </c>
      <c r="BR118">
        <v>1</v>
      </c>
      <c r="BS118">
        <v>1</v>
      </c>
    </row>
    <row r="119" spans="1:71" x14ac:dyDescent="0.3">
      <c r="A119" t="s">
        <v>532</v>
      </c>
      <c r="B119" t="s">
        <v>533</v>
      </c>
      <c r="C119" t="s">
        <v>29</v>
      </c>
      <c r="D119" t="s">
        <v>29</v>
      </c>
      <c r="E119" t="s">
        <v>29</v>
      </c>
      <c r="F119" t="s">
        <v>53</v>
      </c>
      <c r="G119" t="s">
        <v>54</v>
      </c>
      <c r="H119">
        <v>2015</v>
      </c>
      <c r="I119">
        <v>68</v>
      </c>
      <c r="J119">
        <v>2</v>
      </c>
      <c r="K119" t="s">
        <v>29</v>
      </c>
      <c r="L119" t="s">
        <v>29</v>
      </c>
      <c r="M119" t="s">
        <v>29</v>
      </c>
      <c r="N119">
        <v>291</v>
      </c>
      <c r="O119">
        <v>313</v>
      </c>
      <c r="P119" t="s">
        <v>29</v>
      </c>
      <c r="Q119" t="s">
        <v>534</v>
      </c>
      <c r="R119" t="s">
        <v>29</v>
      </c>
      <c r="S119" t="s">
        <v>29</v>
      </c>
      <c r="T119">
        <v>13</v>
      </c>
      <c r="U119">
        <v>1.3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  <c r="AB119">
        <v>0</v>
      </c>
      <c r="AC119">
        <v>0</v>
      </c>
      <c r="AD119">
        <v>0</v>
      </c>
      <c r="AE119">
        <v>0</v>
      </c>
      <c r="AF119">
        <v>0</v>
      </c>
      <c r="AG119">
        <v>0</v>
      </c>
      <c r="AH119">
        <v>0</v>
      </c>
      <c r="AI119">
        <v>0</v>
      </c>
      <c r="AJ119">
        <v>0</v>
      </c>
      <c r="AK119">
        <v>0</v>
      </c>
      <c r="AL119">
        <v>0</v>
      </c>
      <c r="AM119">
        <v>0</v>
      </c>
      <c r="AN119">
        <v>0</v>
      </c>
      <c r="AO119">
        <v>0</v>
      </c>
      <c r="AP119">
        <v>0</v>
      </c>
      <c r="AQ119">
        <v>0</v>
      </c>
      <c r="AR119">
        <v>0</v>
      </c>
      <c r="AS119">
        <v>0</v>
      </c>
      <c r="AT119">
        <v>0</v>
      </c>
      <c r="AU119">
        <v>0</v>
      </c>
      <c r="AV119">
        <v>0</v>
      </c>
      <c r="AW119">
        <v>0</v>
      </c>
      <c r="AX119">
        <v>0</v>
      </c>
      <c r="AY119">
        <v>0</v>
      </c>
      <c r="AZ119">
        <v>0</v>
      </c>
      <c r="BA119">
        <v>0</v>
      </c>
      <c r="BB119">
        <v>0</v>
      </c>
      <c r="BC119">
        <v>0</v>
      </c>
      <c r="BD119">
        <v>0</v>
      </c>
      <c r="BE119">
        <v>0</v>
      </c>
      <c r="BF119">
        <v>0</v>
      </c>
      <c r="BG119">
        <v>0</v>
      </c>
      <c r="BH119">
        <v>0</v>
      </c>
      <c r="BI119">
        <v>0</v>
      </c>
      <c r="BJ119">
        <v>0</v>
      </c>
      <c r="BK119">
        <v>0</v>
      </c>
      <c r="BL119">
        <v>1</v>
      </c>
      <c r="BM119">
        <v>2</v>
      </c>
      <c r="BN119">
        <v>0</v>
      </c>
      <c r="BO119">
        <v>5</v>
      </c>
      <c r="BP119">
        <v>4</v>
      </c>
      <c r="BQ119">
        <v>0</v>
      </c>
      <c r="BR119">
        <v>1</v>
      </c>
      <c r="BS119">
        <v>0</v>
      </c>
    </row>
    <row r="120" spans="1:71" x14ac:dyDescent="0.3">
      <c r="A120" t="s">
        <v>535</v>
      </c>
      <c r="B120" t="s">
        <v>536</v>
      </c>
      <c r="C120" t="s">
        <v>29</v>
      </c>
      <c r="D120" t="s">
        <v>29</v>
      </c>
      <c r="E120" t="s">
        <v>29</v>
      </c>
      <c r="F120" t="s">
        <v>537</v>
      </c>
      <c r="G120" t="s">
        <v>538</v>
      </c>
      <c r="H120">
        <v>2008</v>
      </c>
      <c r="I120">
        <v>75</v>
      </c>
      <c r="J120">
        <v>1</v>
      </c>
      <c r="K120" t="s">
        <v>29</v>
      </c>
      <c r="L120" t="s">
        <v>29</v>
      </c>
      <c r="M120" t="s">
        <v>29</v>
      </c>
      <c r="N120">
        <v>65</v>
      </c>
      <c r="O120">
        <v>98</v>
      </c>
      <c r="P120" t="s">
        <v>29</v>
      </c>
      <c r="Q120" t="s">
        <v>539</v>
      </c>
      <c r="R120" t="s">
        <v>29</v>
      </c>
      <c r="S120" t="s">
        <v>29</v>
      </c>
      <c r="T120">
        <v>13</v>
      </c>
      <c r="U120">
        <v>0.76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  <c r="AB120">
        <v>0</v>
      </c>
      <c r="AC120">
        <v>0</v>
      </c>
      <c r="AD120">
        <v>0</v>
      </c>
      <c r="AE120">
        <v>0</v>
      </c>
      <c r="AF120">
        <v>0</v>
      </c>
      <c r="AG120">
        <v>0</v>
      </c>
      <c r="AH120">
        <v>0</v>
      </c>
      <c r="AI120">
        <v>0</v>
      </c>
      <c r="AJ120">
        <v>0</v>
      </c>
      <c r="AK120">
        <v>0</v>
      </c>
      <c r="AL120">
        <v>0</v>
      </c>
      <c r="AM120">
        <v>0</v>
      </c>
      <c r="AN120">
        <v>0</v>
      </c>
      <c r="AO120">
        <v>0</v>
      </c>
      <c r="AP120">
        <v>0</v>
      </c>
      <c r="AQ120">
        <v>0</v>
      </c>
      <c r="AR120">
        <v>0</v>
      </c>
      <c r="AS120">
        <v>0</v>
      </c>
      <c r="AT120">
        <v>0</v>
      </c>
      <c r="AU120">
        <v>0</v>
      </c>
      <c r="AV120">
        <v>0</v>
      </c>
      <c r="AW120">
        <v>0</v>
      </c>
      <c r="AX120">
        <v>0</v>
      </c>
      <c r="AY120">
        <v>0</v>
      </c>
      <c r="AZ120">
        <v>0</v>
      </c>
      <c r="BA120">
        <v>0</v>
      </c>
      <c r="BB120">
        <v>0</v>
      </c>
      <c r="BC120">
        <v>1</v>
      </c>
      <c r="BD120">
        <v>1</v>
      </c>
      <c r="BE120">
        <v>3</v>
      </c>
      <c r="BF120">
        <v>2</v>
      </c>
      <c r="BG120">
        <v>0</v>
      </c>
      <c r="BH120">
        <v>0</v>
      </c>
      <c r="BI120">
        <v>1</v>
      </c>
      <c r="BJ120">
        <v>3</v>
      </c>
      <c r="BK120">
        <v>0</v>
      </c>
      <c r="BL120">
        <v>0</v>
      </c>
      <c r="BM120">
        <v>1</v>
      </c>
      <c r="BN120">
        <v>0</v>
      </c>
      <c r="BO120">
        <v>0</v>
      </c>
      <c r="BP120">
        <v>0</v>
      </c>
      <c r="BQ120">
        <v>1</v>
      </c>
      <c r="BR120">
        <v>0</v>
      </c>
      <c r="BS120">
        <v>0</v>
      </c>
    </row>
    <row r="121" spans="1:71" x14ac:dyDescent="0.3">
      <c r="A121" t="s">
        <v>540</v>
      </c>
      <c r="B121" t="s">
        <v>541</v>
      </c>
      <c r="C121" t="s">
        <v>29</v>
      </c>
      <c r="D121" t="s">
        <v>29</v>
      </c>
      <c r="E121" t="s">
        <v>29</v>
      </c>
      <c r="F121" t="s">
        <v>486</v>
      </c>
      <c r="G121" t="s">
        <v>542</v>
      </c>
      <c r="H121">
        <v>2021</v>
      </c>
      <c r="I121">
        <v>13</v>
      </c>
      <c r="J121">
        <v>9</v>
      </c>
      <c r="K121" t="s">
        <v>29</v>
      </c>
      <c r="L121" t="s">
        <v>29</v>
      </c>
      <c r="M121" t="s">
        <v>29</v>
      </c>
      <c r="N121" t="s">
        <v>29</v>
      </c>
      <c r="O121" t="s">
        <v>29</v>
      </c>
      <c r="P121">
        <v>4975</v>
      </c>
      <c r="Q121" t="s">
        <v>543</v>
      </c>
      <c r="R121" t="s">
        <v>29</v>
      </c>
      <c r="S121" t="s">
        <v>29</v>
      </c>
      <c r="T121">
        <v>12</v>
      </c>
      <c r="U121">
        <v>3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  <c r="AB121">
        <v>0</v>
      </c>
      <c r="AC121">
        <v>0</v>
      </c>
      <c r="AD121">
        <v>0</v>
      </c>
      <c r="AE121">
        <v>0</v>
      </c>
      <c r="AF121">
        <v>0</v>
      </c>
      <c r="AG121">
        <v>0</v>
      </c>
      <c r="AH121">
        <v>0</v>
      </c>
      <c r="AI121">
        <v>0</v>
      </c>
      <c r="AJ121">
        <v>0</v>
      </c>
      <c r="AK121">
        <v>0</v>
      </c>
      <c r="AL121">
        <v>0</v>
      </c>
      <c r="AM121">
        <v>0</v>
      </c>
      <c r="AN121">
        <v>0</v>
      </c>
      <c r="AO121">
        <v>0</v>
      </c>
      <c r="AP121">
        <v>0</v>
      </c>
      <c r="AQ121">
        <v>0</v>
      </c>
      <c r="AR121">
        <v>0</v>
      </c>
      <c r="AS121">
        <v>0</v>
      </c>
      <c r="AT121">
        <v>0</v>
      </c>
      <c r="AU121">
        <v>0</v>
      </c>
      <c r="AV121">
        <v>0</v>
      </c>
      <c r="AW121">
        <v>0</v>
      </c>
      <c r="AX121">
        <v>0</v>
      </c>
      <c r="AY121">
        <v>0</v>
      </c>
      <c r="AZ121">
        <v>0</v>
      </c>
      <c r="BA121">
        <v>0</v>
      </c>
      <c r="BB121">
        <v>0</v>
      </c>
      <c r="BC121">
        <v>0</v>
      </c>
      <c r="BD121">
        <v>0</v>
      </c>
      <c r="BE121">
        <v>0</v>
      </c>
      <c r="BF121">
        <v>0</v>
      </c>
      <c r="BG121">
        <v>0</v>
      </c>
      <c r="BH121">
        <v>0</v>
      </c>
      <c r="BI121">
        <v>0</v>
      </c>
      <c r="BJ121">
        <v>0</v>
      </c>
      <c r="BK121">
        <v>0</v>
      </c>
      <c r="BL121">
        <v>0</v>
      </c>
      <c r="BM121">
        <v>0</v>
      </c>
      <c r="BN121">
        <v>0</v>
      </c>
      <c r="BO121">
        <v>0</v>
      </c>
      <c r="BP121">
        <v>1</v>
      </c>
      <c r="BQ121">
        <v>4</v>
      </c>
      <c r="BR121">
        <v>5</v>
      </c>
      <c r="BS121">
        <v>2</v>
      </c>
    </row>
    <row r="122" spans="1:71" x14ac:dyDescent="0.3">
      <c r="A122" t="s">
        <v>544</v>
      </c>
      <c r="B122" t="s">
        <v>545</v>
      </c>
      <c r="C122" t="s">
        <v>29</v>
      </c>
      <c r="D122" t="s">
        <v>29</v>
      </c>
      <c r="E122" t="s">
        <v>29</v>
      </c>
      <c r="F122" t="s">
        <v>546</v>
      </c>
      <c r="G122">
        <v>2020</v>
      </c>
      <c r="H122">
        <v>2020</v>
      </c>
      <c r="I122">
        <v>19</v>
      </c>
      <c r="J122" t="s">
        <v>29</v>
      </c>
      <c r="K122" t="s">
        <v>29</v>
      </c>
      <c r="L122" t="s">
        <v>29</v>
      </c>
      <c r="M122" t="s">
        <v>29</v>
      </c>
      <c r="N122">
        <v>339</v>
      </c>
      <c r="O122">
        <v>365</v>
      </c>
      <c r="P122" t="s">
        <v>29</v>
      </c>
      <c r="Q122" t="s">
        <v>547</v>
      </c>
      <c r="R122" t="s">
        <v>29</v>
      </c>
      <c r="S122" t="s">
        <v>29</v>
      </c>
      <c r="T122">
        <v>12</v>
      </c>
      <c r="U122">
        <v>2.4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  <c r="AB122">
        <v>0</v>
      </c>
      <c r="AC122">
        <v>0</v>
      </c>
      <c r="AD122">
        <v>0</v>
      </c>
      <c r="AE122">
        <v>0</v>
      </c>
      <c r="AF122">
        <v>0</v>
      </c>
      <c r="AG122">
        <v>0</v>
      </c>
      <c r="AH122">
        <v>0</v>
      </c>
      <c r="AI122">
        <v>0</v>
      </c>
      <c r="AJ122">
        <v>0</v>
      </c>
      <c r="AK122">
        <v>0</v>
      </c>
      <c r="AL122">
        <v>0</v>
      </c>
      <c r="AM122">
        <v>0</v>
      </c>
      <c r="AN122">
        <v>0</v>
      </c>
      <c r="AO122">
        <v>0</v>
      </c>
      <c r="AP122">
        <v>0</v>
      </c>
      <c r="AQ122">
        <v>0</v>
      </c>
      <c r="AR122">
        <v>0</v>
      </c>
      <c r="AS122">
        <v>0</v>
      </c>
      <c r="AT122">
        <v>0</v>
      </c>
      <c r="AU122">
        <v>0</v>
      </c>
      <c r="AV122">
        <v>0</v>
      </c>
      <c r="AW122">
        <v>0</v>
      </c>
      <c r="AX122">
        <v>0</v>
      </c>
      <c r="AY122">
        <v>0</v>
      </c>
      <c r="AZ122">
        <v>0</v>
      </c>
      <c r="BA122">
        <v>0</v>
      </c>
      <c r="BB122">
        <v>0</v>
      </c>
      <c r="BC122">
        <v>0</v>
      </c>
      <c r="BD122">
        <v>0</v>
      </c>
      <c r="BE122">
        <v>0</v>
      </c>
      <c r="BF122">
        <v>0</v>
      </c>
      <c r="BG122">
        <v>0</v>
      </c>
      <c r="BH122">
        <v>0</v>
      </c>
      <c r="BI122">
        <v>0</v>
      </c>
      <c r="BJ122">
        <v>0</v>
      </c>
      <c r="BK122">
        <v>0</v>
      </c>
      <c r="BL122">
        <v>0</v>
      </c>
      <c r="BM122">
        <v>0</v>
      </c>
      <c r="BN122">
        <v>0</v>
      </c>
      <c r="BO122">
        <v>0</v>
      </c>
      <c r="BP122">
        <v>2</v>
      </c>
      <c r="BQ122">
        <v>4</v>
      </c>
      <c r="BR122">
        <v>2</v>
      </c>
      <c r="BS122">
        <v>4</v>
      </c>
    </row>
    <row r="123" spans="1:71" x14ac:dyDescent="0.3">
      <c r="A123" t="s">
        <v>548</v>
      </c>
      <c r="B123" t="s">
        <v>549</v>
      </c>
      <c r="C123" t="s">
        <v>29</v>
      </c>
      <c r="D123" t="s">
        <v>29</v>
      </c>
      <c r="E123" t="s">
        <v>550</v>
      </c>
      <c r="F123" t="s">
        <v>551</v>
      </c>
      <c r="G123">
        <v>2020</v>
      </c>
      <c r="H123">
        <v>2020</v>
      </c>
      <c r="I123" t="s">
        <v>29</v>
      </c>
      <c r="J123" t="s">
        <v>29</v>
      </c>
      <c r="K123" t="s">
        <v>29</v>
      </c>
      <c r="L123" t="s">
        <v>29</v>
      </c>
      <c r="M123" t="s">
        <v>29</v>
      </c>
      <c r="N123">
        <v>1110</v>
      </c>
      <c r="O123">
        <v>1114</v>
      </c>
      <c r="P123" t="s">
        <v>29</v>
      </c>
      <c r="Q123" t="s">
        <v>29</v>
      </c>
      <c r="R123" t="s">
        <v>552</v>
      </c>
      <c r="S123" t="s">
        <v>553</v>
      </c>
      <c r="T123">
        <v>12</v>
      </c>
      <c r="U123">
        <v>2.4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  <c r="AB123">
        <v>0</v>
      </c>
      <c r="AC123">
        <v>0</v>
      </c>
      <c r="AD123">
        <v>0</v>
      </c>
      <c r="AE123">
        <v>0</v>
      </c>
      <c r="AF123">
        <v>0</v>
      </c>
      <c r="AG123">
        <v>0</v>
      </c>
      <c r="AH123">
        <v>0</v>
      </c>
      <c r="AI123">
        <v>0</v>
      </c>
      <c r="AJ123">
        <v>0</v>
      </c>
      <c r="AK123">
        <v>0</v>
      </c>
      <c r="AL123">
        <v>0</v>
      </c>
      <c r="AM123">
        <v>0</v>
      </c>
      <c r="AN123">
        <v>0</v>
      </c>
      <c r="AO123">
        <v>0</v>
      </c>
      <c r="AP123">
        <v>0</v>
      </c>
      <c r="AQ123">
        <v>0</v>
      </c>
      <c r="AR123">
        <v>0</v>
      </c>
      <c r="AS123">
        <v>0</v>
      </c>
      <c r="AT123">
        <v>0</v>
      </c>
      <c r="AU123">
        <v>0</v>
      </c>
      <c r="AV123">
        <v>0</v>
      </c>
      <c r="AW123">
        <v>0</v>
      </c>
      <c r="AX123">
        <v>0</v>
      </c>
      <c r="AY123">
        <v>0</v>
      </c>
      <c r="AZ123">
        <v>0</v>
      </c>
      <c r="BA123">
        <v>0</v>
      </c>
      <c r="BB123">
        <v>0</v>
      </c>
      <c r="BC123">
        <v>0</v>
      </c>
      <c r="BD123">
        <v>0</v>
      </c>
      <c r="BE123">
        <v>0</v>
      </c>
      <c r="BF123">
        <v>0</v>
      </c>
      <c r="BG123">
        <v>0</v>
      </c>
      <c r="BH123">
        <v>0</v>
      </c>
      <c r="BI123">
        <v>0</v>
      </c>
      <c r="BJ123">
        <v>0</v>
      </c>
      <c r="BK123">
        <v>0</v>
      </c>
      <c r="BL123">
        <v>0</v>
      </c>
      <c r="BM123">
        <v>0</v>
      </c>
      <c r="BN123">
        <v>0</v>
      </c>
      <c r="BO123">
        <v>0</v>
      </c>
      <c r="BP123">
        <v>0</v>
      </c>
      <c r="BQ123">
        <v>12</v>
      </c>
      <c r="BR123">
        <v>0</v>
      </c>
      <c r="BS123">
        <v>0</v>
      </c>
    </row>
    <row r="124" spans="1:71" x14ac:dyDescent="0.3">
      <c r="A124" t="s">
        <v>554</v>
      </c>
      <c r="B124" t="s">
        <v>555</v>
      </c>
      <c r="C124" t="s">
        <v>29</v>
      </c>
      <c r="D124" t="s">
        <v>29</v>
      </c>
      <c r="E124" t="s">
        <v>29</v>
      </c>
      <c r="F124" t="s">
        <v>556</v>
      </c>
      <c r="G124">
        <v>2018</v>
      </c>
      <c r="H124">
        <v>2018</v>
      </c>
      <c r="I124">
        <v>36</v>
      </c>
      <c r="J124">
        <v>2</v>
      </c>
      <c r="K124" t="s">
        <v>29</v>
      </c>
      <c r="L124" t="s">
        <v>29</v>
      </c>
      <c r="M124" t="s">
        <v>29</v>
      </c>
      <c r="N124">
        <v>757</v>
      </c>
      <c r="O124">
        <v>776</v>
      </c>
      <c r="P124" t="s">
        <v>29</v>
      </c>
      <c r="Q124" t="s">
        <v>557</v>
      </c>
      <c r="R124" t="s">
        <v>29</v>
      </c>
      <c r="S124" t="s">
        <v>29</v>
      </c>
      <c r="T124">
        <v>12</v>
      </c>
      <c r="U124">
        <v>1.71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  <c r="AB124">
        <v>0</v>
      </c>
      <c r="AC124">
        <v>0</v>
      </c>
      <c r="AD124">
        <v>0</v>
      </c>
      <c r="AE124">
        <v>0</v>
      </c>
      <c r="AF124">
        <v>0</v>
      </c>
      <c r="AG124">
        <v>0</v>
      </c>
      <c r="AH124">
        <v>0</v>
      </c>
      <c r="AI124">
        <v>0</v>
      </c>
      <c r="AJ124">
        <v>0</v>
      </c>
      <c r="AK124">
        <v>0</v>
      </c>
      <c r="AL124">
        <v>0</v>
      </c>
      <c r="AM124">
        <v>0</v>
      </c>
      <c r="AN124">
        <v>0</v>
      </c>
      <c r="AO124">
        <v>0</v>
      </c>
      <c r="AP124">
        <v>0</v>
      </c>
      <c r="AQ124">
        <v>0</v>
      </c>
      <c r="AR124">
        <v>0</v>
      </c>
      <c r="AS124">
        <v>0</v>
      </c>
      <c r="AT124">
        <v>0</v>
      </c>
      <c r="AU124">
        <v>0</v>
      </c>
      <c r="AV124">
        <v>0</v>
      </c>
      <c r="AW124">
        <v>0</v>
      </c>
      <c r="AX124">
        <v>0</v>
      </c>
      <c r="AY124">
        <v>0</v>
      </c>
      <c r="AZ124">
        <v>0</v>
      </c>
      <c r="BA124">
        <v>0</v>
      </c>
      <c r="BB124">
        <v>0</v>
      </c>
      <c r="BC124">
        <v>0</v>
      </c>
      <c r="BD124">
        <v>0</v>
      </c>
      <c r="BE124">
        <v>0</v>
      </c>
      <c r="BF124">
        <v>0</v>
      </c>
      <c r="BG124">
        <v>0</v>
      </c>
      <c r="BH124">
        <v>0</v>
      </c>
      <c r="BI124">
        <v>0</v>
      </c>
      <c r="BJ124">
        <v>0</v>
      </c>
      <c r="BK124">
        <v>0</v>
      </c>
      <c r="BL124">
        <v>0</v>
      </c>
      <c r="BM124">
        <v>0</v>
      </c>
      <c r="BN124">
        <v>2</v>
      </c>
      <c r="BO124">
        <v>3</v>
      </c>
      <c r="BP124">
        <v>1</v>
      </c>
      <c r="BQ124">
        <v>1</v>
      </c>
      <c r="BR124">
        <v>4</v>
      </c>
      <c r="BS124">
        <v>1</v>
      </c>
    </row>
    <row r="125" spans="1:71" x14ac:dyDescent="0.3">
      <c r="A125" t="s">
        <v>558</v>
      </c>
      <c r="B125" t="s">
        <v>559</v>
      </c>
      <c r="C125" t="s">
        <v>29</v>
      </c>
      <c r="D125" t="s">
        <v>29</v>
      </c>
      <c r="E125" t="s">
        <v>29</v>
      </c>
      <c r="F125" t="s">
        <v>560</v>
      </c>
      <c r="G125">
        <v>2016</v>
      </c>
      <c r="H125">
        <v>2016</v>
      </c>
      <c r="I125">
        <v>45</v>
      </c>
      <c r="J125">
        <v>2</v>
      </c>
      <c r="K125" t="s">
        <v>29</v>
      </c>
      <c r="L125" t="s">
        <v>29</v>
      </c>
      <c r="M125" t="s">
        <v>29</v>
      </c>
      <c r="N125">
        <v>255</v>
      </c>
      <c r="O125">
        <v>273</v>
      </c>
      <c r="P125" t="s">
        <v>29</v>
      </c>
      <c r="Q125" t="s">
        <v>561</v>
      </c>
      <c r="R125" t="s">
        <v>29</v>
      </c>
      <c r="S125" t="s">
        <v>29</v>
      </c>
      <c r="T125">
        <v>12</v>
      </c>
      <c r="U125">
        <v>1.33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  <c r="AB125">
        <v>0</v>
      </c>
      <c r="AC125">
        <v>0</v>
      </c>
      <c r="AD125">
        <v>0</v>
      </c>
      <c r="AE125">
        <v>0</v>
      </c>
      <c r="AF125">
        <v>0</v>
      </c>
      <c r="AG125">
        <v>0</v>
      </c>
      <c r="AH125">
        <v>0</v>
      </c>
      <c r="AI125">
        <v>0</v>
      </c>
      <c r="AJ125">
        <v>0</v>
      </c>
      <c r="AK125">
        <v>0</v>
      </c>
      <c r="AL125">
        <v>0</v>
      </c>
      <c r="AM125">
        <v>0</v>
      </c>
      <c r="AN125">
        <v>0</v>
      </c>
      <c r="AO125">
        <v>0</v>
      </c>
      <c r="AP125">
        <v>0</v>
      </c>
      <c r="AQ125">
        <v>0</v>
      </c>
      <c r="AR125">
        <v>0</v>
      </c>
      <c r="AS125">
        <v>0</v>
      </c>
      <c r="AT125">
        <v>0</v>
      </c>
      <c r="AU125">
        <v>0</v>
      </c>
      <c r="AV125">
        <v>0</v>
      </c>
      <c r="AW125">
        <v>0</v>
      </c>
      <c r="AX125">
        <v>0</v>
      </c>
      <c r="AY125">
        <v>0</v>
      </c>
      <c r="AZ125">
        <v>0</v>
      </c>
      <c r="BA125">
        <v>0</v>
      </c>
      <c r="BB125">
        <v>0</v>
      </c>
      <c r="BC125">
        <v>0</v>
      </c>
      <c r="BD125">
        <v>0</v>
      </c>
      <c r="BE125">
        <v>0</v>
      </c>
      <c r="BF125">
        <v>0</v>
      </c>
      <c r="BG125">
        <v>0</v>
      </c>
      <c r="BH125">
        <v>0</v>
      </c>
      <c r="BI125">
        <v>0</v>
      </c>
      <c r="BJ125">
        <v>0</v>
      </c>
      <c r="BK125">
        <v>1</v>
      </c>
      <c r="BL125">
        <v>1</v>
      </c>
      <c r="BM125">
        <v>1</v>
      </c>
      <c r="BN125">
        <v>1</v>
      </c>
      <c r="BO125">
        <v>3</v>
      </c>
      <c r="BP125">
        <v>0</v>
      </c>
      <c r="BQ125">
        <v>3</v>
      </c>
      <c r="BR125">
        <v>1</v>
      </c>
      <c r="BS125">
        <v>1</v>
      </c>
    </row>
    <row r="126" spans="1:71" x14ac:dyDescent="0.3">
      <c r="A126" t="s">
        <v>562</v>
      </c>
      <c r="B126" t="s">
        <v>563</v>
      </c>
      <c r="C126" t="s">
        <v>29</v>
      </c>
      <c r="D126" t="s">
        <v>29</v>
      </c>
      <c r="E126" t="s">
        <v>29</v>
      </c>
      <c r="F126" t="s">
        <v>564</v>
      </c>
      <c r="G126" t="s">
        <v>337</v>
      </c>
      <c r="H126">
        <v>2006</v>
      </c>
      <c r="I126">
        <v>30</v>
      </c>
      <c r="J126">
        <v>3</v>
      </c>
      <c r="K126" t="s">
        <v>29</v>
      </c>
      <c r="L126" t="s">
        <v>29</v>
      </c>
      <c r="M126" t="s">
        <v>29</v>
      </c>
      <c r="N126">
        <v>548</v>
      </c>
      <c r="O126">
        <v>563</v>
      </c>
      <c r="P126" t="s">
        <v>29</v>
      </c>
      <c r="Q126" t="s">
        <v>565</v>
      </c>
      <c r="R126" t="s">
        <v>29</v>
      </c>
      <c r="S126" t="s">
        <v>29</v>
      </c>
      <c r="T126">
        <v>12</v>
      </c>
      <c r="U126">
        <v>0.63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  <c r="AB126">
        <v>0</v>
      </c>
      <c r="AC126">
        <v>0</v>
      </c>
      <c r="AD126">
        <v>0</v>
      </c>
      <c r="AE126">
        <v>0</v>
      </c>
      <c r="AF126">
        <v>0</v>
      </c>
      <c r="AG126">
        <v>0</v>
      </c>
      <c r="AH126">
        <v>0</v>
      </c>
      <c r="AI126">
        <v>0</v>
      </c>
      <c r="AJ126">
        <v>0</v>
      </c>
      <c r="AK126">
        <v>0</v>
      </c>
      <c r="AL126">
        <v>0</v>
      </c>
      <c r="AM126">
        <v>0</v>
      </c>
      <c r="AN126">
        <v>0</v>
      </c>
      <c r="AO126">
        <v>0</v>
      </c>
      <c r="AP126">
        <v>0</v>
      </c>
      <c r="AQ126">
        <v>0</v>
      </c>
      <c r="AR126">
        <v>0</v>
      </c>
      <c r="AS126">
        <v>0</v>
      </c>
      <c r="AT126">
        <v>0</v>
      </c>
      <c r="AU126">
        <v>0</v>
      </c>
      <c r="AV126">
        <v>0</v>
      </c>
      <c r="AW126">
        <v>0</v>
      </c>
      <c r="AX126">
        <v>0</v>
      </c>
      <c r="AY126">
        <v>0</v>
      </c>
      <c r="AZ126">
        <v>0</v>
      </c>
      <c r="BA126">
        <v>0</v>
      </c>
      <c r="BB126">
        <v>0</v>
      </c>
      <c r="BC126">
        <v>0</v>
      </c>
      <c r="BD126">
        <v>1</v>
      </c>
      <c r="BE126">
        <v>3</v>
      </c>
      <c r="BF126">
        <v>0</v>
      </c>
      <c r="BG126">
        <v>1</v>
      </c>
      <c r="BH126">
        <v>0</v>
      </c>
      <c r="BI126">
        <v>2</v>
      </c>
      <c r="BJ126">
        <v>0</v>
      </c>
      <c r="BK126">
        <v>0</v>
      </c>
      <c r="BL126">
        <v>0</v>
      </c>
      <c r="BM126">
        <v>2</v>
      </c>
      <c r="BN126">
        <v>1</v>
      </c>
      <c r="BO126">
        <v>0</v>
      </c>
      <c r="BP126">
        <v>1</v>
      </c>
      <c r="BQ126">
        <v>0</v>
      </c>
      <c r="BR126">
        <v>1</v>
      </c>
      <c r="BS126">
        <v>0</v>
      </c>
    </row>
    <row r="127" spans="1:71" x14ac:dyDescent="0.3">
      <c r="A127" t="s">
        <v>566</v>
      </c>
      <c r="B127" t="s">
        <v>567</v>
      </c>
      <c r="C127" t="s">
        <v>29</v>
      </c>
      <c r="D127" t="s">
        <v>29</v>
      </c>
      <c r="E127" t="s">
        <v>29</v>
      </c>
      <c r="F127" t="s">
        <v>48</v>
      </c>
      <c r="G127" t="s">
        <v>568</v>
      </c>
      <c r="H127">
        <v>2022</v>
      </c>
      <c r="I127">
        <v>64</v>
      </c>
      <c r="J127">
        <v>2</v>
      </c>
      <c r="K127" t="s">
        <v>29</v>
      </c>
      <c r="L127" t="s">
        <v>29</v>
      </c>
      <c r="M127" t="s">
        <v>32</v>
      </c>
      <c r="N127">
        <v>177</v>
      </c>
      <c r="O127">
        <v>189</v>
      </c>
      <c r="P127" t="s">
        <v>29</v>
      </c>
      <c r="Q127" t="s">
        <v>569</v>
      </c>
      <c r="R127" t="s">
        <v>29</v>
      </c>
      <c r="S127" t="s">
        <v>29</v>
      </c>
      <c r="T127">
        <v>11</v>
      </c>
      <c r="U127">
        <v>2.75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  <c r="AB127">
        <v>0</v>
      </c>
      <c r="AC127">
        <v>0</v>
      </c>
      <c r="AD127">
        <v>0</v>
      </c>
      <c r="AE127">
        <v>0</v>
      </c>
      <c r="AF127">
        <v>0</v>
      </c>
      <c r="AG127">
        <v>0</v>
      </c>
      <c r="AH127">
        <v>0</v>
      </c>
      <c r="AI127">
        <v>0</v>
      </c>
      <c r="AJ127">
        <v>0</v>
      </c>
      <c r="AK127">
        <v>0</v>
      </c>
      <c r="AL127">
        <v>0</v>
      </c>
      <c r="AM127">
        <v>0</v>
      </c>
      <c r="AN127">
        <v>0</v>
      </c>
      <c r="AO127">
        <v>0</v>
      </c>
      <c r="AP127">
        <v>0</v>
      </c>
      <c r="AQ127">
        <v>0</v>
      </c>
      <c r="AR127">
        <v>0</v>
      </c>
      <c r="AS127">
        <v>0</v>
      </c>
      <c r="AT127">
        <v>0</v>
      </c>
      <c r="AU127">
        <v>0</v>
      </c>
      <c r="AV127">
        <v>0</v>
      </c>
      <c r="AW127">
        <v>0</v>
      </c>
      <c r="AX127">
        <v>0</v>
      </c>
      <c r="AY127">
        <v>0</v>
      </c>
      <c r="AZ127">
        <v>0</v>
      </c>
      <c r="BA127">
        <v>0</v>
      </c>
      <c r="BB127">
        <v>0</v>
      </c>
      <c r="BC127">
        <v>0</v>
      </c>
      <c r="BD127">
        <v>0</v>
      </c>
      <c r="BE127">
        <v>0</v>
      </c>
      <c r="BF127">
        <v>0</v>
      </c>
      <c r="BG127">
        <v>0</v>
      </c>
      <c r="BH127">
        <v>0</v>
      </c>
      <c r="BI127">
        <v>0</v>
      </c>
      <c r="BJ127">
        <v>0</v>
      </c>
      <c r="BK127">
        <v>0</v>
      </c>
      <c r="BL127">
        <v>0</v>
      </c>
      <c r="BM127">
        <v>0</v>
      </c>
      <c r="BN127">
        <v>0</v>
      </c>
      <c r="BO127">
        <v>0</v>
      </c>
      <c r="BP127">
        <v>1</v>
      </c>
      <c r="BQ127">
        <v>2</v>
      </c>
      <c r="BR127">
        <v>6</v>
      </c>
      <c r="BS127">
        <v>2</v>
      </c>
    </row>
    <row r="128" spans="1:71" x14ac:dyDescent="0.3">
      <c r="A128" t="s">
        <v>570</v>
      </c>
      <c r="B128" t="s">
        <v>571</v>
      </c>
      <c r="C128" t="s">
        <v>29</v>
      </c>
      <c r="D128" t="s">
        <v>29</v>
      </c>
      <c r="E128" t="s">
        <v>29</v>
      </c>
      <c r="F128" t="s">
        <v>572</v>
      </c>
      <c r="G128" t="s">
        <v>573</v>
      </c>
      <c r="H128">
        <v>2021</v>
      </c>
      <c r="I128">
        <v>33</v>
      </c>
      <c r="J128">
        <v>7</v>
      </c>
      <c r="K128" t="s">
        <v>29</v>
      </c>
      <c r="L128" t="s">
        <v>29</v>
      </c>
      <c r="M128" t="s">
        <v>29</v>
      </c>
      <c r="N128">
        <v>561</v>
      </c>
      <c r="O128">
        <v>574</v>
      </c>
      <c r="P128" t="s">
        <v>29</v>
      </c>
      <c r="Q128" t="s">
        <v>574</v>
      </c>
      <c r="R128" t="s">
        <v>29</v>
      </c>
      <c r="S128" t="s">
        <v>29</v>
      </c>
      <c r="T128">
        <v>11</v>
      </c>
      <c r="U128">
        <v>2.75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  <c r="AB128">
        <v>0</v>
      </c>
      <c r="AC128">
        <v>0</v>
      </c>
      <c r="AD128">
        <v>0</v>
      </c>
      <c r="AE128">
        <v>0</v>
      </c>
      <c r="AF128">
        <v>0</v>
      </c>
      <c r="AG128">
        <v>0</v>
      </c>
      <c r="AH128">
        <v>0</v>
      </c>
      <c r="AI128">
        <v>0</v>
      </c>
      <c r="AJ128">
        <v>0</v>
      </c>
      <c r="AK128">
        <v>0</v>
      </c>
      <c r="AL128">
        <v>0</v>
      </c>
      <c r="AM128">
        <v>0</v>
      </c>
      <c r="AN128">
        <v>0</v>
      </c>
      <c r="AO128">
        <v>0</v>
      </c>
      <c r="AP128">
        <v>0</v>
      </c>
      <c r="AQ128">
        <v>0</v>
      </c>
      <c r="AR128">
        <v>0</v>
      </c>
      <c r="AS128">
        <v>0</v>
      </c>
      <c r="AT128">
        <v>0</v>
      </c>
      <c r="AU128">
        <v>0</v>
      </c>
      <c r="AV128">
        <v>0</v>
      </c>
      <c r="AW128">
        <v>0</v>
      </c>
      <c r="AX128">
        <v>0</v>
      </c>
      <c r="AY128">
        <v>0</v>
      </c>
      <c r="AZ128">
        <v>0</v>
      </c>
      <c r="BA128">
        <v>0</v>
      </c>
      <c r="BB128">
        <v>0</v>
      </c>
      <c r="BC128">
        <v>0</v>
      </c>
      <c r="BD128">
        <v>0</v>
      </c>
      <c r="BE128">
        <v>0</v>
      </c>
      <c r="BF128">
        <v>0</v>
      </c>
      <c r="BG128">
        <v>0</v>
      </c>
      <c r="BH128">
        <v>0</v>
      </c>
      <c r="BI128">
        <v>0</v>
      </c>
      <c r="BJ128">
        <v>0</v>
      </c>
      <c r="BK128">
        <v>0</v>
      </c>
      <c r="BL128">
        <v>0</v>
      </c>
      <c r="BM128">
        <v>0</v>
      </c>
      <c r="BN128">
        <v>0</v>
      </c>
      <c r="BO128">
        <v>0</v>
      </c>
      <c r="BP128">
        <v>0</v>
      </c>
      <c r="BQ128">
        <v>4</v>
      </c>
      <c r="BR128">
        <v>2</v>
      </c>
      <c r="BS128">
        <v>5</v>
      </c>
    </row>
    <row r="129" spans="1:71" x14ac:dyDescent="0.3">
      <c r="A129" t="s">
        <v>575</v>
      </c>
      <c r="B129" t="s">
        <v>576</v>
      </c>
      <c r="C129" t="s">
        <v>29</v>
      </c>
      <c r="D129" t="s">
        <v>29</v>
      </c>
      <c r="E129" t="s">
        <v>29</v>
      </c>
      <c r="F129" t="s">
        <v>577</v>
      </c>
      <c r="G129">
        <v>2020</v>
      </c>
      <c r="H129">
        <v>2020</v>
      </c>
      <c r="I129">
        <v>8</v>
      </c>
      <c r="J129" t="s">
        <v>29</v>
      </c>
      <c r="K129" t="s">
        <v>29</v>
      </c>
      <c r="L129" t="s">
        <v>29</v>
      </c>
      <c r="M129" t="s">
        <v>32</v>
      </c>
      <c r="N129">
        <v>93</v>
      </c>
      <c r="O129">
        <v>102</v>
      </c>
      <c r="P129" t="s">
        <v>29</v>
      </c>
      <c r="Q129" t="s">
        <v>578</v>
      </c>
      <c r="R129" t="s">
        <v>29</v>
      </c>
      <c r="S129" t="s">
        <v>29</v>
      </c>
      <c r="T129">
        <v>11</v>
      </c>
      <c r="U129">
        <v>2.2000000000000002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  <c r="AB129">
        <v>0</v>
      </c>
      <c r="AC129">
        <v>0</v>
      </c>
      <c r="AD129">
        <v>0</v>
      </c>
      <c r="AE129">
        <v>0</v>
      </c>
      <c r="AF129">
        <v>0</v>
      </c>
      <c r="AG129">
        <v>0</v>
      </c>
      <c r="AH129">
        <v>0</v>
      </c>
      <c r="AI129">
        <v>0</v>
      </c>
      <c r="AJ129">
        <v>0</v>
      </c>
      <c r="AK129">
        <v>0</v>
      </c>
      <c r="AL129">
        <v>0</v>
      </c>
      <c r="AM129">
        <v>0</v>
      </c>
      <c r="AN129">
        <v>0</v>
      </c>
      <c r="AO129">
        <v>0</v>
      </c>
      <c r="AP129">
        <v>0</v>
      </c>
      <c r="AQ129">
        <v>0</v>
      </c>
      <c r="AR129">
        <v>0</v>
      </c>
      <c r="AS129">
        <v>0</v>
      </c>
      <c r="AT129">
        <v>0</v>
      </c>
      <c r="AU129">
        <v>0</v>
      </c>
      <c r="AV129">
        <v>0</v>
      </c>
      <c r="AW129">
        <v>0</v>
      </c>
      <c r="AX129">
        <v>0</v>
      </c>
      <c r="AY129">
        <v>0</v>
      </c>
      <c r="AZ129">
        <v>0</v>
      </c>
      <c r="BA129">
        <v>0</v>
      </c>
      <c r="BB129">
        <v>0</v>
      </c>
      <c r="BC129">
        <v>0</v>
      </c>
      <c r="BD129">
        <v>0</v>
      </c>
      <c r="BE129">
        <v>0</v>
      </c>
      <c r="BF129">
        <v>0</v>
      </c>
      <c r="BG129">
        <v>0</v>
      </c>
      <c r="BH129">
        <v>0</v>
      </c>
      <c r="BI129">
        <v>0</v>
      </c>
      <c r="BJ129">
        <v>0</v>
      </c>
      <c r="BK129">
        <v>0</v>
      </c>
      <c r="BL129">
        <v>0</v>
      </c>
      <c r="BM129">
        <v>0</v>
      </c>
      <c r="BN129">
        <v>0</v>
      </c>
      <c r="BO129">
        <v>0</v>
      </c>
      <c r="BP129">
        <v>1</v>
      </c>
      <c r="BQ129">
        <v>3</v>
      </c>
      <c r="BR129">
        <v>4</v>
      </c>
      <c r="BS129">
        <v>3</v>
      </c>
    </row>
    <row r="130" spans="1:71" x14ac:dyDescent="0.3">
      <c r="A130" t="s">
        <v>579</v>
      </c>
      <c r="B130" t="s">
        <v>580</v>
      </c>
      <c r="C130" t="s">
        <v>29</v>
      </c>
      <c r="D130" t="s">
        <v>29</v>
      </c>
      <c r="E130" t="s">
        <v>29</v>
      </c>
      <c r="F130" t="s">
        <v>581</v>
      </c>
      <c r="G130" t="s">
        <v>582</v>
      </c>
      <c r="H130">
        <v>2019</v>
      </c>
      <c r="I130">
        <v>20</v>
      </c>
      <c r="J130">
        <v>1</v>
      </c>
      <c r="K130" t="s">
        <v>29</v>
      </c>
      <c r="L130" t="s">
        <v>29</v>
      </c>
      <c r="M130" t="s">
        <v>29</v>
      </c>
      <c r="N130">
        <v>155</v>
      </c>
      <c r="O130">
        <v>177</v>
      </c>
      <c r="P130" t="s">
        <v>29</v>
      </c>
      <c r="Q130" t="s">
        <v>583</v>
      </c>
      <c r="R130" t="s">
        <v>29</v>
      </c>
      <c r="S130" t="s">
        <v>29</v>
      </c>
      <c r="T130">
        <v>11</v>
      </c>
      <c r="U130">
        <v>1.83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  <c r="AB130">
        <v>0</v>
      </c>
      <c r="AC130">
        <v>0</v>
      </c>
      <c r="AD130">
        <v>0</v>
      </c>
      <c r="AE130">
        <v>0</v>
      </c>
      <c r="AF130">
        <v>0</v>
      </c>
      <c r="AG130">
        <v>0</v>
      </c>
      <c r="AH130">
        <v>0</v>
      </c>
      <c r="AI130">
        <v>0</v>
      </c>
      <c r="AJ130">
        <v>0</v>
      </c>
      <c r="AK130">
        <v>0</v>
      </c>
      <c r="AL130">
        <v>0</v>
      </c>
      <c r="AM130">
        <v>0</v>
      </c>
      <c r="AN130">
        <v>0</v>
      </c>
      <c r="AO130">
        <v>0</v>
      </c>
      <c r="AP130">
        <v>0</v>
      </c>
      <c r="AQ130">
        <v>0</v>
      </c>
      <c r="AR130">
        <v>0</v>
      </c>
      <c r="AS130">
        <v>0</v>
      </c>
      <c r="AT130">
        <v>0</v>
      </c>
      <c r="AU130">
        <v>0</v>
      </c>
      <c r="AV130">
        <v>0</v>
      </c>
      <c r="AW130">
        <v>0</v>
      </c>
      <c r="AX130">
        <v>0</v>
      </c>
      <c r="AY130">
        <v>0</v>
      </c>
      <c r="AZ130">
        <v>0</v>
      </c>
      <c r="BA130">
        <v>0</v>
      </c>
      <c r="BB130">
        <v>0</v>
      </c>
      <c r="BC130">
        <v>0</v>
      </c>
      <c r="BD130">
        <v>0</v>
      </c>
      <c r="BE130">
        <v>0</v>
      </c>
      <c r="BF130">
        <v>0</v>
      </c>
      <c r="BG130">
        <v>0</v>
      </c>
      <c r="BH130">
        <v>0</v>
      </c>
      <c r="BI130">
        <v>0</v>
      </c>
      <c r="BJ130">
        <v>0</v>
      </c>
      <c r="BK130">
        <v>0</v>
      </c>
      <c r="BL130">
        <v>0</v>
      </c>
      <c r="BM130">
        <v>0</v>
      </c>
      <c r="BN130">
        <v>0</v>
      </c>
      <c r="BO130">
        <v>4</v>
      </c>
      <c r="BP130">
        <v>2</v>
      </c>
      <c r="BQ130">
        <v>3</v>
      </c>
      <c r="BR130">
        <v>2</v>
      </c>
      <c r="BS130">
        <v>0</v>
      </c>
    </row>
    <row r="131" spans="1:71" x14ac:dyDescent="0.3">
      <c r="A131" t="s">
        <v>584</v>
      </c>
      <c r="B131" t="s">
        <v>585</v>
      </c>
      <c r="C131" t="s">
        <v>29</v>
      </c>
      <c r="D131" t="s">
        <v>29</v>
      </c>
      <c r="E131" t="s">
        <v>29</v>
      </c>
      <c r="F131" t="s">
        <v>586</v>
      </c>
      <c r="G131">
        <v>2015</v>
      </c>
      <c r="H131">
        <v>2015</v>
      </c>
      <c r="I131">
        <v>29</v>
      </c>
      <c r="J131" t="s">
        <v>29</v>
      </c>
      <c r="K131" t="s">
        <v>29</v>
      </c>
      <c r="L131">
        <v>1</v>
      </c>
      <c r="M131" t="s">
        <v>29</v>
      </c>
      <c r="N131" t="s">
        <v>587</v>
      </c>
      <c r="O131" t="s">
        <v>588</v>
      </c>
      <c r="P131" t="s">
        <v>29</v>
      </c>
      <c r="Q131" t="s">
        <v>589</v>
      </c>
      <c r="R131" t="s">
        <v>590</v>
      </c>
      <c r="S131" t="s">
        <v>591</v>
      </c>
      <c r="T131">
        <v>11</v>
      </c>
      <c r="U131">
        <v>1.1000000000000001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  <c r="AB131">
        <v>0</v>
      </c>
      <c r="AC131">
        <v>0</v>
      </c>
      <c r="AD131">
        <v>0</v>
      </c>
      <c r="AE131">
        <v>0</v>
      </c>
      <c r="AF131">
        <v>0</v>
      </c>
      <c r="AG131">
        <v>0</v>
      </c>
      <c r="AH131">
        <v>0</v>
      </c>
      <c r="AI131">
        <v>0</v>
      </c>
      <c r="AJ131">
        <v>0</v>
      </c>
      <c r="AK131">
        <v>0</v>
      </c>
      <c r="AL131">
        <v>0</v>
      </c>
      <c r="AM131">
        <v>0</v>
      </c>
      <c r="AN131">
        <v>0</v>
      </c>
      <c r="AO131">
        <v>0</v>
      </c>
      <c r="AP131">
        <v>0</v>
      </c>
      <c r="AQ131">
        <v>0</v>
      </c>
      <c r="AR131">
        <v>0</v>
      </c>
      <c r="AS131">
        <v>0</v>
      </c>
      <c r="AT131">
        <v>0</v>
      </c>
      <c r="AU131">
        <v>0</v>
      </c>
      <c r="AV131">
        <v>0</v>
      </c>
      <c r="AW131">
        <v>0</v>
      </c>
      <c r="AX131">
        <v>0</v>
      </c>
      <c r="AY131">
        <v>0</v>
      </c>
      <c r="AZ131">
        <v>0</v>
      </c>
      <c r="BA131">
        <v>0</v>
      </c>
      <c r="BB131">
        <v>0</v>
      </c>
      <c r="BC131">
        <v>0</v>
      </c>
      <c r="BD131">
        <v>0</v>
      </c>
      <c r="BE131">
        <v>0</v>
      </c>
      <c r="BF131">
        <v>0</v>
      </c>
      <c r="BG131">
        <v>0</v>
      </c>
      <c r="BH131">
        <v>0</v>
      </c>
      <c r="BI131">
        <v>0</v>
      </c>
      <c r="BJ131">
        <v>0</v>
      </c>
      <c r="BK131">
        <v>0</v>
      </c>
      <c r="BL131">
        <v>0</v>
      </c>
      <c r="BM131">
        <v>0</v>
      </c>
      <c r="BN131">
        <v>2</v>
      </c>
      <c r="BO131">
        <v>1</v>
      </c>
      <c r="BP131">
        <v>1</v>
      </c>
      <c r="BQ131">
        <v>2</v>
      </c>
      <c r="BR131">
        <v>3</v>
      </c>
      <c r="BS131">
        <v>2</v>
      </c>
    </row>
    <row r="132" spans="1:71" x14ac:dyDescent="0.3">
      <c r="A132" t="s">
        <v>592</v>
      </c>
      <c r="B132" t="s">
        <v>593</v>
      </c>
      <c r="C132" t="s">
        <v>29</v>
      </c>
      <c r="D132" t="s">
        <v>29</v>
      </c>
      <c r="E132" t="s">
        <v>29</v>
      </c>
      <c r="F132" t="s">
        <v>594</v>
      </c>
      <c r="G132" t="s">
        <v>595</v>
      </c>
      <c r="H132">
        <v>2022</v>
      </c>
      <c r="I132">
        <v>15</v>
      </c>
      <c r="J132">
        <v>19</v>
      </c>
      <c r="K132" t="s">
        <v>29</v>
      </c>
      <c r="L132" t="s">
        <v>29</v>
      </c>
      <c r="M132" t="s">
        <v>29</v>
      </c>
      <c r="N132" t="s">
        <v>29</v>
      </c>
      <c r="O132" t="s">
        <v>29</v>
      </c>
      <c r="P132">
        <v>7142</v>
      </c>
      <c r="Q132" t="s">
        <v>596</v>
      </c>
      <c r="R132" t="s">
        <v>29</v>
      </c>
      <c r="S132" t="s">
        <v>29</v>
      </c>
      <c r="T132">
        <v>10</v>
      </c>
      <c r="U132">
        <v>3.33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  <c r="AB132">
        <v>0</v>
      </c>
      <c r="AC132">
        <v>0</v>
      </c>
      <c r="AD132">
        <v>0</v>
      </c>
      <c r="AE132">
        <v>0</v>
      </c>
      <c r="AF132">
        <v>0</v>
      </c>
      <c r="AG132">
        <v>0</v>
      </c>
      <c r="AH132">
        <v>0</v>
      </c>
      <c r="AI132">
        <v>0</v>
      </c>
      <c r="AJ132">
        <v>0</v>
      </c>
      <c r="AK132">
        <v>0</v>
      </c>
      <c r="AL132">
        <v>0</v>
      </c>
      <c r="AM132">
        <v>0</v>
      </c>
      <c r="AN132">
        <v>0</v>
      </c>
      <c r="AO132">
        <v>0</v>
      </c>
      <c r="AP132">
        <v>0</v>
      </c>
      <c r="AQ132">
        <v>0</v>
      </c>
      <c r="AR132">
        <v>0</v>
      </c>
      <c r="AS132">
        <v>0</v>
      </c>
      <c r="AT132">
        <v>0</v>
      </c>
      <c r="AU132">
        <v>0</v>
      </c>
      <c r="AV132">
        <v>0</v>
      </c>
      <c r="AW132">
        <v>0</v>
      </c>
      <c r="AX132">
        <v>0</v>
      </c>
      <c r="AY132">
        <v>0</v>
      </c>
      <c r="AZ132">
        <v>0</v>
      </c>
      <c r="BA132">
        <v>0</v>
      </c>
      <c r="BB132">
        <v>0</v>
      </c>
      <c r="BC132">
        <v>0</v>
      </c>
      <c r="BD132">
        <v>0</v>
      </c>
      <c r="BE132">
        <v>0</v>
      </c>
      <c r="BF132">
        <v>0</v>
      </c>
      <c r="BG132">
        <v>0</v>
      </c>
      <c r="BH132">
        <v>0</v>
      </c>
      <c r="BI132">
        <v>0</v>
      </c>
      <c r="BJ132">
        <v>0</v>
      </c>
      <c r="BK132">
        <v>0</v>
      </c>
      <c r="BL132">
        <v>0</v>
      </c>
      <c r="BM132">
        <v>0</v>
      </c>
      <c r="BN132">
        <v>0</v>
      </c>
      <c r="BO132">
        <v>0</v>
      </c>
      <c r="BP132">
        <v>0</v>
      </c>
      <c r="BQ132">
        <v>0</v>
      </c>
      <c r="BR132">
        <v>2</v>
      </c>
      <c r="BS132">
        <v>8</v>
      </c>
    </row>
    <row r="133" spans="1:71" x14ac:dyDescent="0.3">
      <c r="A133" t="s">
        <v>597</v>
      </c>
      <c r="B133" t="s">
        <v>598</v>
      </c>
      <c r="C133" t="s">
        <v>29</v>
      </c>
      <c r="D133" t="s">
        <v>29</v>
      </c>
      <c r="E133" t="s">
        <v>29</v>
      </c>
      <c r="F133" t="s">
        <v>455</v>
      </c>
      <c r="G133" t="s">
        <v>599</v>
      </c>
      <c r="H133">
        <v>2022</v>
      </c>
      <c r="I133">
        <v>11</v>
      </c>
      <c r="J133">
        <v>3</v>
      </c>
      <c r="K133" t="s">
        <v>29</v>
      </c>
      <c r="L133" t="s">
        <v>29</v>
      </c>
      <c r="M133" t="s">
        <v>29</v>
      </c>
      <c r="N133" t="s">
        <v>29</v>
      </c>
      <c r="O133" t="s">
        <v>29</v>
      </c>
      <c r="P133">
        <v>91</v>
      </c>
      <c r="Q133" t="s">
        <v>600</v>
      </c>
      <c r="R133" t="s">
        <v>29</v>
      </c>
      <c r="S133" t="s">
        <v>29</v>
      </c>
      <c r="T133">
        <v>10</v>
      </c>
      <c r="U133">
        <v>3.33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  <c r="AB133">
        <v>0</v>
      </c>
      <c r="AC133">
        <v>0</v>
      </c>
      <c r="AD133">
        <v>0</v>
      </c>
      <c r="AE133">
        <v>0</v>
      </c>
      <c r="AF133">
        <v>0</v>
      </c>
      <c r="AG133">
        <v>0</v>
      </c>
      <c r="AH133">
        <v>0</v>
      </c>
      <c r="AI133">
        <v>0</v>
      </c>
      <c r="AJ133">
        <v>0</v>
      </c>
      <c r="AK133">
        <v>0</v>
      </c>
      <c r="AL133">
        <v>0</v>
      </c>
      <c r="AM133">
        <v>0</v>
      </c>
      <c r="AN133">
        <v>0</v>
      </c>
      <c r="AO133">
        <v>0</v>
      </c>
      <c r="AP133">
        <v>0</v>
      </c>
      <c r="AQ133">
        <v>0</v>
      </c>
      <c r="AR133">
        <v>0</v>
      </c>
      <c r="AS133">
        <v>0</v>
      </c>
      <c r="AT133">
        <v>0</v>
      </c>
      <c r="AU133">
        <v>0</v>
      </c>
      <c r="AV133">
        <v>0</v>
      </c>
      <c r="AW133">
        <v>0</v>
      </c>
      <c r="AX133">
        <v>0</v>
      </c>
      <c r="AY133">
        <v>0</v>
      </c>
      <c r="AZ133">
        <v>0</v>
      </c>
      <c r="BA133">
        <v>0</v>
      </c>
      <c r="BB133">
        <v>0</v>
      </c>
      <c r="BC133">
        <v>0</v>
      </c>
      <c r="BD133">
        <v>0</v>
      </c>
      <c r="BE133">
        <v>0</v>
      </c>
      <c r="BF133">
        <v>0</v>
      </c>
      <c r="BG133">
        <v>0</v>
      </c>
      <c r="BH133">
        <v>0</v>
      </c>
      <c r="BI133">
        <v>0</v>
      </c>
      <c r="BJ133">
        <v>0</v>
      </c>
      <c r="BK133">
        <v>0</v>
      </c>
      <c r="BL133">
        <v>0</v>
      </c>
      <c r="BM133">
        <v>0</v>
      </c>
      <c r="BN133">
        <v>0</v>
      </c>
      <c r="BO133">
        <v>0</v>
      </c>
      <c r="BP133">
        <v>0</v>
      </c>
      <c r="BQ133">
        <v>3</v>
      </c>
      <c r="BR133">
        <v>3</v>
      </c>
      <c r="BS133">
        <v>4</v>
      </c>
    </row>
    <row r="134" spans="1:71" x14ac:dyDescent="0.3">
      <c r="A134" t="s">
        <v>601</v>
      </c>
      <c r="B134" t="s">
        <v>602</v>
      </c>
      <c r="C134" t="s">
        <v>29</v>
      </c>
      <c r="D134" t="s">
        <v>29</v>
      </c>
      <c r="E134" t="s">
        <v>29</v>
      </c>
      <c r="F134" t="s">
        <v>185</v>
      </c>
      <c r="G134" t="s">
        <v>603</v>
      </c>
      <c r="H134">
        <v>2022</v>
      </c>
      <c r="I134">
        <v>97</v>
      </c>
      <c r="J134">
        <v>4</v>
      </c>
      <c r="K134" t="s">
        <v>29</v>
      </c>
      <c r="L134" t="s">
        <v>29</v>
      </c>
      <c r="M134" t="s">
        <v>29</v>
      </c>
      <c r="N134">
        <v>213</v>
      </c>
      <c r="O134">
        <v>219</v>
      </c>
      <c r="P134" t="s">
        <v>29</v>
      </c>
      <c r="Q134" t="s">
        <v>604</v>
      </c>
      <c r="R134" t="s">
        <v>29</v>
      </c>
      <c r="S134" t="s">
        <v>29</v>
      </c>
      <c r="T134">
        <v>10</v>
      </c>
      <c r="U134">
        <v>2.5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  <c r="AB134">
        <v>0</v>
      </c>
      <c r="AC134">
        <v>0</v>
      </c>
      <c r="AD134">
        <v>0</v>
      </c>
      <c r="AE134">
        <v>0</v>
      </c>
      <c r="AF134">
        <v>0</v>
      </c>
      <c r="AG134">
        <v>0</v>
      </c>
      <c r="AH134">
        <v>0</v>
      </c>
      <c r="AI134">
        <v>0</v>
      </c>
      <c r="AJ134">
        <v>0</v>
      </c>
      <c r="AK134">
        <v>0</v>
      </c>
      <c r="AL134">
        <v>0</v>
      </c>
      <c r="AM134">
        <v>0</v>
      </c>
      <c r="AN134">
        <v>0</v>
      </c>
      <c r="AO134">
        <v>0</v>
      </c>
      <c r="AP134">
        <v>0</v>
      </c>
      <c r="AQ134">
        <v>0</v>
      </c>
      <c r="AR134">
        <v>0</v>
      </c>
      <c r="AS134">
        <v>0</v>
      </c>
      <c r="AT134">
        <v>0</v>
      </c>
      <c r="AU134">
        <v>0</v>
      </c>
      <c r="AV134">
        <v>0</v>
      </c>
      <c r="AW134">
        <v>0</v>
      </c>
      <c r="AX134">
        <v>0</v>
      </c>
      <c r="AY134">
        <v>0</v>
      </c>
      <c r="AZ134">
        <v>0</v>
      </c>
      <c r="BA134">
        <v>0</v>
      </c>
      <c r="BB134">
        <v>0</v>
      </c>
      <c r="BC134">
        <v>0</v>
      </c>
      <c r="BD134">
        <v>0</v>
      </c>
      <c r="BE134">
        <v>0</v>
      </c>
      <c r="BF134">
        <v>0</v>
      </c>
      <c r="BG134">
        <v>0</v>
      </c>
      <c r="BH134">
        <v>0</v>
      </c>
      <c r="BI134">
        <v>0</v>
      </c>
      <c r="BJ134">
        <v>0</v>
      </c>
      <c r="BK134">
        <v>0</v>
      </c>
      <c r="BL134">
        <v>0</v>
      </c>
      <c r="BM134">
        <v>0</v>
      </c>
      <c r="BN134">
        <v>0</v>
      </c>
      <c r="BO134">
        <v>0</v>
      </c>
      <c r="BP134">
        <v>0</v>
      </c>
      <c r="BQ134">
        <v>4</v>
      </c>
      <c r="BR134">
        <v>4</v>
      </c>
      <c r="BS134">
        <v>2</v>
      </c>
    </row>
    <row r="135" spans="1:71" x14ac:dyDescent="0.3">
      <c r="A135" t="s">
        <v>605</v>
      </c>
      <c r="B135" t="s">
        <v>606</v>
      </c>
      <c r="C135" t="s">
        <v>29</v>
      </c>
      <c r="D135" t="s">
        <v>29</v>
      </c>
      <c r="E135" t="s">
        <v>29</v>
      </c>
      <c r="F135" t="s">
        <v>607</v>
      </c>
      <c r="G135" t="s">
        <v>608</v>
      </c>
      <c r="H135">
        <v>2021</v>
      </c>
      <c r="I135">
        <v>36</v>
      </c>
      <c r="J135">
        <v>9</v>
      </c>
      <c r="K135" t="s">
        <v>29</v>
      </c>
      <c r="L135" t="s">
        <v>29</v>
      </c>
      <c r="M135" t="s">
        <v>29</v>
      </c>
      <c r="N135">
        <v>1427</v>
      </c>
      <c r="O135">
        <v>1445</v>
      </c>
      <c r="P135" t="s">
        <v>29</v>
      </c>
      <c r="Q135" t="s">
        <v>609</v>
      </c>
      <c r="R135" t="s">
        <v>29</v>
      </c>
      <c r="S135" t="s">
        <v>29</v>
      </c>
      <c r="T135">
        <v>10</v>
      </c>
      <c r="U135">
        <v>2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  <c r="AB135">
        <v>0</v>
      </c>
      <c r="AC135">
        <v>0</v>
      </c>
      <c r="AD135">
        <v>0</v>
      </c>
      <c r="AE135">
        <v>0</v>
      </c>
      <c r="AF135">
        <v>0</v>
      </c>
      <c r="AG135">
        <v>0</v>
      </c>
      <c r="AH135">
        <v>0</v>
      </c>
      <c r="AI135">
        <v>0</v>
      </c>
      <c r="AJ135">
        <v>0</v>
      </c>
      <c r="AK135">
        <v>0</v>
      </c>
      <c r="AL135">
        <v>0</v>
      </c>
      <c r="AM135">
        <v>0</v>
      </c>
      <c r="AN135">
        <v>0</v>
      </c>
      <c r="AO135">
        <v>0</v>
      </c>
      <c r="AP135">
        <v>0</v>
      </c>
      <c r="AQ135">
        <v>0</v>
      </c>
      <c r="AR135">
        <v>0</v>
      </c>
      <c r="AS135">
        <v>0</v>
      </c>
      <c r="AT135">
        <v>0</v>
      </c>
      <c r="AU135">
        <v>0</v>
      </c>
      <c r="AV135">
        <v>0</v>
      </c>
      <c r="AW135">
        <v>0</v>
      </c>
      <c r="AX135">
        <v>0</v>
      </c>
      <c r="AY135">
        <v>0</v>
      </c>
      <c r="AZ135">
        <v>0</v>
      </c>
      <c r="BA135">
        <v>0</v>
      </c>
      <c r="BB135">
        <v>0</v>
      </c>
      <c r="BC135">
        <v>0</v>
      </c>
      <c r="BD135">
        <v>0</v>
      </c>
      <c r="BE135">
        <v>0</v>
      </c>
      <c r="BF135">
        <v>0</v>
      </c>
      <c r="BG135">
        <v>0</v>
      </c>
      <c r="BH135">
        <v>0</v>
      </c>
      <c r="BI135">
        <v>0</v>
      </c>
      <c r="BJ135">
        <v>0</v>
      </c>
      <c r="BK135">
        <v>0</v>
      </c>
      <c r="BL135">
        <v>0</v>
      </c>
      <c r="BM135">
        <v>0</v>
      </c>
      <c r="BN135">
        <v>0</v>
      </c>
      <c r="BO135">
        <v>0</v>
      </c>
      <c r="BP135">
        <v>1</v>
      </c>
      <c r="BQ135">
        <v>1</v>
      </c>
      <c r="BR135">
        <v>4</v>
      </c>
      <c r="BS135">
        <v>4</v>
      </c>
    </row>
    <row r="136" spans="1:71" x14ac:dyDescent="0.3">
      <c r="A136" t="s">
        <v>610</v>
      </c>
      <c r="B136" t="s">
        <v>611</v>
      </c>
      <c r="C136" t="s">
        <v>29</v>
      </c>
      <c r="D136" t="s">
        <v>29</v>
      </c>
      <c r="E136" t="s">
        <v>29</v>
      </c>
      <c r="F136" t="s">
        <v>612</v>
      </c>
      <c r="G136">
        <v>2018</v>
      </c>
      <c r="H136">
        <v>2018</v>
      </c>
      <c r="I136">
        <v>26</v>
      </c>
      <c r="J136">
        <v>3</v>
      </c>
      <c r="K136" t="s">
        <v>29</v>
      </c>
      <c r="L136" t="s">
        <v>29</v>
      </c>
      <c r="M136" t="s">
        <v>32</v>
      </c>
      <c r="N136">
        <v>247</v>
      </c>
      <c r="O136">
        <v>259</v>
      </c>
      <c r="P136" t="s">
        <v>29</v>
      </c>
      <c r="Q136" t="s">
        <v>613</v>
      </c>
      <c r="R136" t="s">
        <v>29</v>
      </c>
      <c r="S136" t="s">
        <v>29</v>
      </c>
      <c r="T136">
        <v>10</v>
      </c>
      <c r="U136">
        <v>1.43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  <c r="AB136">
        <v>0</v>
      </c>
      <c r="AC136">
        <v>0</v>
      </c>
      <c r="AD136">
        <v>0</v>
      </c>
      <c r="AE136">
        <v>0</v>
      </c>
      <c r="AF136">
        <v>0</v>
      </c>
      <c r="AG136">
        <v>0</v>
      </c>
      <c r="AH136">
        <v>0</v>
      </c>
      <c r="AI136">
        <v>0</v>
      </c>
      <c r="AJ136">
        <v>0</v>
      </c>
      <c r="AK136">
        <v>0</v>
      </c>
      <c r="AL136">
        <v>0</v>
      </c>
      <c r="AM136">
        <v>0</v>
      </c>
      <c r="AN136">
        <v>0</v>
      </c>
      <c r="AO136">
        <v>0</v>
      </c>
      <c r="AP136">
        <v>0</v>
      </c>
      <c r="AQ136">
        <v>0</v>
      </c>
      <c r="AR136">
        <v>0</v>
      </c>
      <c r="AS136">
        <v>0</v>
      </c>
      <c r="AT136">
        <v>0</v>
      </c>
      <c r="AU136">
        <v>0</v>
      </c>
      <c r="AV136">
        <v>0</v>
      </c>
      <c r="AW136">
        <v>0</v>
      </c>
      <c r="AX136">
        <v>0</v>
      </c>
      <c r="AY136">
        <v>0</v>
      </c>
      <c r="AZ136">
        <v>0</v>
      </c>
      <c r="BA136">
        <v>0</v>
      </c>
      <c r="BB136">
        <v>0</v>
      </c>
      <c r="BC136">
        <v>0</v>
      </c>
      <c r="BD136">
        <v>0</v>
      </c>
      <c r="BE136">
        <v>0</v>
      </c>
      <c r="BF136">
        <v>0</v>
      </c>
      <c r="BG136">
        <v>0</v>
      </c>
      <c r="BH136">
        <v>0</v>
      </c>
      <c r="BI136">
        <v>0</v>
      </c>
      <c r="BJ136">
        <v>0</v>
      </c>
      <c r="BK136">
        <v>0</v>
      </c>
      <c r="BL136">
        <v>0</v>
      </c>
      <c r="BM136">
        <v>0</v>
      </c>
      <c r="BN136">
        <v>1</v>
      </c>
      <c r="BO136">
        <v>1</v>
      </c>
      <c r="BP136">
        <v>1</v>
      </c>
      <c r="BQ136">
        <v>2</v>
      </c>
      <c r="BR136">
        <v>2</v>
      </c>
      <c r="BS136">
        <v>3</v>
      </c>
    </row>
    <row r="137" spans="1:71" x14ac:dyDescent="0.3">
      <c r="A137" t="s">
        <v>614</v>
      </c>
      <c r="B137" t="s">
        <v>615</v>
      </c>
      <c r="C137" t="s">
        <v>29</v>
      </c>
      <c r="D137" t="s">
        <v>29</v>
      </c>
      <c r="E137" t="s">
        <v>29</v>
      </c>
      <c r="F137" t="s">
        <v>616</v>
      </c>
      <c r="G137">
        <v>2018</v>
      </c>
      <c r="H137">
        <v>2018</v>
      </c>
      <c r="I137">
        <v>36</v>
      </c>
      <c r="J137">
        <v>1</v>
      </c>
      <c r="K137" t="s">
        <v>29</v>
      </c>
      <c r="L137" t="s">
        <v>29</v>
      </c>
      <c r="M137" t="s">
        <v>29</v>
      </c>
      <c r="N137">
        <v>11</v>
      </c>
      <c r="O137">
        <v>19</v>
      </c>
      <c r="P137" t="s">
        <v>29</v>
      </c>
      <c r="Q137" t="s">
        <v>617</v>
      </c>
      <c r="R137" t="s">
        <v>29</v>
      </c>
      <c r="S137" t="s">
        <v>29</v>
      </c>
      <c r="T137">
        <v>10</v>
      </c>
      <c r="U137">
        <v>1.43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  <c r="AB137">
        <v>0</v>
      </c>
      <c r="AC137">
        <v>0</v>
      </c>
      <c r="AD137">
        <v>0</v>
      </c>
      <c r="AE137">
        <v>0</v>
      </c>
      <c r="AF137">
        <v>0</v>
      </c>
      <c r="AG137">
        <v>0</v>
      </c>
      <c r="AH137">
        <v>0</v>
      </c>
      <c r="AI137">
        <v>0</v>
      </c>
      <c r="AJ137">
        <v>0</v>
      </c>
      <c r="AK137">
        <v>0</v>
      </c>
      <c r="AL137">
        <v>0</v>
      </c>
      <c r="AM137">
        <v>0</v>
      </c>
      <c r="AN137">
        <v>0</v>
      </c>
      <c r="AO137">
        <v>0</v>
      </c>
      <c r="AP137">
        <v>0</v>
      </c>
      <c r="AQ137">
        <v>0</v>
      </c>
      <c r="AR137">
        <v>0</v>
      </c>
      <c r="AS137">
        <v>0</v>
      </c>
      <c r="AT137">
        <v>0</v>
      </c>
      <c r="AU137">
        <v>0</v>
      </c>
      <c r="AV137">
        <v>0</v>
      </c>
      <c r="AW137">
        <v>0</v>
      </c>
      <c r="AX137">
        <v>0</v>
      </c>
      <c r="AY137">
        <v>0</v>
      </c>
      <c r="AZ137">
        <v>0</v>
      </c>
      <c r="BA137">
        <v>0</v>
      </c>
      <c r="BB137">
        <v>0</v>
      </c>
      <c r="BC137">
        <v>0</v>
      </c>
      <c r="BD137">
        <v>0</v>
      </c>
      <c r="BE137">
        <v>0</v>
      </c>
      <c r="BF137">
        <v>0</v>
      </c>
      <c r="BG137">
        <v>0</v>
      </c>
      <c r="BH137">
        <v>0</v>
      </c>
      <c r="BI137">
        <v>0</v>
      </c>
      <c r="BJ137">
        <v>0</v>
      </c>
      <c r="BK137">
        <v>0</v>
      </c>
      <c r="BL137">
        <v>0</v>
      </c>
      <c r="BM137">
        <v>1</v>
      </c>
      <c r="BN137">
        <v>2</v>
      </c>
      <c r="BO137">
        <v>1</v>
      </c>
      <c r="BP137">
        <v>3</v>
      </c>
      <c r="BQ137">
        <v>1</v>
      </c>
      <c r="BR137">
        <v>1</v>
      </c>
      <c r="BS137">
        <v>1</v>
      </c>
    </row>
    <row r="138" spans="1:71" x14ac:dyDescent="0.3">
      <c r="A138" t="s">
        <v>618</v>
      </c>
      <c r="B138" t="s">
        <v>619</v>
      </c>
      <c r="C138" t="s">
        <v>29</v>
      </c>
      <c r="D138" t="s">
        <v>29</v>
      </c>
      <c r="E138" t="s">
        <v>29</v>
      </c>
      <c r="F138" t="s">
        <v>620</v>
      </c>
      <c r="G138" t="s">
        <v>89</v>
      </c>
      <c r="H138">
        <v>2016</v>
      </c>
      <c r="I138">
        <v>20</v>
      </c>
      <c r="J138">
        <v>6</v>
      </c>
      <c r="K138" t="s">
        <v>29</v>
      </c>
      <c r="L138" t="s">
        <v>29</v>
      </c>
      <c r="M138" t="s">
        <v>29</v>
      </c>
      <c r="N138">
        <v>948</v>
      </c>
      <c r="O138">
        <v>961</v>
      </c>
      <c r="P138" t="s">
        <v>29</v>
      </c>
      <c r="Q138" t="s">
        <v>621</v>
      </c>
      <c r="R138" t="s">
        <v>29</v>
      </c>
      <c r="S138" t="s">
        <v>29</v>
      </c>
      <c r="T138">
        <v>10</v>
      </c>
      <c r="U138">
        <v>1.1100000000000001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  <c r="AB138">
        <v>0</v>
      </c>
      <c r="AC138">
        <v>0</v>
      </c>
      <c r="AD138">
        <v>0</v>
      </c>
      <c r="AE138">
        <v>0</v>
      </c>
      <c r="AF138">
        <v>0</v>
      </c>
      <c r="AG138">
        <v>0</v>
      </c>
      <c r="AH138">
        <v>0</v>
      </c>
      <c r="AI138">
        <v>0</v>
      </c>
      <c r="AJ138">
        <v>0</v>
      </c>
      <c r="AK138">
        <v>0</v>
      </c>
      <c r="AL138">
        <v>0</v>
      </c>
      <c r="AM138">
        <v>0</v>
      </c>
      <c r="AN138">
        <v>0</v>
      </c>
      <c r="AO138">
        <v>0</v>
      </c>
      <c r="AP138">
        <v>0</v>
      </c>
      <c r="AQ138">
        <v>0</v>
      </c>
      <c r="AR138">
        <v>0</v>
      </c>
      <c r="AS138">
        <v>0</v>
      </c>
      <c r="AT138">
        <v>0</v>
      </c>
      <c r="AU138">
        <v>0</v>
      </c>
      <c r="AV138">
        <v>0</v>
      </c>
      <c r="AW138">
        <v>0</v>
      </c>
      <c r="AX138">
        <v>0</v>
      </c>
      <c r="AY138">
        <v>0</v>
      </c>
      <c r="AZ138">
        <v>0</v>
      </c>
      <c r="BA138">
        <v>0</v>
      </c>
      <c r="BB138">
        <v>0</v>
      </c>
      <c r="BC138">
        <v>0</v>
      </c>
      <c r="BD138">
        <v>0</v>
      </c>
      <c r="BE138">
        <v>0</v>
      </c>
      <c r="BF138">
        <v>0</v>
      </c>
      <c r="BG138">
        <v>0</v>
      </c>
      <c r="BH138">
        <v>0</v>
      </c>
      <c r="BI138">
        <v>0</v>
      </c>
      <c r="BJ138">
        <v>0</v>
      </c>
      <c r="BK138">
        <v>0</v>
      </c>
      <c r="BL138">
        <v>1</v>
      </c>
      <c r="BM138">
        <v>1</v>
      </c>
      <c r="BN138">
        <v>2</v>
      </c>
      <c r="BO138">
        <v>3</v>
      </c>
      <c r="BP138">
        <v>0</v>
      </c>
      <c r="BQ138">
        <v>0</v>
      </c>
      <c r="BR138">
        <v>0</v>
      </c>
      <c r="BS138">
        <v>3</v>
      </c>
    </row>
    <row r="139" spans="1:71" x14ac:dyDescent="0.3">
      <c r="A139" t="s">
        <v>622</v>
      </c>
      <c r="B139" t="s">
        <v>623</v>
      </c>
      <c r="C139" t="s">
        <v>29</v>
      </c>
      <c r="D139" t="s">
        <v>29</v>
      </c>
      <c r="E139" t="s">
        <v>29</v>
      </c>
      <c r="F139" t="s">
        <v>624</v>
      </c>
      <c r="G139" t="s">
        <v>625</v>
      </c>
      <c r="H139">
        <v>2023</v>
      </c>
      <c r="I139">
        <v>36</v>
      </c>
      <c r="J139">
        <v>3</v>
      </c>
      <c r="K139" t="s">
        <v>29</v>
      </c>
      <c r="L139" t="s">
        <v>29</v>
      </c>
      <c r="M139" t="s">
        <v>29</v>
      </c>
      <c r="N139">
        <v>186</v>
      </c>
      <c r="O139">
        <v>201</v>
      </c>
      <c r="P139" t="s">
        <v>29</v>
      </c>
      <c r="Q139" t="s">
        <v>626</v>
      </c>
      <c r="R139" t="s">
        <v>29</v>
      </c>
      <c r="S139" t="s">
        <v>29</v>
      </c>
      <c r="T139">
        <v>9</v>
      </c>
      <c r="U139">
        <v>4.5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  <c r="AB139">
        <v>0</v>
      </c>
      <c r="AC139">
        <v>0</v>
      </c>
      <c r="AD139">
        <v>0</v>
      </c>
      <c r="AE139">
        <v>0</v>
      </c>
      <c r="AF139">
        <v>0</v>
      </c>
      <c r="AG139">
        <v>0</v>
      </c>
      <c r="AH139">
        <v>0</v>
      </c>
      <c r="AI139">
        <v>0</v>
      </c>
      <c r="AJ139">
        <v>0</v>
      </c>
      <c r="AK139">
        <v>0</v>
      </c>
      <c r="AL139">
        <v>0</v>
      </c>
      <c r="AM139">
        <v>0</v>
      </c>
      <c r="AN139">
        <v>0</v>
      </c>
      <c r="AO139">
        <v>0</v>
      </c>
      <c r="AP139">
        <v>0</v>
      </c>
      <c r="AQ139">
        <v>0</v>
      </c>
      <c r="AR139">
        <v>0</v>
      </c>
      <c r="AS139">
        <v>0</v>
      </c>
      <c r="AT139">
        <v>0</v>
      </c>
      <c r="AU139">
        <v>0</v>
      </c>
      <c r="AV139">
        <v>0</v>
      </c>
      <c r="AW139">
        <v>0</v>
      </c>
      <c r="AX139">
        <v>0</v>
      </c>
      <c r="AY139">
        <v>0</v>
      </c>
      <c r="AZ139">
        <v>0</v>
      </c>
      <c r="BA139">
        <v>0</v>
      </c>
      <c r="BB139">
        <v>0</v>
      </c>
      <c r="BC139">
        <v>0</v>
      </c>
      <c r="BD139">
        <v>0</v>
      </c>
      <c r="BE139">
        <v>0</v>
      </c>
      <c r="BF139">
        <v>0</v>
      </c>
      <c r="BG139">
        <v>0</v>
      </c>
      <c r="BH139">
        <v>0</v>
      </c>
      <c r="BI139">
        <v>0</v>
      </c>
      <c r="BJ139">
        <v>0</v>
      </c>
      <c r="BK139">
        <v>0</v>
      </c>
      <c r="BL139">
        <v>0</v>
      </c>
      <c r="BM139">
        <v>0</v>
      </c>
      <c r="BN139">
        <v>0</v>
      </c>
      <c r="BO139">
        <v>0</v>
      </c>
      <c r="BP139">
        <v>0</v>
      </c>
      <c r="BQ139">
        <v>0</v>
      </c>
      <c r="BR139">
        <v>2</v>
      </c>
      <c r="BS139">
        <v>7</v>
      </c>
    </row>
    <row r="140" spans="1:71" x14ac:dyDescent="0.3">
      <c r="A140" t="s">
        <v>627</v>
      </c>
      <c r="B140" t="s">
        <v>628</v>
      </c>
      <c r="C140" t="s">
        <v>29</v>
      </c>
      <c r="D140" t="s">
        <v>29</v>
      </c>
      <c r="E140" t="s">
        <v>29</v>
      </c>
      <c r="F140" t="s">
        <v>629</v>
      </c>
      <c r="G140">
        <v>2022</v>
      </c>
      <c r="H140">
        <v>2022</v>
      </c>
      <c r="I140" t="s">
        <v>29</v>
      </c>
      <c r="J140" t="s">
        <v>29</v>
      </c>
      <c r="K140" t="s">
        <v>29</v>
      </c>
      <c r="L140" t="s">
        <v>29</v>
      </c>
      <c r="M140" t="s">
        <v>29</v>
      </c>
      <c r="N140">
        <v>4962</v>
      </c>
      <c r="O140">
        <v>4984</v>
      </c>
      <c r="P140" t="s">
        <v>29</v>
      </c>
      <c r="Q140" t="s">
        <v>29</v>
      </c>
      <c r="R140" t="s">
        <v>630</v>
      </c>
      <c r="S140" t="s">
        <v>631</v>
      </c>
      <c r="T140">
        <v>9</v>
      </c>
      <c r="U140">
        <v>3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  <c r="AB140">
        <v>0</v>
      </c>
      <c r="AC140">
        <v>0</v>
      </c>
      <c r="AD140">
        <v>0</v>
      </c>
      <c r="AE140">
        <v>0</v>
      </c>
      <c r="AF140">
        <v>0</v>
      </c>
      <c r="AG140">
        <v>0</v>
      </c>
      <c r="AH140">
        <v>0</v>
      </c>
      <c r="AI140">
        <v>0</v>
      </c>
      <c r="AJ140">
        <v>0</v>
      </c>
      <c r="AK140">
        <v>0</v>
      </c>
      <c r="AL140">
        <v>0</v>
      </c>
      <c r="AM140">
        <v>0</v>
      </c>
      <c r="AN140">
        <v>0</v>
      </c>
      <c r="AO140">
        <v>0</v>
      </c>
      <c r="AP140">
        <v>0</v>
      </c>
      <c r="AQ140">
        <v>0</v>
      </c>
      <c r="AR140">
        <v>0</v>
      </c>
      <c r="AS140">
        <v>0</v>
      </c>
      <c r="AT140">
        <v>0</v>
      </c>
      <c r="AU140">
        <v>0</v>
      </c>
      <c r="AV140">
        <v>0</v>
      </c>
      <c r="AW140">
        <v>0</v>
      </c>
      <c r="AX140">
        <v>0</v>
      </c>
      <c r="AY140">
        <v>0</v>
      </c>
      <c r="AZ140">
        <v>0</v>
      </c>
      <c r="BA140">
        <v>0</v>
      </c>
      <c r="BB140">
        <v>0</v>
      </c>
      <c r="BC140">
        <v>0</v>
      </c>
      <c r="BD140">
        <v>0</v>
      </c>
      <c r="BE140">
        <v>0</v>
      </c>
      <c r="BF140">
        <v>0</v>
      </c>
      <c r="BG140">
        <v>0</v>
      </c>
      <c r="BH140">
        <v>0</v>
      </c>
      <c r="BI140">
        <v>0</v>
      </c>
      <c r="BJ140">
        <v>0</v>
      </c>
      <c r="BK140">
        <v>0</v>
      </c>
      <c r="BL140">
        <v>0</v>
      </c>
      <c r="BM140">
        <v>0</v>
      </c>
      <c r="BN140">
        <v>0</v>
      </c>
      <c r="BO140">
        <v>0</v>
      </c>
      <c r="BP140">
        <v>0</v>
      </c>
      <c r="BQ140">
        <v>0</v>
      </c>
      <c r="BR140">
        <v>3</v>
      </c>
      <c r="BS140">
        <v>6</v>
      </c>
    </row>
    <row r="141" spans="1:71" x14ac:dyDescent="0.3">
      <c r="A141" t="s">
        <v>632</v>
      </c>
      <c r="B141" t="s">
        <v>633</v>
      </c>
      <c r="C141" t="s">
        <v>29</v>
      </c>
      <c r="D141" t="s">
        <v>29</v>
      </c>
      <c r="E141" t="s">
        <v>29</v>
      </c>
      <c r="F141" t="s">
        <v>634</v>
      </c>
      <c r="G141" t="s">
        <v>635</v>
      </c>
      <c r="H141">
        <v>2021</v>
      </c>
      <c r="I141">
        <v>108</v>
      </c>
      <c r="J141" t="s">
        <v>636</v>
      </c>
      <c r="K141" t="s">
        <v>29</v>
      </c>
      <c r="L141" t="s">
        <v>29</v>
      </c>
      <c r="M141" t="s">
        <v>29</v>
      </c>
      <c r="N141" t="s">
        <v>29</v>
      </c>
      <c r="O141" t="s">
        <v>29</v>
      </c>
      <c r="P141">
        <v>508</v>
      </c>
      <c r="Q141" t="s">
        <v>637</v>
      </c>
      <c r="R141" t="s">
        <v>29</v>
      </c>
      <c r="S141" t="s">
        <v>29</v>
      </c>
      <c r="T141">
        <v>9</v>
      </c>
      <c r="U141">
        <v>2.25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  <c r="AB141">
        <v>0</v>
      </c>
      <c r="AC141">
        <v>0</v>
      </c>
      <c r="AD141">
        <v>0</v>
      </c>
      <c r="AE141">
        <v>0</v>
      </c>
      <c r="AF141">
        <v>0</v>
      </c>
      <c r="AG141">
        <v>0</v>
      </c>
      <c r="AH141">
        <v>0</v>
      </c>
      <c r="AI141">
        <v>0</v>
      </c>
      <c r="AJ141">
        <v>0</v>
      </c>
      <c r="AK141">
        <v>0</v>
      </c>
      <c r="AL141">
        <v>0</v>
      </c>
      <c r="AM141">
        <v>0</v>
      </c>
      <c r="AN141">
        <v>0</v>
      </c>
      <c r="AO141">
        <v>0</v>
      </c>
      <c r="AP141">
        <v>0</v>
      </c>
      <c r="AQ141">
        <v>0</v>
      </c>
      <c r="AR141">
        <v>0</v>
      </c>
      <c r="AS141">
        <v>0</v>
      </c>
      <c r="AT141">
        <v>0</v>
      </c>
      <c r="AU141">
        <v>0</v>
      </c>
      <c r="AV141">
        <v>0</v>
      </c>
      <c r="AW141">
        <v>0</v>
      </c>
      <c r="AX141">
        <v>0</v>
      </c>
      <c r="AY141">
        <v>0</v>
      </c>
      <c r="AZ141">
        <v>0</v>
      </c>
      <c r="BA141">
        <v>0</v>
      </c>
      <c r="BB141">
        <v>0</v>
      </c>
      <c r="BC141">
        <v>0</v>
      </c>
      <c r="BD141">
        <v>0</v>
      </c>
      <c r="BE141">
        <v>0</v>
      </c>
      <c r="BF141">
        <v>0</v>
      </c>
      <c r="BG141">
        <v>0</v>
      </c>
      <c r="BH141">
        <v>0</v>
      </c>
      <c r="BI141">
        <v>0</v>
      </c>
      <c r="BJ141">
        <v>0</v>
      </c>
      <c r="BK141">
        <v>0</v>
      </c>
      <c r="BL141">
        <v>0</v>
      </c>
      <c r="BM141">
        <v>0</v>
      </c>
      <c r="BN141">
        <v>0</v>
      </c>
      <c r="BO141">
        <v>0</v>
      </c>
      <c r="BP141">
        <v>1</v>
      </c>
      <c r="BQ141">
        <v>3</v>
      </c>
      <c r="BR141">
        <v>3</v>
      </c>
      <c r="BS141">
        <v>2</v>
      </c>
    </row>
    <row r="142" spans="1:71" x14ac:dyDescent="0.3">
      <c r="A142" t="s">
        <v>638</v>
      </c>
      <c r="B142" t="s">
        <v>639</v>
      </c>
      <c r="C142" t="s">
        <v>29</v>
      </c>
      <c r="D142" t="s">
        <v>29</v>
      </c>
      <c r="E142" t="s">
        <v>29</v>
      </c>
      <c r="F142" t="s">
        <v>640</v>
      </c>
      <c r="G142" t="s">
        <v>641</v>
      </c>
      <c r="H142">
        <v>2020</v>
      </c>
      <c r="I142">
        <v>34</v>
      </c>
      <c r="J142">
        <v>1</v>
      </c>
      <c r="K142" t="s">
        <v>29</v>
      </c>
      <c r="L142" t="s">
        <v>29</v>
      </c>
      <c r="M142" t="s">
        <v>29</v>
      </c>
      <c r="N142">
        <v>203</v>
      </c>
      <c r="O142">
        <v>216</v>
      </c>
      <c r="P142" t="s">
        <v>29</v>
      </c>
      <c r="Q142" t="s">
        <v>642</v>
      </c>
      <c r="R142" t="s">
        <v>29</v>
      </c>
      <c r="S142" t="s">
        <v>29</v>
      </c>
      <c r="T142">
        <v>9</v>
      </c>
      <c r="U142">
        <v>1.8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  <c r="AB142">
        <v>0</v>
      </c>
      <c r="AC142">
        <v>0</v>
      </c>
      <c r="AD142">
        <v>0</v>
      </c>
      <c r="AE142">
        <v>0</v>
      </c>
      <c r="AF142">
        <v>0</v>
      </c>
      <c r="AG142">
        <v>0</v>
      </c>
      <c r="AH142">
        <v>0</v>
      </c>
      <c r="AI142">
        <v>0</v>
      </c>
      <c r="AJ142">
        <v>0</v>
      </c>
      <c r="AK142">
        <v>0</v>
      </c>
      <c r="AL142">
        <v>0</v>
      </c>
      <c r="AM142">
        <v>0</v>
      </c>
      <c r="AN142">
        <v>0</v>
      </c>
      <c r="AO142">
        <v>0</v>
      </c>
      <c r="AP142">
        <v>0</v>
      </c>
      <c r="AQ142">
        <v>0</v>
      </c>
      <c r="AR142">
        <v>0</v>
      </c>
      <c r="AS142">
        <v>0</v>
      </c>
      <c r="AT142">
        <v>0</v>
      </c>
      <c r="AU142">
        <v>0</v>
      </c>
      <c r="AV142">
        <v>0</v>
      </c>
      <c r="AW142">
        <v>0</v>
      </c>
      <c r="AX142">
        <v>0</v>
      </c>
      <c r="AY142">
        <v>0</v>
      </c>
      <c r="AZ142">
        <v>0</v>
      </c>
      <c r="BA142">
        <v>0</v>
      </c>
      <c r="BB142">
        <v>0</v>
      </c>
      <c r="BC142">
        <v>0</v>
      </c>
      <c r="BD142">
        <v>0</v>
      </c>
      <c r="BE142">
        <v>0</v>
      </c>
      <c r="BF142">
        <v>0</v>
      </c>
      <c r="BG142">
        <v>0</v>
      </c>
      <c r="BH142">
        <v>0</v>
      </c>
      <c r="BI142">
        <v>0</v>
      </c>
      <c r="BJ142">
        <v>0</v>
      </c>
      <c r="BK142">
        <v>0</v>
      </c>
      <c r="BL142">
        <v>0</v>
      </c>
      <c r="BM142">
        <v>0</v>
      </c>
      <c r="BN142">
        <v>0</v>
      </c>
      <c r="BO142">
        <v>1</v>
      </c>
      <c r="BP142">
        <v>5</v>
      </c>
      <c r="BQ142">
        <v>0</v>
      </c>
      <c r="BR142">
        <v>3</v>
      </c>
      <c r="BS142">
        <v>0</v>
      </c>
    </row>
    <row r="143" spans="1:71" x14ac:dyDescent="0.3">
      <c r="A143" t="s">
        <v>643</v>
      </c>
      <c r="B143" t="s">
        <v>644</v>
      </c>
      <c r="C143" t="s">
        <v>29</v>
      </c>
      <c r="D143" t="s">
        <v>29</v>
      </c>
      <c r="E143" t="s">
        <v>29</v>
      </c>
      <c r="F143" t="s">
        <v>645</v>
      </c>
      <c r="G143" t="s">
        <v>646</v>
      </c>
      <c r="H143">
        <v>2018</v>
      </c>
      <c r="I143">
        <v>88</v>
      </c>
      <c r="J143">
        <v>4</v>
      </c>
      <c r="K143" t="s">
        <v>29</v>
      </c>
      <c r="L143" t="s">
        <v>29</v>
      </c>
      <c r="M143" t="s">
        <v>29</v>
      </c>
      <c r="N143">
        <v>483</v>
      </c>
      <c r="O143">
        <v>515</v>
      </c>
      <c r="P143" t="s">
        <v>29</v>
      </c>
      <c r="Q143" t="s">
        <v>647</v>
      </c>
      <c r="R143" t="s">
        <v>29</v>
      </c>
      <c r="S143" t="s">
        <v>29</v>
      </c>
      <c r="T143">
        <v>9</v>
      </c>
      <c r="U143">
        <v>1.29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  <c r="AB143">
        <v>0</v>
      </c>
      <c r="AC143">
        <v>0</v>
      </c>
      <c r="AD143">
        <v>0</v>
      </c>
      <c r="AE143">
        <v>0</v>
      </c>
      <c r="AF143">
        <v>0</v>
      </c>
      <c r="AG143">
        <v>0</v>
      </c>
      <c r="AH143">
        <v>0</v>
      </c>
      <c r="AI143">
        <v>0</v>
      </c>
      <c r="AJ143">
        <v>0</v>
      </c>
      <c r="AK143">
        <v>0</v>
      </c>
      <c r="AL143">
        <v>0</v>
      </c>
      <c r="AM143">
        <v>0</v>
      </c>
      <c r="AN143">
        <v>0</v>
      </c>
      <c r="AO143">
        <v>0</v>
      </c>
      <c r="AP143">
        <v>0</v>
      </c>
      <c r="AQ143">
        <v>0</v>
      </c>
      <c r="AR143">
        <v>0</v>
      </c>
      <c r="AS143">
        <v>0</v>
      </c>
      <c r="AT143">
        <v>0</v>
      </c>
      <c r="AU143">
        <v>0</v>
      </c>
      <c r="AV143">
        <v>0</v>
      </c>
      <c r="AW143">
        <v>0</v>
      </c>
      <c r="AX143">
        <v>0</v>
      </c>
      <c r="AY143">
        <v>0</v>
      </c>
      <c r="AZ143">
        <v>0</v>
      </c>
      <c r="BA143">
        <v>0</v>
      </c>
      <c r="BB143">
        <v>0</v>
      </c>
      <c r="BC143">
        <v>0</v>
      </c>
      <c r="BD143">
        <v>0</v>
      </c>
      <c r="BE143">
        <v>0</v>
      </c>
      <c r="BF143">
        <v>0</v>
      </c>
      <c r="BG143">
        <v>0</v>
      </c>
      <c r="BH143">
        <v>0</v>
      </c>
      <c r="BI143">
        <v>0</v>
      </c>
      <c r="BJ143">
        <v>0</v>
      </c>
      <c r="BK143">
        <v>0</v>
      </c>
      <c r="BL143">
        <v>0</v>
      </c>
      <c r="BM143">
        <v>0</v>
      </c>
      <c r="BN143">
        <v>0</v>
      </c>
      <c r="BO143">
        <v>1</v>
      </c>
      <c r="BP143">
        <v>1</v>
      </c>
      <c r="BQ143">
        <v>3</v>
      </c>
      <c r="BR143">
        <v>1</v>
      </c>
      <c r="BS143">
        <v>3</v>
      </c>
    </row>
    <row r="144" spans="1:71" x14ac:dyDescent="0.3">
      <c r="A144" t="s">
        <v>648</v>
      </c>
      <c r="B144" t="s">
        <v>649</v>
      </c>
      <c r="C144" t="s">
        <v>29</v>
      </c>
      <c r="D144" t="s">
        <v>29</v>
      </c>
      <c r="E144" t="s">
        <v>29</v>
      </c>
      <c r="F144" t="s">
        <v>650</v>
      </c>
      <c r="G144" t="s">
        <v>651</v>
      </c>
      <c r="H144">
        <v>2017</v>
      </c>
      <c r="I144">
        <v>55</v>
      </c>
      <c r="J144">
        <v>2</v>
      </c>
      <c r="K144" t="s">
        <v>29</v>
      </c>
      <c r="L144" t="s">
        <v>29</v>
      </c>
      <c r="M144" t="s">
        <v>29</v>
      </c>
      <c r="N144">
        <v>1032</v>
      </c>
      <c r="O144">
        <v>1053</v>
      </c>
      <c r="P144" t="s">
        <v>29</v>
      </c>
      <c r="Q144" t="s">
        <v>652</v>
      </c>
      <c r="R144" t="s">
        <v>29</v>
      </c>
      <c r="S144" t="s">
        <v>29</v>
      </c>
      <c r="T144">
        <v>9</v>
      </c>
      <c r="U144">
        <v>1.1299999999999999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  <c r="AB144">
        <v>0</v>
      </c>
      <c r="AC144">
        <v>0</v>
      </c>
      <c r="AD144">
        <v>0</v>
      </c>
      <c r="AE144">
        <v>0</v>
      </c>
      <c r="AF144">
        <v>0</v>
      </c>
      <c r="AG144">
        <v>0</v>
      </c>
      <c r="AH144">
        <v>0</v>
      </c>
      <c r="AI144">
        <v>0</v>
      </c>
      <c r="AJ144">
        <v>0</v>
      </c>
      <c r="AK144">
        <v>0</v>
      </c>
      <c r="AL144">
        <v>0</v>
      </c>
      <c r="AM144">
        <v>0</v>
      </c>
      <c r="AN144">
        <v>0</v>
      </c>
      <c r="AO144">
        <v>0</v>
      </c>
      <c r="AP144">
        <v>0</v>
      </c>
      <c r="AQ144">
        <v>0</v>
      </c>
      <c r="AR144">
        <v>0</v>
      </c>
      <c r="AS144">
        <v>0</v>
      </c>
      <c r="AT144">
        <v>0</v>
      </c>
      <c r="AU144">
        <v>0</v>
      </c>
      <c r="AV144">
        <v>0</v>
      </c>
      <c r="AW144">
        <v>0</v>
      </c>
      <c r="AX144">
        <v>0</v>
      </c>
      <c r="AY144">
        <v>0</v>
      </c>
      <c r="AZ144">
        <v>0</v>
      </c>
      <c r="BA144">
        <v>0</v>
      </c>
      <c r="BB144">
        <v>0</v>
      </c>
      <c r="BC144">
        <v>0</v>
      </c>
      <c r="BD144">
        <v>0</v>
      </c>
      <c r="BE144">
        <v>0</v>
      </c>
      <c r="BF144">
        <v>0</v>
      </c>
      <c r="BG144">
        <v>0</v>
      </c>
      <c r="BH144">
        <v>0</v>
      </c>
      <c r="BI144">
        <v>0</v>
      </c>
      <c r="BJ144">
        <v>0</v>
      </c>
      <c r="BK144">
        <v>0</v>
      </c>
      <c r="BL144">
        <v>1</v>
      </c>
      <c r="BM144">
        <v>0</v>
      </c>
      <c r="BN144">
        <v>0</v>
      </c>
      <c r="BO144">
        <v>2</v>
      </c>
      <c r="BP144">
        <v>2</v>
      </c>
      <c r="BQ144">
        <v>3</v>
      </c>
      <c r="BR144">
        <v>1</v>
      </c>
      <c r="BS144">
        <v>0</v>
      </c>
    </row>
    <row r="145" spans="1:71" x14ac:dyDescent="0.3">
      <c r="A145" t="s">
        <v>653</v>
      </c>
      <c r="B145" t="s">
        <v>654</v>
      </c>
      <c r="C145" t="s">
        <v>29</v>
      </c>
      <c r="D145" t="s">
        <v>29</v>
      </c>
      <c r="E145" t="s">
        <v>29</v>
      </c>
      <c r="F145" t="s">
        <v>655</v>
      </c>
      <c r="G145">
        <v>2016</v>
      </c>
      <c r="H145">
        <v>2016</v>
      </c>
      <c r="I145">
        <v>11</v>
      </c>
      <c r="J145">
        <v>2</v>
      </c>
      <c r="K145" t="s">
        <v>29</v>
      </c>
      <c r="L145" t="s">
        <v>29</v>
      </c>
      <c r="M145" t="s">
        <v>29</v>
      </c>
      <c r="N145">
        <v>87</v>
      </c>
      <c r="O145">
        <v>101</v>
      </c>
      <c r="P145" t="s">
        <v>29</v>
      </c>
      <c r="Q145" t="s">
        <v>656</v>
      </c>
      <c r="R145" t="s">
        <v>29</v>
      </c>
      <c r="S145" t="s">
        <v>29</v>
      </c>
      <c r="T145">
        <v>9</v>
      </c>
      <c r="U145">
        <v>1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  <c r="AB145">
        <v>0</v>
      </c>
      <c r="AC145">
        <v>0</v>
      </c>
      <c r="AD145">
        <v>0</v>
      </c>
      <c r="AE145">
        <v>0</v>
      </c>
      <c r="AF145">
        <v>0</v>
      </c>
      <c r="AG145">
        <v>0</v>
      </c>
      <c r="AH145">
        <v>0</v>
      </c>
      <c r="AI145">
        <v>0</v>
      </c>
      <c r="AJ145">
        <v>0</v>
      </c>
      <c r="AK145">
        <v>0</v>
      </c>
      <c r="AL145">
        <v>0</v>
      </c>
      <c r="AM145">
        <v>0</v>
      </c>
      <c r="AN145">
        <v>0</v>
      </c>
      <c r="AO145">
        <v>0</v>
      </c>
      <c r="AP145">
        <v>0</v>
      </c>
      <c r="AQ145">
        <v>0</v>
      </c>
      <c r="AR145">
        <v>0</v>
      </c>
      <c r="AS145">
        <v>0</v>
      </c>
      <c r="AT145">
        <v>0</v>
      </c>
      <c r="AU145">
        <v>0</v>
      </c>
      <c r="AV145">
        <v>0</v>
      </c>
      <c r="AW145">
        <v>0</v>
      </c>
      <c r="AX145">
        <v>0</v>
      </c>
      <c r="AY145">
        <v>0</v>
      </c>
      <c r="AZ145">
        <v>0</v>
      </c>
      <c r="BA145">
        <v>0</v>
      </c>
      <c r="BB145">
        <v>0</v>
      </c>
      <c r="BC145">
        <v>0</v>
      </c>
      <c r="BD145">
        <v>0</v>
      </c>
      <c r="BE145">
        <v>0</v>
      </c>
      <c r="BF145">
        <v>0</v>
      </c>
      <c r="BG145">
        <v>0</v>
      </c>
      <c r="BH145">
        <v>0</v>
      </c>
      <c r="BI145">
        <v>0</v>
      </c>
      <c r="BJ145">
        <v>0</v>
      </c>
      <c r="BK145">
        <v>0</v>
      </c>
      <c r="BL145">
        <v>0</v>
      </c>
      <c r="BM145">
        <v>1</v>
      </c>
      <c r="BN145">
        <v>1</v>
      </c>
      <c r="BO145">
        <v>1</v>
      </c>
      <c r="BP145">
        <v>2</v>
      </c>
      <c r="BQ145">
        <v>2</v>
      </c>
      <c r="BR145">
        <v>1</v>
      </c>
      <c r="BS145">
        <v>1</v>
      </c>
    </row>
    <row r="146" spans="1:71" x14ac:dyDescent="0.3">
      <c r="A146" t="s">
        <v>657</v>
      </c>
      <c r="B146" t="s">
        <v>658</v>
      </c>
      <c r="C146" t="s">
        <v>29</v>
      </c>
      <c r="D146" t="s">
        <v>29</v>
      </c>
      <c r="E146" t="s">
        <v>659</v>
      </c>
      <c r="F146" t="s">
        <v>660</v>
      </c>
      <c r="G146">
        <v>2016</v>
      </c>
      <c r="H146">
        <v>2016</v>
      </c>
      <c r="I146" t="s">
        <v>29</v>
      </c>
      <c r="J146" t="s">
        <v>29</v>
      </c>
      <c r="K146" t="s">
        <v>29</v>
      </c>
      <c r="L146" t="s">
        <v>29</v>
      </c>
      <c r="M146" t="s">
        <v>29</v>
      </c>
      <c r="N146">
        <v>1532</v>
      </c>
      <c r="O146">
        <v>1541</v>
      </c>
      <c r="P146" t="s">
        <v>29</v>
      </c>
      <c r="Q146" t="s">
        <v>29</v>
      </c>
      <c r="R146" t="s">
        <v>661</v>
      </c>
      <c r="S146" t="s">
        <v>662</v>
      </c>
      <c r="T146">
        <v>9</v>
      </c>
      <c r="U146">
        <v>1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  <c r="AB146">
        <v>0</v>
      </c>
      <c r="AC146">
        <v>0</v>
      </c>
      <c r="AD146">
        <v>0</v>
      </c>
      <c r="AE146">
        <v>0</v>
      </c>
      <c r="AF146">
        <v>0</v>
      </c>
      <c r="AG146">
        <v>0</v>
      </c>
      <c r="AH146">
        <v>0</v>
      </c>
      <c r="AI146">
        <v>0</v>
      </c>
      <c r="AJ146">
        <v>0</v>
      </c>
      <c r="AK146">
        <v>0</v>
      </c>
      <c r="AL146">
        <v>0</v>
      </c>
      <c r="AM146">
        <v>0</v>
      </c>
      <c r="AN146">
        <v>0</v>
      </c>
      <c r="AO146">
        <v>0</v>
      </c>
      <c r="AP146">
        <v>0</v>
      </c>
      <c r="AQ146">
        <v>0</v>
      </c>
      <c r="AR146">
        <v>0</v>
      </c>
      <c r="AS146">
        <v>0</v>
      </c>
      <c r="AT146">
        <v>0</v>
      </c>
      <c r="AU146">
        <v>0</v>
      </c>
      <c r="AV146">
        <v>0</v>
      </c>
      <c r="AW146">
        <v>0</v>
      </c>
      <c r="AX146">
        <v>0</v>
      </c>
      <c r="AY146">
        <v>0</v>
      </c>
      <c r="AZ146">
        <v>0</v>
      </c>
      <c r="BA146">
        <v>0</v>
      </c>
      <c r="BB146">
        <v>0</v>
      </c>
      <c r="BC146">
        <v>0</v>
      </c>
      <c r="BD146">
        <v>0</v>
      </c>
      <c r="BE146">
        <v>0</v>
      </c>
      <c r="BF146">
        <v>0</v>
      </c>
      <c r="BG146">
        <v>0</v>
      </c>
      <c r="BH146">
        <v>0</v>
      </c>
      <c r="BI146">
        <v>0</v>
      </c>
      <c r="BJ146">
        <v>0</v>
      </c>
      <c r="BK146">
        <v>0</v>
      </c>
      <c r="BL146">
        <v>1</v>
      </c>
      <c r="BM146">
        <v>1</v>
      </c>
      <c r="BN146">
        <v>2</v>
      </c>
      <c r="BO146">
        <v>1</v>
      </c>
      <c r="BP146">
        <v>3</v>
      </c>
      <c r="BQ146">
        <v>0</v>
      </c>
      <c r="BR146">
        <v>0</v>
      </c>
      <c r="BS146">
        <v>1</v>
      </c>
    </row>
    <row r="147" spans="1:71" x14ac:dyDescent="0.3">
      <c r="A147" t="s">
        <v>663</v>
      </c>
      <c r="B147" t="s">
        <v>664</v>
      </c>
      <c r="C147" t="s">
        <v>29</v>
      </c>
      <c r="D147" t="s">
        <v>29</v>
      </c>
      <c r="E147" t="s">
        <v>29</v>
      </c>
      <c r="F147" t="s">
        <v>291</v>
      </c>
      <c r="G147" t="s">
        <v>665</v>
      </c>
      <c r="H147">
        <v>2014</v>
      </c>
      <c r="I147">
        <v>52</v>
      </c>
      <c r="J147">
        <v>2</v>
      </c>
      <c r="K147" t="s">
        <v>29</v>
      </c>
      <c r="L147" t="s">
        <v>29</v>
      </c>
      <c r="M147" t="s">
        <v>32</v>
      </c>
      <c r="N147">
        <v>20</v>
      </c>
      <c r="O147">
        <v>30</v>
      </c>
      <c r="P147" t="s">
        <v>29</v>
      </c>
      <c r="Q147" t="s">
        <v>666</v>
      </c>
      <c r="R147" t="s">
        <v>29</v>
      </c>
      <c r="S147" t="s">
        <v>29</v>
      </c>
      <c r="T147">
        <v>9</v>
      </c>
      <c r="U147">
        <v>0.82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  <c r="AB147">
        <v>0</v>
      </c>
      <c r="AC147">
        <v>0</v>
      </c>
      <c r="AD147">
        <v>0</v>
      </c>
      <c r="AE147">
        <v>0</v>
      </c>
      <c r="AF147">
        <v>0</v>
      </c>
      <c r="AG147">
        <v>0</v>
      </c>
      <c r="AH147">
        <v>0</v>
      </c>
      <c r="AI147">
        <v>0</v>
      </c>
      <c r="AJ147">
        <v>0</v>
      </c>
      <c r="AK147">
        <v>0</v>
      </c>
      <c r="AL147">
        <v>0</v>
      </c>
      <c r="AM147">
        <v>0</v>
      </c>
      <c r="AN147">
        <v>0</v>
      </c>
      <c r="AO147">
        <v>0</v>
      </c>
      <c r="AP147">
        <v>0</v>
      </c>
      <c r="AQ147">
        <v>0</v>
      </c>
      <c r="AR147">
        <v>0</v>
      </c>
      <c r="AS147">
        <v>0</v>
      </c>
      <c r="AT147">
        <v>0</v>
      </c>
      <c r="AU147">
        <v>0</v>
      </c>
      <c r="AV147">
        <v>0</v>
      </c>
      <c r="AW147">
        <v>0</v>
      </c>
      <c r="AX147">
        <v>0</v>
      </c>
      <c r="AY147">
        <v>0</v>
      </c>
      <c r="AZ147">
        <v>0</v>
      </c>
      <c r="BA147">
        <v>0</v>
      </c>
      <c r="BB147">
        <v>0</v>
      </c>
      <c r="BC147">
        <v>0</v>
      </c>
      <c r="BD147">
        <v>0</v>
      </c>
      <c r="BE147">
        <v>0</v>
      </c>
      <c r="BF147">
        <v>0</v>
      </c>
      <c r="BG147">
        <v>0</v>
      </c>
      <c r="BH147">
        <v>0</v>
      </c>
      <c r="BI147">
        <v>0</v>
      </c>
      <c r="BJ147">
        <v>1</v>
      </c>
      <c r="BK147">
        <v>0</v>
      </c>
      <c r="BL147">
        <v>2</v>
      </c>
      <c r="BM147">
        <v>1</v>
      </c>
      <c r="BN147">
        <v>2</v>
      </c>
      <c r="BO147">
        <v>0</v>
      </c>
      <c r="BP147">
        <v>0</v>
      </c>
      <c r="BQ147">
        <v>2</v>
      </c>
      <c r="BR147">
        <v>1</v>
      </c>
      <c r="BS147">
        <v>0</v>
      </c>
    </row>
    <row r="148" spans="1:71" x14ac:dyDescent="0.3">
      <c r="A148" t="s">
        <v>667</v>
      </c>
      <c r="B148" t="s">
        <v>668</v>
      </c>
      <c r="C148" t="s">
        <v>29</v>
      </c>
      <c r="D148" t="s">
        <v>29</v>
      </c>
      <c r="E148" t="s">
        <v>669</v>
      </c>
      <c r="F148" t="s">
        <v>670</v>
      </c>
      <c r="G148">
        <v>2011</v>
      </c>
      <c r="H148">
        <v>2011</v>
      </c>
      <c r="I148" t="s">
        <v>29</v>
      </c>
      <c r="J148" t="s">
        <v>29</v>
      </c>
      <c r="K148" t="s">
        <v>29</v>
      </c>
      <c r="L148" t="s">
        <v>29</v>
      </c>
      <c r="M148" t="s">
        <v>29</v>
      </c>
      <c r="N148">
        <v>141</v>
      </c>
      <c r="O148">
        <v>162</v>
      </c>
      <c r="P148" t="s">
        <v>29</v>
      </c>
      <c r="Q148" t="s">
        <v>29</v>
      </c>
      <c r="R148" t="s">
        <v>671</v>
      </c>
      <c r="S148" t="s">
        <v>672</v>
      </c>
      <c r="T148">
        <v>9</v>
      </c>
      <c r="U148">
        <v>0.64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  <c r="AB148">
        <v>0</v>
      </c>
      <c r="AC148">
        <v>0</v>
      </c>
      <c r="AD148">
        <v>0</v>
      </c>
      <c r="AE148">
        <v>0</v>
      </c>
      <c r="AF148">
        <v>0</v>
      </c>
      <c r="AG148">
        <v>0</v>
      </c>
      <c r="AH148">
        <v>0</v>
      </c>
      <c r="AI148">
        <v>0</v>
      </c>
      <c r="AJ148">
        <v>0</v>
      </c>
      <c r="AK148">
        <v>0</v>
      </c>
      <c r="AL148">
        <v>0</v>
      </c>
      <c r="AM148">
        <v>0</v>
      </c>
      <c r="AN148">
        <v>0</v>
      </c>
      <c r="AO148">
        <v>0</v>
      </c>
      <c r="AP148">
        <v>0</v>
      </c>
      <c r="AQ148">
        <v>0</v>
      </c>
      <c r="AR148">
        <v>0</v>
      </c>
      <c r="AS148">
        <v>0</v>
      </c>
      <c r="AT148">
        <v>0</v>
      </c>
      <c r="AU148">
        <v>0</v>
      </c>
      <c r="AV148">
        <v>0</v>
      </c>
      <c r="AW148">
        <v>0</v>
      </c>
      <c r="AX148">
        <v>0</v>
      </c>
      <c r="AY148">
        <v>0</v>
      </c>
      <c r="AZ148">
        <v>0</v>
      </c>
      <c r="BA148">
        <v>0</v>
      </c>
      <c r="BB148">
        <v>0</v>
      </c>
      <c r="BC148">
        <v>0</v>
      </c>
      <c r="BD148">
        <v>0</v>
      </c>
      <c r="BE148">
        <v>0</v>
      </c>
      <c r="BF148">
        <v>0</v>
      </c>
      <c r="BG148">
        <v>1</v>
      </c>
      <c r="BH148">
        <v>0</v>
      </c>
      <c r="BI148">
        <v>0</v>
      </c>
      <c r="BJ148">
        <v>2</v>
      </c>
      <c r="BK148">
        <v>3</v>
      </c>
      <c r="BL148">
        <v>0</v>
      </c>
      <c r="BM148">
        <v>1</v>
      </c>
      <c r="BN148">
        <v>0</v>
      </c>
      <c r="BO148">
        <v>0</v>
      </c>
      <c r="BP148">
        <v>1</v>
      </c>
      <c r="BQ148">
        <v>0</v>
      </c>
      <c r="BR148">
        <v>1</v>
      </c>
      <c r="BS148">
        <v>0</v>
      </c>
    </row>
    <row r="149" spans="1:71" x14ac:dyDescent="0.3">
      <c r="A149" t="s">
        <v>673</v>
      </c>
      <c r="B149" t="s">
        <v>674</v>
      </c>
      <c r="C149" t="s">
        <v>29</v>
      </c>
      <c r="D149" t="s">
        <v>29</v>
      </c>
      <c r="E149" t="s">
        <v>29</v>
      </c>
      <c r="F149" t="s">
        <v>675</v>
      </c>
      <c r="G149" t="s">
        <v>676</v>
      </c>
      <c r="H149">
        <v>2004</v>
      </c>
      <c r="I149">
        <v>14</v>
      </c>
      <c r="J149">
        <v>2</v>
      </c>
      <c r="K149" t="s">
        <v>29</v>
      </c>
      <c r="L149" t="s">
        <v>29</v>
      </c>
      <c r="M149" t="s">
        <v>29</v>
      </c>
      <c r="N149">
        <v>49</v>
      </c>
      <c r="O149">
        <v>59</v>
      </c>
      <c r="P149" t="s">
        <v>29</v>
      </c>
      <c r="Q149" t="s">
        <v>29</v>
      </c>
      <c r="R149" t="s">
        <v>29</v>
      </c>
      <c r="S149" t="s">
        <v>29</v>
      </c>
      <c r="T149">
        <v>9</v>
      </c>
      <c r="U149">
        <v>0.43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  <c r="AB149">
        <v>0</v>
      </c>
      <c r="AC149">
        <v>0</v>
      </c>
      <c r="AD149">
        <v>0</v>
      </c>
      <c r="AE149">
        <v>0</v>
      </c>
      <c r="AF149">
        <v>0</v>
      </c>
      <c r="AG149">
        <v>0</v>
      </c>
      <c r="AH149">
        <v>0</v>
      </c>
      <c r="AI149">
        <v>0</v>
      </c>
      <c r="AJ149">
        <v>0</v>
      </c>
      <c r="AK149">
        <v>0</v>
      </c>
      <c r="AL149">
        <v>0</v>
      </c>
      <c r="AM149">
        <v>0</v>
      </c>
      <c r="AN149">
        <v>0</v>
      </c>
      <c r="AO149">
        <v>0</v>
      </c>
      <c r="AP149">
        <v>0</v>
      </c>
      <c r="AQ149">
        <v>0</v>
      </c>
      <c r="AR149">
        <v>0</v>
      </c>
      <c r="AS149">
        <v>0</v>
      </c>
      <c r="AT149">
        <v>0</v>
      </c>
      <c r="AU149">
        <v>0</v>
      </c>
      <c r="AV149">
        <v>0</v>
      </c>
      <c r="AW149">
        <v>0</v>
      </c>
      <c r="AX149">
        <v>0</v>
      </c>
      <c r="AY149">
        <v>0</v>
      </c>
      <c r="AZ149">
        <v>1</v>
      </c>
      <c r="BA149">
        <v>1</v>
      </c>
      <c r="BB149">
        <v>0</v>
      </c>
      <c r="BC149">
        <v>1</v>
      </c>
      <c r="BD149">
        <v>0</v>
      </c>
      <c r="BE149">
        <v>0</v>
      </c>
      <c r="BF149">
        <v>1</v>
      </c>
      <c r="BG149">
        <v>0</v>
      </c>
      <c r="BH149">
        <v>1</v>
      </c>
      <c r="BI149">
        <v>1</v>
      </c>
      <c r="BJ149">
        <v>1</v>
      </c>
      <c r="BK149">
        <v>1</v>
      </c>
      <c r="BL149">
        <v>1</v>
      </c>
      <c r="BM149">
        <v>0</v>
      </c>
      <c r="BN149">
        <v>0</v>
      </c>
      <c r="BO149">
        <v>0</v>
      </c>
      <c r="BP149">
        <v>0</v>
      </c>
      <c r="BQ149">
        <v>0</v>
      </c>
      <c r="BR149">
        <v>0</v>
      </c>
      <c r="BS149">
        <v>0</v>
      </c>
    </row>
    <row r="150" spans="1:71" x14ac:dyDescent="0.3">
      <c r="A150" t="s">
        <v>677</v>
      </c>
      <c r="B150" t="s">
        <v>678</v>
      </c>
      <c r="C150" t="s">
        <v>29</v>
      </c>
      <c r="D150" t="s">
        <v>29</v>
      </c>
      <c r="E150" t="s">
        <v>29</v>
      </c>
      <c r="F150" t="s">
        <v>679</v>
      </c>
      <c r="G150" t="s">
        <v>680</v>
      </c>
      <c r="H150">
        <v>2022</v>
      </c>
      <c r="I150">
        <v>9</v>
      </c>
      <c r="J150">
        <v>4</v>
      </c>
      <c r="K150" t="s">
        <v>29</v>
      </c>
      <c r="L150" t="s">
        <v>29</v>
      </c>
      <c r="M150" t="s">
        <v>29</v>
      </c>
      <c r="N150">
        <v>212</v>
      </c>
      <c r="O150">
        <v>224</v>
      </c>
      <c r="P150" t="s">
        <v>29</v>
      </c>
      <c r="Q150" t="s">
        <v>681</v>
      </c>
      <c r="R150" t="s">
        <v>29</v>
      </c>
      <c r="S150" t="s">
        <v>29</v>
      </c>
      <c r="T150">
        <v>8</v>
      </c>
      <c r="U150">
        <v>2.67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  <c r="AB150">
        <v>0</v>
      </c>
      <c r="AC150">
        <v>0</v>
      </c>
      <c r="AD150">
        <v>0</v>
      </c>
      <c r="AE150">
        <v>0</v>
      </c>
      <c r="AF150">
        <v>0</v>
      </c>
      <c r="AG150">
        <v>0</v>
      </c>
      <c r="AH150">
        <v>0</v>
      </c>
      <c r="AI150">
        <v>0</v>
      </c>
      <c r="AJ150">
        <v>0</v>
      </c>
      <c r="AK150">
        <v>0</v>
      </c>
      <c r="AL150">
        <v>0</v>
      </c>
      <c r="AM150">
        <v>0</v>
      </c>
      <c r="AN150">
        <v>0</v>
      </c>
      <c r="AO150">
        <v>0</v>
      </c>
      <c r="AP150">
        <v>0</v>
      </c>
      <c r="AQ150">
        <v>0</v>
      </c>
      <c r="AR150">
        <v>0</v>
      </c>
      <c r="AS150">
        <v>0</v>
      </c>
      <c r="AT150">
        <v>0</v>
      </c>
      <c r="AU150">
        <v>0</v>
      </c>
      <c r="AV150">
        <v>0</v>
      </c>
      <c r="AW150">
        <v>0</v>
      </c>
      <c r="AX150">
        <v>0</v>
      </c>
      <c r="AY150">
        <v>0</v>
      </c>
      <c r="AZ150">
        <v>0</v>
      </c>
      <c r="BA150">
        <v>0</v>
      </c>
      <c r="BB150">
        <v>0</v>
      </c>
      <c r="BC150">
        <v>0</v>
      </c>
      <c r="BD150">
        <v>0</v>
      </c>
      <c r="BE150">
        <v>0</v>
      </c>
      <c r="BF150">
        <v>0</v>
      </c>
      <c r="BG150">
        <v>0</v>
      </c>
      <c r="BH150">
        <v>0</v>
      </c>
      <c r="BI150">
        <v>0</v>
      </c>
      <c r="BJ150">
        <v>0</v>
      </c>
      <c r="BK150">
        <v>0</v>
      </c>
      <c r="BL150">
        <v>0</v>
      </c>
      <c r="BM150">
        <v>0</v>
      </c>
      <c r="BN150">
        <v>0</v>
      </c>
      <c r="BO150">
        <v>0</v>
      </c>
      <c r="BP150">
        <v>0</v>
      </c>
      <c r="BQ150">
        <v>0</v>
      </c>
      <c r="BR150">
        <v>4</v>
      </c>
      <c r="BS150">
        <v>4</v>
      </c>
    </row>
    <row r="151" spans="1:71" x14ac:dyDescent="0.3">
      <c r="A151" t="s">
        <v>682</v>
      </c>
      <c r="B151" t="s">
        <v>683</v>
      </c>
      <c r="C151" t="s">
        <v>29</v>
      </c>
      <c r="D151" t="s">
        <v>29</v>
      </c>
      <c r="E151" t="s">
        <v>29</v>
      </c>
      <c r="F151" t="s">
        <v>200</v>
      </c>
      <c r="G151" t="s">
        <v>158</v>
      </c>
      <c r="H151">
        <v>2022</v>
      </c>
      <c r="I151">
        <v>12</v>
      </c>
      <c r="J151">
        <v>4</v>
      </c>
      <c r="K151" t="s">
        <v>29</v>
      </c>
      <c r="L151" t="s">
        <v>29</v>
      </c>
      <c r="M151" t="s">
        <v>29</v>
      </c>
      <c r="N151" t="s">
        <v>29</v>
      </c>
      <c r="O151" t="s">
        <v>29</v>
      </c>
      <c r="P151">
        <v>265</v>
      </c>
      <c r="Q151" t="s">
        <v>684</v>
      </c>
      <c r="R151" t="s">
        <v>29</v>
      </c>
      <c r="S151" t="s">
        <v>29</v>
      </c>
      <c r="T151">
        <v>8</v>
      </c>
      <c r="U151">
        <v>2.67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  <c r="AB151">
        <v>0</v>
      </c>
      <c r="AC151">
        <v>0</v>
      </c>
      <c r="AD151">
        <v>0</v>
      </c>
      <c r="AE151">
        <v>0</v>
      </c>
      <c r="AF151">
        <v>0</v>
      </c>
      <c r="AG151">
        <v>0</v>
      </c>
      <c r="AH151">
        <v>0</v>
      </c>
      <c r="AI151">
        <v>0</v>
      </c>
      <c r="AJ151">
        <v>0</v>
      </c>
      <c r="AK151">
        <v>0</v>
      </c>
      <c r="AL151">
        <v>0</v>
      </c>
      <c r="AM151">
        <v>0</v>
      </c>
      <c r="AN151">
        <v>0</v>
      </c>
      <c r="AO151">
        <v>0</v>
      </c>
      <c r="AP151">
        <v>0</v>
      </c>
      <c r="AQ151">
        <v>0</v>
      </c>
      <c r="AR151">
        <v>0</v>
      </c>
      <c r="AS151">
        <v>0</v>
      </c>
      <c r="AT151">
        <v>0</v>
      </c>
      <c r="AU151">
        <v>0</v>
      </c>
      <c r="AV151">
        <v>0</v>
      </c>
      <c r="AW151">
        <v>0</v>
      </c>
      <c r="AX151">
        <v>0</v>
      </c>
      <c r="AY151">
        <v>0</v>
      </c>
      <c r="AZ151">
        <v>0</v>
      </c>
      <c r="BA151">
        <v>0</v>
      </c>
      <c r="BB151">
        <v>0</v>
      </c>
      <c r="BC151">
        <v>0</v>
      </c>
      <c r="BD151">
        <v>0</v>
      </c>
      <c r="BE151">
        <v>0</v>
      </c>
      <c r="BF151">
        <v>0</v>
      </c>
      <c r="BG151">
        <v>0</v>
      </c>
      <c r="BH151">
        <v>0</v>
      </c>
      <c r="BI151">
        <v>0</v>
      </c>
      <c r="BJ151">
        <v>0</v>
      </c>
      <c r="BK151">
        <v>0</v>
      </c>
      <c r="BL151">
        <v>0</v>
      </c>
      <c r="BM151">
        <v>0</v>
      </c>
      <c r="BN151">
        <v>0</v>
      </c>
      <c r="BO151">
        <v>0</v>
      </c>
      <c r="BP151">
        <v>0</v>
      </c>
      <c r="BQ151">
        <v>2</v>
      </c>
      <c r="BR151">
        <v>2</v>
      </c>
      <c r="BS151">
        <v>4</v>
      </c>
    </row>
    <row r="152" spans="1:71" x14ac:dyDescent="0.3">
      <c r="A152" t="s">
        <v>685</v>
      </c>
      <c r="B152" t="s">
        <v>686</v>
      </c>
      <c r="C152" t="s">
        <v>29</v>
      </c>
      <c r="D152" t="s">
        <v>29</v>
      </c>
      <c r="E152" t="s">
        <v>29</v>
      </c>
      <c r="F152" t="s">
        <v>365</v>
      </c>
      <c r="G152" t="s">
        <v>687</v>
      </c>
      <c r="H152">
        <v>2022</v>
      </c>
      <c r="I152">
        <v>12</v>
      </c>
      <c r="J152">
        <v>5</v>
      </c>
      <c r="K152" t="s">
        <v>29</v>
      </c>
      <c r="L152" t="s">
        <v>29</v>
      </c>
      <c r="M152" t="s">
        <v>29</v>
      </c>
      <c r="N152">
        <v>900</v>
      </c>
      <c r="O152">
        <v>913</v>
      </c>
      <c r="P152" t="s">
        <v>29</v>
      </c>
      <c r="Q152" t="s">
        <v>688</v>
      </c>
      <c r="R152" t="s">
        <v>29</v>
      </c>
      <c r="S152" t="s">
        <v>29</v>
      </c>
      <c r="T152">
        <v>8</v>
      </c>
      <c r="U152">
        <v>2.67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  <c r="AB152">
        <v>0</v>
      </c>
      <c r="AC152">
        <v>0</v>
      </c>
      <c r="AD152">
        <v>0</v>
      </c>
      <c r="AE152">
        <v>0</v>
      </c>
      <c r="AF152">
        <v>0</v>
      </c>
      <c r="AG152">
        <v>0</v>
      </c>
      <c r="AH152">
        <v>0</v>
      </c>
      <c r="AI152">
        <v>0</v>
      </c>
      <c r="AJ152">
        <v>0</v>
      </c>
      <c r="AK152">
        <v>0</v>
      </c>
      <c r="AL152">
        <v>0</v>
      </c>
      <c r="AM152">
        <v>0</v>
      </c>
      <c r="AN152">
        <v>0</v>
      </c>
      <c r="AO152">
        <v>0</v>
      </c>
      <c r="AP152">
        <v>0</v>
      </c>
      <c r="AQ152">
        <v>0</v>
      </c>
      <c r="AR152">
        <v>0</v>
      </c>
      <c r="AS152">
        <v>0</v>
      </c>
      <c r="AT152">
        <v>0</v>
      </c>
      <c r="AU152">
        <v>0</v>
      </c>
      <c r="AV152">
        <v>0</v>
      </c>
      <c r="AW152">
        <v>0</v>
      </c>
      <c r="AX152">
        <v>0</v>
      </c>
      <c r="AY152">
        <v>0</v>
      </c>
      <c r="AZ152">
        <v>0</v>
      </c>
      <c r="BA152">
        <v>0</v>
      </c>
      <c r="BB152">
        <v>0</v>
      </c>
      <c r="BC152">
        <v>0</v>
      </c>
      <c r="BD152">
        <v>0</v>
      </c>
      <c r="BE152">
        <v>0</v>
      </c>
      <c r="BF152">
        <v>0</v>
      </c>
      <c r="BG152">
        <v>0</v>
      </c>
      <c r="BH152">
        <v>0</v>
      </c>
      <c r="BI152">
        <v>0</v>
      </c>
      <c r="BJ152">
        <v>0</v>
      </c>
      <c r="BK152">
        <v>0</v>
      </c>
      <c r="BL152">
        <v>0</v>
      </c>
      <c r="BM152">
        <v>0</v>
      </c>
      <c r="BN152">
        <v>0</v>
      </c>
      <c r="BO152">
        <v>0</v>
      </c>
      <c r="BP152">
        <v>0</v>
      </c>
      <c r="BQ152">
        <v>2</v>
      </c>
      <c r="BR152">
        <v>2</v>
      </c>
      <c r="BS152">
        <v>4</v>
      </c>
    </row>
    <row r="153" spans="1:71" x14ac:dyDescent="0.3">
      <c r="A153" t="s">
        <v>689</v>
      </c>
      <c r="B153" t="s">
        <v>690</v>
      </c>
      <c r="C153" t="s">
        <v>29</v>
      </c>
      <c r="D153" t="s">
        <v>29</v>
      </c>
      <c r="E153" t="s">
        <v>29</v>
      </c>
      <c r="F153" t="s">
        <v>691</v>
      </c>
      <c r="G153" t="s">
        <v>692</v>
      </c>
      <c r="H153">
        <v>2022</v>
      </c>
      <c r="I153">
        <v>62</v>
      </c>
      <c r="J153">
        <v>3</v>
      </c>
      <c r="K153" t="s">
        <v>29</v>
      </c>
      <c r="L153" t="s">
        <v>29</v>
      </c>
      <c r="M153" t="s">
        <v>29</v>
      </c>
      <c r="N153">
        <v>463</v>
      </c>
      <c r="O153">
        <v>479</v>
      </c>
      <c r="P153" t="s">
        <v>29</v>
      </c>
      <c r="Q153" t="s">
        <v>693</v>
      </c>
      <c r="R153" t="s">
        <v>29</v>
      </c>
      <c r="S153" t="s">
        <v>29</v>
      </c>
      <c r="T153">
        <v>8</v>
      </c>
      <c r="U153">
        <v>2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  <c r="AB153">
        <v>0</v>
      </c>
      <c r="AC153">
        <v>0</v>
      </c>
      <c r="AD153">
        <v>0</v>
      </c>
      <c r="AE153">
        <v>0</v>
      </c>
      <c r="AF153">
        <v>0</v>
      </c>
      <c r="AG153">
        <v>0</v>
      </c>
      <c r="AH153">
        <v>0</v>
      </c>
      <c r="AI153">
        <v>0</v>
      </c>
      <c r="AJ153">
        <v>0</v>
      </c>
      <c r="AK153">
        <v>0</v>
      </c>
      <c r="AL153">
        <v>0</v>
      </c>
      <c r="AM153">
        <v>0</v>
      </c>
      <c r="AN153">
        <v>0</v>
      </c>
      <c r="AO153">
        <v>0</v>
      </c>
      <c r="AP153">
        <v>0</v>
      </c>
      <c r="AQ153">
        <v>0</v>
      </c>
      <c r="AR153">
        <v>0</v>
      </c>
      <c r="AS153">
        <v>0</v>
      </c>
      <c r="AT153">
        <v>0</v>
      </c>
      <c r="AU153">
        <v>0</v>
      </c>
      <c r="AV153">
        <v>0</v>
      </c>
      <c r="AW153">
        <v>0</v>
      </c>
      <c r="AX153">
        <v>0</v>
      </c>
      <c r="AY153">
        <v>0</v>
      </c>
      <c r="AZ153">
        <v>0</v>
      </c>
      <c r="BA153">
        <v>0</v>
      </c>
      <c r="BB153">
        <v>0</v>
      </c>
      <c r="BC153">
        <v>0</v>
      </c>
      <c r="BD153">
        <v>0</v>
      </c>
      <c r="BE153">
        <v>0</v>
      </c>
      <c r="BF153">
        <v>0</v>
      </c>
      <c r="BG153">
        <v>0</v>
      </c>
      <c r="BH153">
        <v>0</v>
      </c>
      <c r="BI153">
        <v>0</v>
      </c>
      <c r="BJ153">
        <v>0</v>
      </c>
      <c r="BK153">
        <v>0</v>
      </c>
      <c r="BL153">
        <v>0</v>
      </c>
      <c r="BM153">
        <v>0</v>
      </c>
      <c r="BN153">
        <v>0</v>
      </c>
      <c r="BO153">
        <v>0</v>
      </c>
      <c r="BP153">
        <v>0</v>
      </c>
      <c r="BQ153">
        <v>3</v>
      </c>
      <c r="BR153">
        <v>1</v>
      </c>
      <c r="BS153">
        <v>4</v>
      </c>
    </row>
    <row r="154" spans="1:71" x14ac:dyDescent="0.3">
      <c r="A154" t="s">
        <v>694</v>
      </c>
      <c r="B154" t="s">
        <v>695</v>
      </c>
      <c r="C154" t="s">
        <v>29</v>
      </c>
      <c r="D154" t="s">
        <v>29</v>
      </c>
      <c r="E154" t="s">
        <v>29</v>
      </c>
      <c r="F154" t="s">
        <v>696</v>
      </c>
      <c r="G154">
        <v>2021</v>
      </c>
      <c r="H154">
        <v>2021</v>
      </c>
      <c r="I154">
        <v>13</v>
      </c>
      <c r="J154">
        <v>2</v>
      </c>
      <c r="K154" t="s">
        <v>29</v>
      </c>
      <c r="L154" t="s">
        <v>29</v>
      </c>
      <c r="M154" t="s">
        <v>29</v>
      </c>
      <c r="N154">
        <v>1</v>
      </c>
      <c r="O154">
        <v>9</v>
      </c>
      <c r="P154" t="s">
        <v>29</v>
      </c>
      <c r="Q154" t="s">
        <v>697</v>
      </c>
      <c r="R154" t="s">
        <v>29</v>
      </c>
      <c r="S154" t="s">
        <v>29</v>
      </c>
      <c r="T154">
        <v>8</v>
      </c>
      <c r="U154">
        <v>2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  <c r="AB154">
        <v>0</v>
      </c>
      <c r="AC154">
        <v>0</v>
      </c>
      <c r="AD154">
        <v>0</v>
      </c>
      <c r="AE154">
        <v>0</v>
      </c>
      <c r="AF154">
        <v>0</v>
      </c>
      <c r="AG154">
        <v>0</v>
      </c>
      <c r="AH154">
        <v>0</v>
      </c>
      <c r="AI154">
        <v>0</v>
      </c>
      <c r="AJ154">
        <v>0</v>
      </c>
      <c r="AK154">
        <v>0</v>
      </c>
      <c r="AL154">
        <v>0</v>
      </c>
      <c r="AM154">
        <v>0</v>
      </c>
      <c r="AN154">
        <v>0</v>
      </c>
      <c r="AO154">
        <v>0</v>
      </c>
      <c r="AP154">
        <v>0</v>
      </c>
      <c r="AQ154">
        <v>0</v>
      </c>
      <c r="AR154">
        <v>0</v>
      </c>
      <c r="AS154">
        <v>0</v>
      </c>
      <c r="AT154">
        <v>0</v>
      </c>
      <c r="AU154">
        <v>0</v>
      </c>
      <c r="AV154">
        <v>0</v>
      </c>
      <c r="AW154">
        <v>0</v>
      </c>
      <c r="AX154">
        <v>0</v>
      </c>
      <c r="AY154">
        <v>0</v>
      </c>
      <c r="AZ154">
        <v>0</v>
      </c>
      <c r="BA154">
        <v>0</v>
      </c>
      <c r="BB154">
        <v>0</v>
      </c>
      <c r="BC154">
        <v>0</v>
      </c>
      <c r="BD154">
        <v>0</v>
      </c>
      <c r="BE154">
        <v>0</v>
      </c>
      <c r="BF154">
        <v>0</v>
      </c>
      <c r="BG154">
        <v>0</v>
      </c>
      <c r="BH154">
        <v>0</v>
      </c>
      <c r="BI154">
        <v>0</v>
      </c>
      <c r="BJ154">
        <v>0</v>
      </c>
      <c r="BK154">
        <v>0</v>
      </c>
      <c r="BL154">
        <v>0</v>
      </c>
      <c r="BM154">
        <v>0</v>
      </c>
      <c r="BN154">
        <v>0</v>
      </c>
      <c r="BO154">
        <v>0</v>
      </c>
      <c r="BP154">
        <v>0</v>
      </c>
      <c r="BQ154">
        <v>2</v>
      </c>
      <c r="BR154">
        <v>3</v>
      </c>
      <c r="BS154">
        <v>3</v>
      </c>
    </row>
    <row r="155" spans="1:71" x14ac:dyDescent="0.3">
      <c r="A155" t="s">
        <v>698</v>
      </c>
      <c r="B155" t="s">
        <v>699</v>
      </c>
      <c r="C155" t="s">
        <v>29</v>
      </c>
      <c r="D155" t="s">
        <v>29</v>
      </c>
      <c r="E155" t="s">
        <v>29</v>
      </c>
      <c r="F155" t="s">
        <v>700</v>
      </c>
      <c r="G155" t="s">
        <v>701</v>
      </c>
      <c r="H155">
        <v>2019</v>
      </c>
      <c r="I155">
        <v>63</v>
      </c>
      <c r="J155">
        <v>12</v>
      </c>
      <c r="K155" t="s">
        <v>29</v>
      </c>
      <c r="L155" t="s">
        <v>29</v>
      </c>
      <c r="M155" t="s">
        <v>29</v>
      </c>
      <c r="N155">
        <v>42</v>
      </c>
      <c r="O155">
        <v>49</v>
      </c>
      <c r="P155" t="s">
        <v>29</v>
      </c>
      <c r="Q155" t="s">
        <v>702</v>
      </c>
      <c r="R155" t="s">
        <v>29</v>
      </c>
      <c r="S155" t="s">
        <v>29</v>
      </c>
      <c r="T155">
        <v>8</v>
      </c>
      <c r="U155">
        <v>1.33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  <c r="AB155">
        <v>0</v>
      </c>
      <c r="AC155">
        <v>0</v>
      </c>
      <c r="AD155">
        <v>0</v>
      </c>
      <c r="AE155">
        <v>0</v>
      </c>
      <c r="AF155">
        <v>0</v>
      </c>
      <c r="AG155">
        <v>0</v>
      </c>
      <c r="AH155">
        <v>0</v>
      </c>
      <c r="AI155">
        <v>0</v>
      </c>
      <c r="AJ155">
        <v>0</v>
      </c>
      <c r="AK155">
        <v>0</v>
      </c>
      <c r="AL155">
        <v>0</v>
      </c>
      <c r="AM155">
        <v>0</v>
      </c>
      <c r="AN155">
        <v>0</v>
      </c>
      <c r="AO155">
        <v>0</v>
      </c>
      <c r="AP155">
        <v>0</v>
      </c>
      <c r="AQ155">
        <v>0</v>
      </c>
      <c r="AR155">
        <v>0</v>
      </c>
      <c r="AS155">
        <v>0</v>
      </c>
      <c r="AT155">
        <v>0</v>
      </c>
      <c r="AU155">
        <v>0</v>
      </c>
      <c r="AV155">
        <v>0</v>
      </c>
      <c r="AW155">
        <v>0</v>
      </c>
      <c r="AX155">
        <v>0</v>
      </c>
      <c r="AY155">
        <v>0</v>
      </c>
      <c r="AZ155">
        <v>0</v>
      </c>
      <c r="BA155">
        <v>0</v>
      </c>
      <c r="BB155">
        <v>0</v>
      </c>
      <c r="BC155">
        <v>0</v>
      </c>
      <c r="BD155">
        <v>0</v>
      </c>
      <c r="BE155">
        <v>0</v>
      </c>
      <c r="BF155">
        <v>0</v>
      </c>
      <c r="BG155">
        <v>0</v>
      </c>
      <c r="BH155">
        <v>0</v>
      </c>
      <c r="BI155">
        <v>0</v>
      </c>
      <c r="BJ155">
        <v>0</v>
      </c>
      <c r="BK155">
        <v>0</v>
      </c>
      <c r="BL155">
        <v>0</v>
      </c>
      <c r="BM155">
        <v>0</v>
      </c>
      <c r="BN155">
        <v>0</v>
      </c>
      <c r="BO155">
        <v>3</v>
      </c>
      <c r="BP155">
        <v>2</v>
      </c>
      <c r="BQ155">
        <v>0</v>
      </c>
      <c r="BR155">
        <v>2</v>
      </c>
      <c r="BS155">
        <v>1</v>
      </c>
    </row>
    <row r="156" spans="1:71" x14ac:dyDescent="0.3">
      <c r="A156" t="s">
        <v>703</v>
      </c>
      <c r="B156" t="s">
        <v>704</v>
      </c>
      <c r="C156" t="s">
        <v>29</v>
      </c>
      <c r="D156" t="s">
        <v>29</v>
      </c>
      <c r="E156" t="s">
        <v>29</v>
      </c>
      <c r="F156" t="s">
        <v>705</v>
      </c>
      <c r="G156" t="s">
        <v>706</v>
      </c>
      <c r="H156">
        <v>2019</v>
      </c>
      <c r="I156">
        <v>43</v>
      </c>
      <c r="J156">
        <v>3</v>
      </c>
      <c r="K156" t="s">
        <v>29</v>
      </c>
      <c r="L156" t="s">
        <v>29</v>
      </c>
      <c r="M156" t="s">
        <v>29</v>
      </c>
      <c r="N156">
        <v>493</v>
      </c>
      <c r="O156">
        <v>511</v>
      </c>
      <c r="P156" t="s">
        <v>29</v>
      </c>
      <c r="Q156" t="s">
        <v>707</v>
      </c>
      <c r="R156" t="s">
        <v>29</v>
      </c>
      <c r="S156" t="s">
        <v>29</v>
      </c>
      <c r="T156">
        <v>8</v>
      </c>
      <c r="U156">
        <v>1.33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  <c r="AB156">
        <v>0</v>
      </c>
      <c r="AC156">
        <v>0</v>
      </c>
      <c r="AD156">
        <v>0</v>
      </c>
      <c r="AE156">
        <v>0</v>
      </c>
      <c r="AF156">
        <v>0</v>
      </c>
      <c r="AG156">
        <v>0</v>
      </c>
      <c r="AH156">
        <v>0</v>
      </c>
      <c r="AI156">
        <v>0</v>
      </c>
      <c r="AJ156">
        <v>0</v>
      </c>
      <c r="AK156">
        <v>0</v>
      </c>
      <c r="AL156">
        <v>0</v>
      </c>
      <c r="AM156">
        <v>0</v>
      </c>
      <c r="AN156">
        <v>0</v>
      </c>
      <c r="AO156">
        <v>0</v>
      </c>
      <c r="AP156">
        <v>0</v>
      </c>
      <c r="AQ156">
        <v>0</v>
      </c>
      <c r="AR156">
        <v>0</v>
      </c>
      <c r="AS156">
        <v>0</v>
      </c>
      <c r="AT156">
        <v>0</v>
      </c>
      <c r="AU156">
        <v>0</v>
      </c>
      <c r="AV156">
        <v>0</v>
      </c>
      <c r="AW156">
        <v>0</v>
      </c>
      <c r="AX156">
        <v>0</v>
      </c>
      <c r="AY156">
        <v>0</v>
      </c>
      <c r="AZ156">
        <v>0</v>
      </c>
      <c r="BA156">
        <v>0</v>
      </c>
      <c r="BB156">
        <v>0</v>
      </c>
      <c r="BC156">
        <v>0</v>
      </c>
      <c r="BD156">
        <v>0</v>
      </c>
      <c r="BE156">
        <v>0</v>
      </c>
      <c r="BF156">
        <v>0</v>
      </c>
      <c r="BG156">
        <v>0</v>
      </c>
      <c r="BH156">
        <v>0</v>
      </c>
      <c r="BI156">
        <v>0</v>
      </c>
      <c r="BJ156">
        <v>0</v>
      </c>
      <c r="BK156">
        <v>0</v>
      </c>
      <c r="BL156">
        <v>0</v>
      </c>
      <c r="BM156">
        <v>0</v>
      </c>
      <c r="BN156">
        <v>0</v>
      </c>
      <c r="BO156">
        <v>1</v>
      </c>
      <c r="BP156">
        <v>3</v>
      </c>
      <c r="BQ156">
        <v>3</v>
      </c>
      <c r="BR156">
        <v>1</v>
      </c>
      <c r="BS156">
        <v>0</v>
      </c>
    </row>
    <row r="157" spans="1:71" x14ac:dyDescent="0.3">
      <c r="A157" t="s">
        <v>708</v>
      </c>
      <c r="B157" t="s">
        <v>709</v>
      </c>
      <c r="C157" t="s">
        <v>29</v>
      </c>
      <c r="D157" t="s">
        <v>29</v>
      </c>
      <c r="E157" t="s">
        <v>29</v>
      </c>
      <c r="F157" t="s">
        <v>710</v>
      </c>
      <c r="G157" t="s">
        <v>711</v>
      </c>
      <c r="H157">
        <v>2019</v>
      </c>
      <c r="I157">
        <v>8</v>
      </c>
      <c r="J157">
        <v>20</v>
      </c>
      <c r="K157" t="s">
        <v>29</v>
      </c>
      <c r="L157" t="s">
        <v>29</v>
      </c>
      <c r="M157" t="s">
        <v>29</v>
      </c>
      <c r="N157">
        <v>575</v>
      </c>
      <c r="O157">
        <v>581</v>
      </c>
      <c r="P157" t="s">
        <v>29</v>
      </c>
      <c r="Q157" t="s">
        <v>29</v>
      </c>
      <c r="R157" t="s">
        <v>29</v>
      </c>
      <c r="S157" t="s">
        <v>29</v>
      </c>
      <c r="T157">
        <v>8</v>
      </c>
      <c r="U157">
        <v>1.33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  <c r="AB157">
        <v>0</v>
      </c>
      <c r="AC157">
        <v>0</v>
      </c>
      <c r="AD157">
        <v>0</v>
      </c>
      <c r="AE157">
        <v>0</v>
      </c>
      <c r="AF157">
        <v>0</v>
      </c>
      <c r="AG157">
        <v>0</v>
      </c>
      <c r="AH157">
        <v>0</v>
      </c>
      <c r="AI157">
        <v>0</v>
      </c>
      <c r="AJ157">
        <v>0</v>
      </c>
      <c r="AK157">
        <v>0</v>
      </c>
      <c r="AL157">
        <v>0</v>
      </c>
      <c r="AM157">
        <v>0</v>
      </c>
      <c r="AN157">
        <v>0</v>
      </c>
      <c r="AO157">
        <v>0</v>
      </c>
      <c r="AP157">
        <v>0</v>
      </c>
      <c r="AQ157">
        <v>0</v>
      </c>
      <c r="AR157">
        <v>0</v>
      </c>
      <c r="AS157">
        <v>0</v>
      </c>
      <c r="AT157">
        <v>0</v>
      </c>
      <c r="AU157">
        <v>0</v>
      </c>
      <c r="AV157">
        <v>0</v>
      </c>
      <c r="AW157">
        <v>0</v>
      </c>
      <c r="AX157">
        <v>0</v>
      </c>
      <c r="AY157">
        <v>0</v>
      </c>
      <c r="AZ157">
        <v>0</v>
      </c>
      <c r="BA157">
        <v>0</v>
      </c>
      <c r="BB157">
        <v>0</v>
      </c>
      <c r="BC157">
        <v>0</v>
      </c>
      <c r="BD157">
        <v>0</v>
      </c>
      <c r="BE157">
        <v>0</v>
      </c>
      <c r="BF157">
        <v>0</v>
      </c>
      <c r="BG157">
        <v>0</v>
      </c>
      <c r="BH157">
        <v>0</v>
      </c>
      <c r="BI157">
        <v>0</v>
      </c>
      <c r="BJ157">
        <v>0</v>
      </c>
      <c r="BK157">
        <v>0</v>
      </c>
      <c r="BL157">
        <v>0</v>
      </c>
      <c r="BM157">
        <v>0</v>
      </c>
      <c r="BN157">
        <v>0</v>
      </c>
      <c r="BO157">
        <v>2</v>
      </c>
      <c r="BP157">
        <v>3</v>
      </c>
      <c r="BQ157">
        <v>2</v>
      </c>
      <c r="BR157">
        <v>1</v>
      </c>
      <c r="BS157">
        <v>0</v>
      </c>
    </row>
    <row r="158" spans="1:71" x14ac:dyDescent="0.3">
      <c r="A158" t="s">
        <v>712</v>
      </c>
      <c r="B158" t="s">
        <v>713</v>
      </c>
      <c r="C158" t="s">
        <v>29</v>
      </c>
      <c r="D158" t="s">
        <v>29</v>
      </c>
      <c r="E158" t="s">
        <v>29</v>
      </c>
      <c r="F158" t="s">
        <v>714</v>
      </c>
      <c r="G158" t="s">
        <v>391</v>
      </c>
      <c r="H158">
        <v>2019</v>
      </c>
      <c r="I158">
        <v>65</v>
      </c>
      <c r="J158">
        <v>1</v>
      </c>
      <c r="K158" t="s">
        <v>29</v>
      </c>
      <c r="L158" t="s">
        <v>29</v>
      </c>
      <c r="M158" t="s">
        <v>29</v>
      </c>
      <c r="N158">
        <v>1</v>
      </c>
      <c r="O158">
        <v>9</v>
      </c>
      <c r="P158" t="s">
        <v>29</v>
      </c>
      <c r="Q158" t="s">
        <v>715</v>
      </c>
      <c r="R158" t="s">
        <v>29</v>
      </c>
      <c r="S158" t="s">
        <v>29</v>
      </c>
      <c r="T158">
        <v>8</v>
      </c>
      <c r="U158">
        <v>1.33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  <c r="AB158">
        <v>0</v>
      </c>
      <c r="AC158">
        <v>0</v>
      </c>
      <c r="AD158">
        <v>0</v>
      </c>
      <c r="AE158">
        <v>0</v>
      </c>
      <c r="AF158">
        <v>0</v>
      </c>
      <c r="AG158">
        <v>0</v>
      </c>
      <c r="AH158">
        <v>0</v>
      </c>
      <c r="AI158">
        <v>0</v>
      </c>
      <c r="AJ158">
        <v>0</v>
      </c>
      <c r="AK158">
        <v>0</v>
      </c>
      <c r="AL158">
        <v>0</v>
      </c>
      <c r="AM158">
        <v>0</v>
      </c>
      <c r="AN158">
        <v>0</v>
      </c>
      <c r="AO158">
        <v>0</v>
      </c>
      <c r="AP158">
        <v>0</v>
      </c>
      <c r="AQ158">
        <v>0</v>
      </c>
      <c r="AR158">
        <v>0</v>
      </c>
      <c r="AS158">
        <v>0</v>
      </c>
      <c r="AT158">
        <v>0</v>
      </c>
      <c r="AU158">
        <v>0</v>
      </c>
      <c r="AV158">
        <v>0</v>
      </c>
      <c r="AW158">
        <v>0</v>
      </c>
      <c r="AX158">
        <v>0</v>
      </c>
      <c r="AY158">
        <v>0</v>
      </c>
      <c r="AZ158">
        <v>0</v>
      </c>
      <c r="BA158">
        <v>0</v>
      </c>
      <c r="BB158">
        <v>0</v>
      </c>
      <c r="BC158">
        <v>0</v>
      </c>
      <c r="BD158">
        <v>0</v>
      </c>
      <c r="BE158">
        <v>0</v>
      </c>
      <c r="BF158">
        <v>0</v>
      </c>
      <c r="BG158">
        <v>0</v>
      </c>
      <c r="BH158">
        <v>0</v>
      </c>
      <c r="BI158">
        <v>0</v>
      </c>
      <c r="BJ158">
        <v>0</v>
      </c>
      <c r="BK158">
        <v>0</v>
      </c>
      <c r="BL158">
        <v>0</v>
      </c>
      <c r="BM158">
        <v>0</v>
      </c>
      <c r="BN158">
        <v>0</v>
      </c>
      <c r="BO158">
        <v>0</v>
      </c>
      <c r="BP158">
        <v>0</v>
      </c>
      <c r="BQ158">
        <v>3</v>
      </c>
      <c r="BR158">
        <v>4</v>
      </c>
      <c r="BS158">
        <v>1</v>
      </c>
    </row>
    <row r="159" spans="1:71" x14ac:dyDescent="0.3">
      <c r="A159" t="s">
        <v>716</v>
      </c>
      <c r="B159" t="s">
        <v>717</v>
      </c>
      <c r="C159" t="s">
        <v>29</v>
      </c>
      <c r="D159" t="s">
        <v>29</v>
      </c>
      <c r="E159" t="s">
        <v>29</v>
      </c>
      <c r="F159" t="s">
        <v>718</v>
      </c>
      <c r="G159" t="s">
        <v>719</v>
      </c>
      <c r="H159">
        <v>2016</v>
      </c>
      <c r="I159">
        <v>14</v>
      </c>
      <c r="J159" t="s">
        <v>29</v>
      </c>
      <c r="K159" t="s">
        <v>29</v>
      </c>
      <c r="L159" t="s">
        <v>29</v>
      </c>
      <c r="M159" t="s">
        <v>29</v>
      </c>
      <c r="N159" t="s">
        <v>29</v>
      </c>
      <c r="O159" t="s">
        <v>29</v>
      </c>
      <c r="P159">
        <v>20</v>
      </c>
      <c r="Q159" t="s">
        <v>720</v>
      </c>
      <c r="R159" t="s">
        <v>29</v>
      </c>
      <c r="S159" t="s">
        <v>29</v>
      </c>
      <c r="T159">
        <v>8</v>
      </c>
      <c r="U159">
        <v>0.89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  <c r="AB159">
        <v>0</v>
      </c>
      <c r="AC159">
        <v>0</v>
      </c>
      <c r="AD159">
        <v>0</v>
      </c>
      <c r="AE159">
        <v>0</v>
      </c>
      <c r="AF159">
        <v>0</v>
      </c>
      <c r="AG159">
        <v>0</v>
      </c>
      <c r="AH159">
        <v>0</v>
      </c>
      <c r="AI159">
        <v>0</v>
      </c>
      <c r="AJ159">
        <v>0</v>
      </c>
      <c r="AK159">
        <v>0</v>
      </c>
      <c r="AL159">
        <v>0</v>
      </c>
      <c r="AM159">
        <v>0</v>
      </c>
      <c r="AN159">
        <v>0</v>
      </c>
      <c r="AO159">
        <v>0</v>
      </c>
      <c r="AP159">
        <v>0</v>
      </c>
      <c r="AQ159">
        <v>0</v>
      </c>
      <c r="AR159">
        <v>0</v>
      </c>
      <c r="AS159">
        <v>0</v>
      </c>
      <c r="AT159">
        <v>0</v>
      </c>
      <c r="AU159">
        <v>0</v>
      </c>
      <c r="AV159">
        <v>0</v>
      </c>
      <c r="AW159">
        <v>0</v>
      </c>
      <c r="AX159">
        <v>0</v>
      </c>
      <c r="AY159">
        <v>0</v>
      </c>
      <c r="AZ159">
        <v>0</v>
      </c>
      <c r="BA159">
        <v>0</v>
      </c>
      <c r="BB159">
        <v>0</v>
      </c>
      <c r="BC159">
        <v>0</v>
      </c>
      <c r="BD159">
        <v>0</v>
      </c>
      <c r="BE159">
        <v>0</v>
      </c>
      <c r="BF159">
        <v>0</v>
      </c>
      <c r="BG159">
        <v>0</v>
      </c>
      <c r="BH159">
        <v>0</v>
      </c>
      <c r="BI159">
        <v>0</v>
      </c>
      <c r="BJ159">
        <v>0</v>
      </c>
      <c r="BK159">
        <v>0</v>
      </c>
      <c r="BL159">
        <v>1</v>
      </c>
      <c r="BM159">
        <v>0</v>
      </c>
      <c r="BN159">
        <v>1</v>
      </c>
      <c r="BO159">
        <v>1</v>
      </c>
      <c r="BP159">
        <v>0</v>
      </c>
      <c r="BQ159">
        <v>1</v>
      </c>
      <c r="BR159">
        <v>1</v>
      </c>
      <c r="BS159">
        <v>3</v>
      </c>
    </row>
    <row r="160" spans="1:71" x14ac:dyDescent="0.3">
      <c r="A160" t="s">
        <v>721</v>
      </c>
      <c r="B160" t="s">
        <v>722</v>
      </c>
      <c r="C160" t="s">
        <v>29</v>
      </c>
      <c r="D160" t="s">
        <v>29</v>
      </c>
      <c r="E160" t="s">
        <v>29</v>
      </c>
      <c r="F160" t="s">
        <v>723</v>
      </c>
      <c r="G160" t="s">
        <v>724</v>
      </c>
      <c r="H160">
        <v>2013</v>
      </c>
      <c r="I160">
        <v>21</v>
      </c>
      <c r="J160">
        <v>6</v>
      </c>
      <c r="K160" t="s">
        <v>29</v>
      </c>
      <c r="L160" t="s">
        <v>29</v>
      </c>
      <c r="M160" t="s">
        <v>29</v>
      </c>
      <c r="N160">
        <v>890</v>
      </c>
      <c r="O160">
        <v>908</v>
      </c>
      <c r="P160" t="s">
        <v>29</v>
      </c>
      <c r="Q160" t="s">
        <v>725</v>
      </c>
      <c r="R160" t="s">
        <v>29</v>
      </c>
      <c r="S160" t="s">
        <v>29</v>
      </c>
      <c r="T160">
        <v>8</v>
      </c>
      <c r="U160">
        <v>0.67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  <c r="AB160">
        <v>0</v>
      </c>
      <c r="AC160">
        <v>0</v>
      </c>
      <c r="AD160">
        <v>0</v>
      </c>
      <c r="AE160">
        <v>0</v>
      </c>
      <c r="AF160">
        <v>0</v>
      </c>
      <c r="AG160">
        <v>0</v>
      </c>
      <c r="AH160">
        <v>0</v>
      </c>
      <c r="AI160">
        <v>0</v>
      </c>
      <c r="AJ160">
        <v>0</v>
      </c>
      <c r="AK160">
        <v>0</v>
      </c>
      <c r="AL160">
        <v>0</v>
      </c>
      <c r="AM160">
        <v>0</v>
      </c>
      <c r="AN160">
        <v>0</v>
      </c>
      <c r="AO160">
        <v>0</v>
      </c>
      <c r="AP160">
        <v>0</v>
      </c>
      <c r="AQ160">
        <v>0</v>
      </c>
      <c r="AR160">
        <v>0</v>
      </c>
      <c r="AS160">
        <v>0</v>
      </c>
      <c r="AT160">
        <v>0</v>
      </c>
      <c r="AU160">
        <v>0</v>
      </c>
      <c r="AV160">
        <v>0</v>
      </c>
      <c r="AW160">
        <v>0</v>
      </c>
      <c r="AX160">
        <v>0</v>
      </c>
      <c r="AY160">
        <v>0</v>
      </c>
      <c r="AZ160">
        <v>0</v>
      </c>
      <c r="BA160">
        <v>0</v>
      </c>
      <c r="BB160">
        <v>0</v>
      </c>
      <c r="BC160">
        <v>0</v>
      </c>
      <c r="BD160">
        <v>0</v>
      </c>
      <c r="BE160">
        <v>0</v>
      </c>
      <c r="BF160">
        <v>0</v>
      </c>
      <c r="BG160">
        <v>0</v>
      </c>
      <c r="BH160">
        <v>0</v>
      </c>
      <c r="BI160">
        <v>0</v>
      </c>
      <c r="BJ160">
        <v>1</v>
      </c>
      <c r="BK160">
        <v>0</v>
      </c>
      <c r="BL160">
        <v>1</v>
      </c>
      <c r="BM160">
        <v>2</v>
      </c>
      <c r="BN160">
        <v>2</v>
      </c>
      <c r="BO160">
        <v>2</v>
      </c>
      <c r="BP160">
        <v>0</v>
      </c>
      <c r="BQ160">
        <v>0</v>
      </c>
      <c r="BR160">
        <v>0</v>
      </c>
      <c r="BS160">
        <v>0</v>
      </c>
    </row>
    <row r="161" spans="1:71" x14ac:dyDescent="0.3">
      <c r="A161" t="s">
        <v>726</v>
      </c>
      <c r="B161" t="s">
        <v>727</v>
      </c>
      <c r="C161" t="s">
        <v>29</v>
      </c>
      <c r="D161" t="s">
        <v>29</v>
      </c>
      <c r="E161" t="s">
        <v>29</v>
      </c>
      <c r="F161" t="s">
        <v>728</v>
      </c>
      <c r="G161" t="s">
        <v>729</v>
      </c>
      <c r="H161">
        <v>2024</v>
      </c>
      <c r="I161">
        <v>48</v>
      </c>
      <c r="J161">
        <v>1</v>
      </c>
      <c r="K161" t="s">
        <v>29</v>
      </c>
      <c r="L161" t="s">
        <v>29</v>
      </c>
      <c r="M161" t="s">
        <v>29</v>
      </c>
      <c r="N161">
        <v>14</v>
      </c>
      <c r="O161">
        <v>30</v>
      </c>
      <c r="P161" t="s">
        <v>29</v>
      </c>
      <c r="Q161" t="s">
        <v>730</v>
      </c>
      <c r="R161" t="s">
        <v>29</v>
      </c>
      <c r="S161" t="s">
        <v>29</v>
      </c>
      <c r="T161">
        <v>7</v>
      </c>
      <c r="U161">
        <v>3.5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  <c r="AB161">
        <v>0</v>
      </c>
      <c r="AC161">
        <v>0</v>
      </c>
      <c r="AD161">
        <v>0</v>
      </c>
      <c r="AE161">
        <v>0</v>
      </c>
      <c r="AF161">
        <v>0</v>
      </c>
      <c r="AG161">
        <v>0</v>
      </c>
      <c r="AH161">
        <v>0</v>
      </c>
      <c r="AI161">
        <v>0</v>
      </c>
      <c r="AJ161">
        <v>0</v>
      </c>
      <c r="AK161">
        <v>0</v>
      </c>
      <c r="AL161">
        <v>0</v>
      </c>
      <c r="AM161">
        <v>0</v>
      </c>
      <c r="AN161">
        <v>0</v>
      </c>
      <c r="AO161">
        <v>0</v>
      </c>
      <c r="AP161">
        <v>0</v>
      </c>
      <c r="AQ161">
        <v>0</v>
      </c>
      <c r="AR161">
        <v>0</v>
      </c>
      <c r="AS161">
        <v>0</v>
      </c>
      <c r="AT161">
        <v>0</v>
      </c>
      <c r="AU161">
        <v>0</v>
      </c>
      <c r="AV161">
        <v>0</v>
      </c>
      <c r="AW161">
        <v>0</v>
      </c>
      <c r="AX161">
        <v>0</v>
      </c>
      <c r="AY161">
        <v>0</v>
      </c>
      <c r="AZ161">
        <v>0</v>
      </c>
      <c r="BA161">
        <v>0</v>
      </c>
      <c r="BB161">
        <v>0</v>
      </c>
      <c r="BC161">
        <v>0</v>
      </c>
      <c r="BD161">
        <v>0</v>
      </c>
      <c r="BE161">
        <v>0</v>
      </c>
      <c r="BF161">
        <v>0</v>
      </c>
      <c r="BG161">
        <v>0</v>
      </c>
      <c r="BH161">
        <v>0</v>
      </c>
      <c r="BI161">
        <v>0</v>
      </c>
      <c r="BJ161">
        <v>0</v>
      </c>
      <c r="BK161">
        <v>0</v>
      </c>
      <c r="BL161">
        <v>0</v>
      </c>
      <c r="BM161">
        <v>0</v>
      </c>
      <c r="BN161">
        <v>0</v>
      </c>
      <c r="BO161">
        <v>0</v>
      </c>
      <c r="BP161">
        <v>0</v>
      </c>
      <c r="BQ161">
        <v>0</v>
      </c>
      <c r="BR161">
        <v>0</v>
      </c>
      <c r="BS161">
        <v>7</v>
      </c>
    </row>
    <row r="162" spans="1:71" x14ac:dyDescent="0.3">
      <c r="A162" t="s">
        <v>731</v>
      </c>
      <c r="B162" t="s">
        <v>732</v>
      </c>
      <c r="C162" t="s">
        <v>29</v>
      </c>
      <c r="D162" t="s">
        <v>29</v>
      </c>
      <c r="E162" t="s">
        <v>29</v>
      </c>
      <c r="F162" t="s">
        <v>38</v>
      </c>
      <c r="G162" t="s">
        <v>733</v>
      </c>
      <c r="H162">
        <v>2023</v>
      </c>
      <c r="I162">
        <v>131</v>
      </c>
      <c r="J162">
        <v>8</v>
      </c>
      <c r="K162" t="s">
        <v>29</v>
      </c>
      <c r="L162" t="s">
        <v>29</v>
      </c>
      <c r="M162" t="s">
        <v>29</v>
      </c>
      <c r="N162">
        <v>2165</v>
      </c>
      <c r="O162">
        <v>2208</v>
      </c>
      <c r="P162" t="s">
        <v>29</v>
      </c>
      <c r="Q162" t="s">
        <v>734</v>
      </c>
      <c r="R162" t="s">
        <v>29</v>
      </c>
      <c r="S162" t="s">
        <v>29</v>
      </c>
      <c r="T162">
        <v>7</v>
      </c>
      <c r="U162">
        <v>3.5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  <c r="AB162">
        <v>0</v>
      </c>
      <c r="AC162">
        <v>0</v>
      </c>
      <c r="AD162">
        <v>0</v>
      </c>
      <c r="AE162">
        <v>0</v>
      </c>
      <c r="AF162">
        <v>0</v>
      </c>
      <c r="AG162">
        <v>0</v>
      </c>
      <c r="AH162">
        <v>0</v>
      </c>
      <c r="AI162">
        <v>0</v>
      </c>
      <c r="AJ162">
        <v>0</v>
      </c>
      <c r="AK162">
        <v>0</v>
      </c>
      <c r="AL162">
        <v>0</v>
      </c>
      <c r="AM162">
        <v>0</v>
      </c>
      <c r="AN162">
        <v>0</v>
      </c>
      <c r="AO162">
        <v>0</v>
      </c>
      <c r="AP162">
        <v>0</v>
      </c>
      <c r="AQ162">
        <v>0</v>
      </c>
      <c r="AR162">
        <v>0</v>
      </c>
      <c r="AS162">
        <v>0</v>
      </c>
      <c r="AT162">
        <v>0</v>
      </c>
      <c r="AU162">
        <v>0</v>
      </c>
      <c r="AV162">
        <v>0</v>
      </c>
      <c r="AW162">
        <v>0</v>
      </c>
      <c r="AX162">
        <v>0</v>
      </c>
      <c r="AY162">
        <v>0</v>
      </c>
      <c r="AZ162">
        <v>0</v>
      </c>
      <c r="BA162">
        <v>0</v>
      </c>
      <c r="BB162">
        <v>0</v>
      </c>
      <c r="BC162">
        <v>0</v>
      </c>
      <c r="BD162">
        <v>0</v>
      </c>
      <c r="BE162">
        <v>0</v>
      </c>
      <c r="BF162">
        <v>0</v>
      </c>
      <c r="BG162">
        <v>0</v>
      </c>
      <c r="BH162">
        <v>0</v>
      </c>
      <c r="BI162">
        <v>0</v>
      </c>
      <c r="BJ162">
        <v>0</v>
      </c>
      <c r="BK162">
        <v>0</v>
      </c>
      <c r="BL162">
        <v>0</v>
      </c>
      <c r="BM162">
        <v>0</v>
      </c>
      <c r="BN162">
        <v>0</v>
      </c>
      <c r="BO162">
        <v>0</v>
      </c>
      <c r="BP162">
        <v>0</v>
      </c>
      <c r="BQ162">
        <v>0</v>
      </c>
      <c r="BR162">
        <v>1</v>
      </c>
      <c r="BS162">
        <v>6</v>
      </c>
    </row>
    <row r="163" spans="1:71" x14ac:dyDescent="0.3">
      <c r="A163" t="s">
        <v>735</v>
      </c>
      <c r="B163" t="s">
        <v>736</v>
      </c>
      <c r="C163" t="s">
        <v>29</v>
      </c>
      <c r="D163" t="s">
        <v>29</v>
      </c>
      <c r="E163" t="s">
        <v>29</v>
      </c>
      <c r="F163" t="s">
        <v>737</v>
      </c>
      <c r="G163" t="s">
        <v>738</v>
      </c>
      <c r="H163">
        <v>2023</v>
      </c>
      <c r="I163">
        <v>83</v>
      </c>
      <c r="J163" t="s">
        <v>29</v>
      </c>
      <c r="K163" t="s">
        <v>29</v>
      </c>
      <c r="L163" t="s">
        <v>29</v>
      </c>
      <c r="M163" t="s">
        <v>29</v>
      </c>
      <c r="N163" t="s">
        <v>29</v>
      </c>
      <c r="O163" t="s">
        <v>29</v>
      </c>
      <c r="P163">
        <v>101915</v>
      </c>
      <c r="Q163" t="s">
        <v>739</v>
      </c>
      <c r="R163" t="s">
        <v>29</v>
      </c>
      <c r="S163" t="s">
        <v>29</v>
      </c>
      <c r="T163">
        <v>7</v>
      </c>
      <c r="U163">
        <v>3.5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  <c r="AB163">
        <v>0</v>
      </c>
      <c r="AC163">
        <v>0</v>
      </c>
      <c r="AD163">
        <v>0</v>
      </c>
      <c r="AE163">
        <v>0</v>
      </c>
      <c r="AF163">
        <v>0</v>
      </c>
      <c r="AG163">
        <v>0</v>
      </c>
      <c r="AH163">
        <v>0</v>
      </c>
      <c r="AI163">
        <v>0</v>
      </c>
      <c r="AJ163">
        <v>0</v>
      </c>
      <c r="AK163">
        <v>0</v>
      </c>
      <c r="AL163">
        <v>0</v>
      </c>
      <c r="AM163">
        <v>0</v>
      </c>
      <c r="AN163">
        <v>0</v>
      </c>
      <c r="AO163">
        <v>0</v>
      </c>
      <c r="AP163">
        <v>0</v>
      </c>
      <c r="AQ163">
        <v>0</v>
      </c>
      <c r="AR163">
        <v>0</v>
      </c>
      <c r="AS163">
        <v>0</v>
      </c>
      <c r="AT163">
        <v>0</v>
      </c>
      <c r="AU163">
        <v>0</v>
      </c>
      <c r="AV163">
        <v>0</v>
      </c>
      <c r="AW163">
        <v>0</v>
      </c>
      <c r="AX163">
        <v>0</v>
      </c>
      <c r="AY163">
        <v>0</v>
      </c>
      <c r="AZ163">
        <v>0</v>
      </c>
      <c r="BA163">
        <v>0</v>
      </c>
      <c r="BB163">
        <v>0</v>
      </c>
      <c r="BC163">
        <v>0</v>
      </c>
      <c r="BD163">
        <v>0</v>
      </c>
      <c r="BE163">
        <v>0</v>
      </c>
      <c r="BF163">
        <v>0</v>
      </c>
      <c r="BG163">
        <v>0</v>
      </c>
      <c r="BH163">
        <v>0</v>
      </c>
      <c r="BI163">
        <v>0</v>
      </c>
      <c r="BJ163">
        <v>0</v>
      </c>
      <c r="BK163">
        <v>0</v>
      </c>
      <c r="BL163">
        <v>0</v>
      </c>
      <c r="BM163">
        <v>0</v>
      </c>
      <c r="BN163">
        <v>0</v>
      </c>
      <c r="BO163">
        <v>0</v>
      </c>
      <c r="BP163">
        <v>0</v>
      </c>
      <c r="BQ163">
        <v>0</v>
      </c>
      <c r="BR163">
        <v>2</v>
      </c>
      <c r="BS163">
        <v>5</v>
      </c>
    </row>
    <row r="164" spans="1:71" x14ac:dyDescent="0.3">
      <c r="A164" t="s">
        <v>740</v>
      </c>
      <c r="B164" t="s">
        <v>741</v>
      </c>
      <c r="C164" t="s">
        <v>29</v>
      </c>
      <c r="D164" t="s">
        <v>29</v>
      </c>
      <c r="E164" t="s">
        <v>29</v>
      </c>
      <c r="F164" t="s">
        <v>742</v>
      </c>
      <c r="G164" t="s">
        <v>743</v>
      </c>
      <c r="H164">
        <v>2023</v>
      </c>
      <c r="I164">
        <v>71</v>
      </c>
      <c r="J164">
        <v>2</v>
      </c>
      <c r="K164" t="s">
        <v>29</v>
      </c>
      <c r="L164" t="s">
        <v>29</v>
      </c>
      <c r="M164" t="s">
        <v>29</v>
      </c>
      <c r="N164">
        <v>605</v>
      </c>
      <c r="O164">
        <v>627</v>
      </c>
      <c r="P164" t="s">
        <v>29</v>
      </c>
      <c r="Q164" t="s">
        <v>744</v>
      </c>
      <c r="R164" t="s">
        <v>29</v>
      </c>
      <c r="S164" t="s">
        <v>29</v>
      </c>
      <c r="T164">
        <v>7</v>
      </c>
      <c r="U164">
        <v>2.33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  <c r="AB164">
        <v>0</v>
      </c>
      <c r="AC164">
        <v>0</v>
      </c>
      <c r="AD164">
        <v>0</v>
      </c>
      <c r="AE164">
        <v>0</v>
      </c>
      <c r="AF164">
        <v>0</v>
      </c>
      <c r="AG164">
        <v>0</v>
      </c>
      <c r="AH164">
        <v>0</v>
      </c>
      <c r="AI164">
        <v>0</v>
      </c>
      <c r="AJ164">
        <v>0</v>
      </c>
      <c r="AK164">
        <v>0</v>
      </c>
      <c r="AL164">
        <v>0</v>
      </c>
      <c r="AM164">
        <v>0</v>
      </c>
      <c r="AN164">
        <v>0</v>
      </c>
      <c r="AO164">
        <v>0</v>
      </c>
      <c r="AP164">
        <v>0</v>
      </c>
      <c r="AQ164">
        <v>0</v>
      </c>
      <c r="AR164">
        <v>0</v>
      </c>
      <c r="AS164">
        <v>0</v>
      </c>
      <c r="AT164">
        <v>0</v>
      </c>
      <c r="AU164">
        <v>0</v>
      </c>
      <c r="AV164">
        <v>0</v>
      </c>
      <c r="AW164">
        <v>0</v>
      </c>
      <c r="AX164">
        <v>0</v>
      </c>
      <c r="AY164">
        <v>0</v>
      </c>
      <c r="AZ164">
        <v>0</v>
      </c>
      <c r="BA164">
        <v>0</v>
      </c>
      <c r="BB164">
        <v>0</v>
      </c>
      <c r="BC164">
        <v>0</v>
      </c>
      <c r="BD164">
        <v>0</v>
      </c>
      <c r="BE164">
        <v>0</v>
      </c>
      <c r="BF164">
        <v>0</v>
      </c>
      <c r="BG164">
        <v>0</v>
      </c>
      <c r="BH164">
        <v>0</v>
      </c>
      <c r="BI164">
        <v>0</v>
      </c>
      <c r="BJ164">
        <v>0</v>
      </c>
      <c r="BK164">
        <v>0</v>
      </c>
      <c r="BL164">
        <v>0</v>
      </c>
      <c r="BM164">
        <v>0</v>
      </c>
      <c r="BN164">
        <v>0</v>
      </c>
      <c r="BO164">
        <v>0</v>
      </c>
      <c r="BP164">
        <v>0</v>
      </c>
      <c r="BQ164">
        <v>0</v>
      </c>
      <c r="BR164">
        <v>1</v>
      </c>
      <c r="BS164">
        <v>6</v>
      </c>
    </row>
    <row r="165" spans="1:71" x14ac:dyDescent="0.3">
      <c r="A165" t="s">
        <v>745</v>
      </c>
      <c r="B165" t="s">
        <v>746</v>
      </c>
      <c r="C165" t="s">
        <v>29</v>
      </c>
      <c r="D165" t="s">
        <v>29</v>
      </c>
      <c r="E165" t="s">
        <v>29</v>
      </c>
      <c r="F165" t="s">
        <v>747</v>
      </c>
      <c r="G165" t="s">
        <v>748</v>
      </c>
      <c r="H165">
        <v>2022</v>
      </c>
      <c r="I165">
        <v>8</v>
      </c>
      <c r="J165" t="s">
        <v>29</v>
      </c>
      <c r="K165" t="s">
        <v>29</v>
      </c>
      <c r="L165" t="s">
        <v>29</v>
      </c>
      <c r="M165" t="s">
        <v>29</v>
      </c>
      <c r="N165" t="s">
        <v>29</v>
      </c>
      <c r="O165" t="s">
        <v>29</v>
      </c>
      <c r="P165" t="s">
        <v>749</v>
      </c>
      <c r="Q165" t="s">
        <v>750</v>
      </c>
      <c r="R165" t="s">
        <v>29</v>
      </c>
      <c r="S165" t="s">
        <v>29</v>
      </c>
      <c r="T165">
        <v>7</v>
      </c>
      <c r="U165">
        <v>2.33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  <c r="AB165">
        <v>0</v>
      </c>
      <c r="AC165">
        <v>0</v>
      </c>
      <c r="AD165">
        <v>0</v>
      </c>
      <c r="AE165">
        <v>0</v>
      </c>
      <c r="AF165">
        <v>0</v>
      </c>
      <c r="AG165">
        <v>0</v>
      </c>
      <c r="AH165">
        <v>0</v>
      </c>
      <c r="AI165">
        <v>0</v>
      </c>
      <c r="AJ165">
        <v>0</v>
      </c>
      <c r="AK165">
        <v>0</v>
      </c>
      <c r="AL165">
        <v>0</v>
      </c>
      <c r="AM165">
        <v>0</v>
      </c>
      <c r="AN165">
        <v>0</v>
      </c>
      <c r="AO165">
        <v>0</v>
      </c>
      <c r="AP165">
        <v>0</v>
      </c>
      <c r="AQ165">
        <v>0</v>
      </c>
      <c r="AR165">
        <v>0</v>
      </c>
      <c r="AS165">
        <v>0</v>
      </c>
      <c r="AT165">
        <v>0</v>
      </c>
      <c r="AU165">
        <v>0</v>
      </c>
      <c r="AV165">
        <v>0</v>
      </c>
      <c r="AW165">
        <v>0</v>
      </c>
      <c r="AX165">
        <v>0</v>
      </c>
      <c r="AY165">
        <v>0</v>
      </c>
      <c r="AZ165">
        <v>0</v>
      </c>
      <c r="BA165">
        <v>0</v>
      </c>
      <c r="BB165">
        <v>0</v>
      </c>
      <c r="BC165">
        <v>0</v>
      </c>
      <c r="BD165">
        <v>0</v>
      </c>
      <c r="BE165">
        <v>0</v>
      </c>
      <c r="BF165">
        <v>0</v>
      </c>
      <c r="BG165">
        <v>0</v>
      </c>
      <c r="BH165">
        <v>0</v>
      </c>
      <c r="BI165">
        <v>0</v>
      </c>
      <c r="BJ165">
        <v>0</v>
      </c>
      <c r="BK165">
        <v>0</v>
      </c>
      <c r="BL165">
        <v>0</v>
      </c>
      <c r="BM165">
        <v>0</v>
      </c>
      <c r="BN165">
        <v>0</v>
      </c>
      <c r="BO165">
        <v>0</v>
      </c>
      <c r="BP165">
        <v>0</v>
      </c>
      <c r="BQ165">
        <v>0</v>
      </c>
      <c r="BR165">
        <v>3</v>
      </c>
      <c r="BS165">
        <v>4</v>
      </c>
    </row>
    <row r="166" spans="1:71" x14ac:dyDescent="0.3">
      <c r="A166" t="s">
        <v>751</v>
      </c>
      <c r="B166" t="s">
        <v>752</v>
      </c>
      <c r="C166" t="s">
        <v>29</v>
      </c>
      <c r="D166" t="s">
        <v>29</v>
      </c>
      <c r="E166" t="s">
        <v>29</v>
      </c>
      <c r="F166" t="s">
        <v>753</v>
      </c>
      <c r="G166" t="s">
        <v>701</v>
      </c>
      <c r="H166">
        <v>2019</v>
      </c>
      <c r="I166">
        <v>10</v>
      </c>
      <c r="J166">
        <v>4</v>
      </c>
      <c r="K166" t="s">
        <v>29</v>
      </c>
      <c r="L166" t="s">
        <v>29</v>
      </c>
      <c r="M166" t="s">
        <v>29</v>
      </c>
      <c r="N166">
        <v>330</v>
      </c>
      <c r="O166">
        <v>343</v>
      </c>
      <c r="P166" t="s">
        <v>29</v>
      </c>
      <c r="Q166" t="s">
        <v>754</v>
      </c>
      <c r="R166" t="s">
        <v>29</v>
      </c>
      <c r="S166" t="s">
        <v>29</v>
      </c>
      <c r="T166">
        <v>7</v>
      </c>
      <c r="U166">
        <v>1.17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  <c r="AB166">
        <v>0</v>
      </c>
      <c r="AC166">
        <v>0</v>
      </c>
      <c r="AD166">
        <v>0</v>
      </c>
      <c r="AE166">
        <v>0</v>
      </c>
      <c r="AF166">
        <v>0</v>
      </c>
      <c r="AG166">
        <v>0</v>
      </c>
      <c r="AH166">
        <v>0</v>
      </c>
      <c r="AI166">
        <v>0</v>
      </c>
      <c r="AJ166">
        <v>0</v>
      </c>
      <c r="AK166">
        <v>0</v>
      </c>
      <c r="AL166">
        <v>0</v>
      </c>
      <c r="AM166">
        <v>0</v>
      </c>
      <c r="AN166">
        <v>0</v>
      </c>
      <c r="AO166">
        <v>0</v>
      </c>
      <c r="AP166">
        <v>0</v>
      </c>
      <c r="AQ166">
        <v>0</v>
      </c>
      <c r="AR166">
        <v>0</v>
      </c>
      <c r="AS166">
        <v>0</v>
      </c>
      <c r="AT166">
        <v>0</v>
      </c>
      <c r="AU166">
        <v>0</v>
      </c>
      <c r="AV166">
        <v>0</v>
      </c>
      <c r="AW166">
        <v>0</v>
      </c>
      <c r="AX166">
        <v>0</v>
      </c>
      <c r="AY166">
        <v>0</v>
      </c>
      <c r="AZ166">
        <v>0</v>
      </c>
      <c r="BA166">
        <v>0</v>
      </c>
      <c r="BB166">
        <v>0</v>
      </c>
      <c r="BC166">
        <v>0</v>
      </c>
      <c r="BD166">
        <v>0</v>
      </c>
      <c r="BE166">
        <v>0</v>
      </c>
      <c r="BF166">
        <v>0</v>
      </c>
      <c r="BG166">
        <v>0</v>
      </c>
      <c r="BH166">
        <v>0</v>
      </c>
      <c r="BI166">
        <v>0</v>
      </c>
      <c r="BJ166">
        <v>0</v>
      </c>
      <c r="BK166">
        <v>0</v>
      </c>
      <c r="BL166">
        <v>0</v>
      </c>
      <c r="BM166">
        <v>0</v>
      </c>
      <c r="BN166">
        <v>0</v>
      </c>
      <c r="BO166">
        <v>0</v>
      </c>
      <c r="BP166">
        <v>1</v>
      </c>
      <c r="BQ166">
        <v>4</v>
      </c>
      <c r="BR166">
        <v>1</v>
      </c>
      <c r="BS166">
        <v>1</v>
      </c>
    </row>
    <row r="167" spans="1:71" x14ac:dyDescent="0.3">
      <c r="A167" t="s">
        <v>755</v>
      </c>
      <c r="B167" t="s">
        <v>756</v>
      </c>
      <c r="C167" t="s">
        <v>29</v>
      </c>
      <c r="D167" t="s">
        <v>29</v>
      </c>
      <c r="E167" t="s">
        <v>29</v>
      </c>
      <c r="F167" t="s">
        <v>757</v>
      </c>
      <c r="G167" t="s">
        <v>758</v>
      </c>
      <c r="H167">
        <v>2019</v>
      </c>
      <c r="I167">
        <v>6</v>
      </c>
      <c r="J167">
        <v>1</v>
      </c>
      <c r="K167" t="s">
        <v>29</v>
      </c>
      <c r="L167" t="s">
        <v>29</v>
      </c>
      <c r="M167" t="s">
        <v>29</v>
      </c>
      <c r="N167" t="s">
        <v>29</v>
      </c>
      <c r="O167" t="s">
        <v>29</v>
      </c>
      <c r="P167">
        <v>2053168018823957</v>
      </c>
      <c r="Q167" t="s">
        <v>759</v>
      </c>
      <c r="R167" t="s">
        <v>29</v>
      </c>
      <c r="S167" t="s">
        <v>29</v>
      </c>
      <c r="T167">
        <v>7</v>
      </c>
      <c r="U167">
        <v>1.17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  <c r="AB167">
        <v>0</v>
      </c>
      <c r="AC167">
        <v>0</v>
      </c>
      <c r="AD167">
        <v>0</v>
      </c>
      <c r="AE167">
        <v>0</v>
      </c>
      <c r="AF167">
        <v>0</v>
      </c>
      <c r="AG167">
        <v>0</v>
      </c>
      <c r="AH167">
        <v>0</v>
      </c>
      <c r="AI167">
        <v>0</v>
      </c>
      <c r="AJ167">
        <v>0</v>
      </c>
      <c r="AK167">
        <v>0</v>
      </c>
      <c r="AL167">
        <v>0</v>
      </c>
      <c r="AM167">
        <v>0</v>
      </c>
      <c r="AN167">
        <v>0</v>
      </c>
      <c r="AO167">
        <v>0</v>
      </c>
      <c r="AP167">
        <v>0</v>
      </c>
      <c r="AQ167">
        <v>0</v>
      </c>
      <c r="AR167">
        <v>0</v>
      </c>
      <c r="AS167">
        <v>0</v>
      </c>
      <c r="AT167">
        <v>0</v>
      </c>
      <c r="AU167">
        <v>0</v>
      </c>
      <c r="AV167">
        <v>0</v>
      </c>
      <c r="AW167">
        <v>0</v>
      </c>
      <c r="AX167">
        <v>0</v>
      </c>
      <c r="AY167">
        <v>0</v>
      </c>
      <c r="AZ167">
        <v>0</v>
      </c>
      <c r="BA167">
        <v>0</v>
      </c>
      <c r="BB167">
        <v>0</v>
      </c>
      <c r="BC167">
        <v>0</v>
      </c>
      <c r="BD167">
        <v>0</v>
      </c>
      <c r="BE167">
        <v>0</v>
      </c>
      <c r="BF167">
        <v>0</v>
      </c>
      <c r="BG167">
        <v>0</v>
      </c>
      <c r="BH167">
        <v>0</v>
      </c>
      <c r="BI167">
        <v>0</v>
      </c>
      <c r="BJ167">
        <v>0</v>
      </c>
      <c r="BK167">
        <v>0</v>
      </c>
      <c r="BL167">
        <v>0</v>
      </c>
      <c r="BM167">
        <v>0</v>
      </c>
      <c r="BN167">
        <v>2</v>
      </c>
      <c r="BO167">
        <v>1</v>
      </c>
      <c r="BP167">
        <v>0</v>
      </c>
      <c r="BQ167">
        <v>0</v>
      </c>
      <c r="BR167">
        <v>2</v>
      </c>
      <c r="BS167">
        <v>2</v>
      </c>
    </row>
    <row r="168" spans="1:71" x14ac:dyDescent="0.3">
      <c r="A168" t="s">
        <v>760</v>
      </c>
      <c r="B168" t="s">
        <v>761</v>
      </c>
      <c r="C168" t="s">
        <v>29</v>
      </c>
      <c r="D168" t="s">
        <v>29</v>
      </c>
      <c r="E168" t="s">
        <v>29</v>
      </c>
      <c r="F168" t="s">
        <v>762</v>
      </c>
      <c r="G168" t="s">
        <v>763</v>
      </c>
      <c r="H168">
        <v>2018</v>
      </c>
      <c r="I168">
        <v>52</v>
      </c>
      <c r="J168">
        <v>1</v>
      </c>
      <c r="K168" t="s">
        <v>29</v>
      </c>
      <c r="L168" t="s">
        <v>29</v>
      </c>
      <c r="M168" t="s">
        <v>29</v>
      </c>
      <c r="N168" t="s">
        <v>29</v>
      </c>
      <c r="O168" t="s">
        <v>29</v>
      </c>
      <c r="P168">
        <v>4</v>
      </c>
      <c r="Q168" t="s">
        <v>764</v>
      </c>
      <c r="R168" t="s">
        <v>29</v>
      </c>
      <c r="S168" t="s">
        <v>29</v>
      </c>
      <c r="T168">
        <v>7</v>
      </c>
      <c r="U168">
        <v>1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  <c r="AB168">
        <v>0</v>
      </c>
      <c r="AC168">
        <v>0</v>
      </c>
      <c r="AD168">
        <v>0</v>
      </c>
      <c r="AE168">
        <v>0</v>
      </c>
      <c r="AF168">
        <v>0</v>
      </c>
      <c r="AG168">
        <v>0</v>
      </c>
      <c r="AH168">
        <v>0</v>
      </c>
      <c r="AI168">
        <v>0</v>
      </c>
      <c r="AJ168">
        <v>0</v>
      </c>
      <c r="AK168">
        <v>0</v>
      </c>
      <c r="AL168">
        <v>0</v>
      </c>
      <c r="AM168">
        <v>0</v>
      </c>
      <c r="AN168">
        <v>0</v>
      </c>
      <c r="AO168">
        <v>0</v>
      </c>
      <c r="AP168">
        <v>0</v>
      </c>
      <c r="AQ168">
        <v>0</v>
      </c>
      <c r="AR168">
        <v>0</v>
      </c>
      <c r="AS168">
        <v>0</v>
      </c>
      <c r="AT168">
        <v>0</v>
      </c>
      <c r="AU168">
        <v>0</v>
      </c>
      <c r="AV168">
        <v>0</v>
      </c>
      <c r="AW168">
        <v>0</v>
      </c>
      <c r="AX168">
        <v>0</v>
      </c>
      <c r="AY168">
        <v>0</v>
      </c>
      <c r="AZ168">
        <v>0</v>
      </c>
      <c r="BA168">
        <v>0</v>
      </c>
      <c r="BB168">
        <v>0</v>
      </c>
      <c r="BC168">
        <v>0</v>
      </c>
      <c r="BD168">
        <v>0</v>
      </c>
      <c r="BE168">
        <v>0</v>
      </c>
      <c r="BF168">
        <v>0</v>
      </c>
      <c r="BG168">
        <v>0</v>
      </c>
      <c r="BH168">
        <v>0</v>
      </c>
      <c r="BI168">
        <v>0</v>
      </c>
      <c r="BJ168">
        <v>0</v>
      </c>
      <c r="BK168">
        <v>0</v>
      </c>
      <c r="BL168">
        <v>0</v>
      </c>
      <c r="BM168">
        <v>0</v>
      </c>
      <c r="BN168">
        <v>0</v>
      </c>
      <c r="BO168">
        <v>2</v>
      </c>
      <c r="BP168">
        <v>1</v>
      </c>
      <c r="BQ168">
        <v>1</v>
      </c>
      <c r="BR168">
        <v>1</v>
      </c>
      <c r="BS168">
        <v>2</v>
      </c>
    </row>
    <row r="169" spans="1:71" x14ac:dyDescent="0.3">
      <c r="A169" t="s">
        <v>765</v>
      </c>
      <c r="B169" t="s">
        <v>766</v>
      </c>
      <c r="C169" t="s">
        <v>29</v>
      </c>
      <c r="D169" t="s">
        <v>29</v>
      </c>
      <c r="E169" t="s">
        <v>767</v>
      </c>
      <c r="F169" t="s">
        <v>768</v>
      </c>
      <c r="G169">
        <v>2016</v>
      </c>
      <c r="H169">
        <v>2016</v>
      </c>
      <c r="I169" t="s">
        <v>29</v>
      </c>
      <c r="J169" t="s">
        <v>29</v>
      </c>
      <c r="K169" t="s">
        <v>29</v>
      </c>
      <c r="L169" t="s">
        <v>29</v>
      </c>
      <c r="M169" t="s">
        <v>29</v>
      </c>
      <c r="N169">
        <v>483</v>
      </c>
      <c r="O169">
        <v>489</v>
      </c>
      <c r="P169" t="s">
        <v>29</v>
      </c>
      <c r="Q169" t="s">
        <v>29</v>
      </c>
      <c r="R169" t="s">
        <v>769</v>
      </c>
      <c r="S169" t="s">
        <v>770</v>
      </c>
      <c r="T169">
        <v>7</v>
      </c>
      <c r="U169">
        <v>0.78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  <c r="AB169">
        <v>0</v>
      </c>
      <c r="AC169">
        <v>0</v>
      </c>
      <c r="AD169">
        <v>0</v>
      </c>
      <c r="AE169">
        <v>0</v>
      </c>
      <c r="AF169">
        <v>0</v>
      </c>
      <c r="AG169">
        <v>0</v>
      </c>
      <c r="AH169">
        <v>0</v>
      </c>
      <c r="AI169">
        <v>0</v>
      </c>
      <c r="AJ169">
        <v>0</v>
      </c>
      <c r="AK169">
        <v>0</v>
      </c>
      <c r="AL169">
        <v>0</v>
      </c>
      <c r="AM169">
        <v>0</v>
      </c>
      <c r="AN169">
        <v>0</v>
      </c>
      <c r="AO169">
        <v>0</v>
      </c>
      <c r="AP169">
        <v>0</v>
      </c>
      <c r="AQ169">
        <v>0</v>
      </c>
      <c r="AR169">
        <v>0</v>
      </c>
      <c r="AS169">
        <v>0</v>
      </c>
      <c r="AT169">
        <v>0</v>
      </c>
      <c r="AU169">
        <v>0</v>
      </c>
      <c r="AV169">
        <v>0</v>
      </c>
      <c r="AW169">
        <v>0</v>
      </c>
      <c r="AX169">
        <v>0</v>
      </c>
      <c r="AY169">
        <v>0</v>
      </c>
      <c r="AZ169">
        <v>0</v>
      </c>
      <c r="BA169">
        <v>0</v>
      </c>
      <c r="BB169">
        <v>0</v>
      </c>
      <c r="BC169">
        <v>0</v>
      </c>
      <c r="BD169">
        <v>0</v>
      </c>
      <c r="BE169">
        <v>0</v>
      </c>
      <c r="BF169">
        <v>0</v>
      </c>
      <c r="BG169">
        <v>0</v>
      </c>
      <c r="BH169">
        <v>0</v>
      </c>
      <c r="BI169">
        <v>0</v>
      </c>
      <c r="BJ169">
        <v>0</v>
      </c>
      <c r="BK169">
        <v>0</v>
      </c>
      <c r="BL169">
        <v>6</v>
      </c>
      <c r="BM169">
        <v>1</v>
      </c>
      <c r="BN169">
        <v>0</v>
      </c>
      <c r="BO169">
        <v>0</v>
      </c>
      <c r="BP169">
        <v>0</v>
      </c>
      <c r="BQ169">
        <v>0</v>
      </c>
      <c r="BR169">
        <v>0</v>
      </c>
      <c r="BS169">
        <v>0</v>
      </c>
    </row>
    <row r="170" spans="1:71" x14ac:dyDescent="0.3">
      <c r="A170" t="s">
        <v>771</v>
      </c>
      <c r="B170" t="s">
        <v>772</v>
      </c>
      <c r="C170" t="s">
        <v>29</v>
      </c>
      <c r="D170" t="s">
        <v>29</v>
      </c>
      <c r="E170" t="s">
        <v>29</v>
      </c>
      <c r="F170" t="s">
        <v>773</v>
      </c>
      <c r="G170">
        <v>2016</v>
      </c>
      <c r="H170">
        <v>2016</v>
      </c>
      <c r="I170">
        <v>4</v>
      </c>
      <c r="J170">
        <v>3</v>
      </c>
      <c r="K170" t="s">
        <v>29</v>
      </c>
      <c r="L170" t="s">
        <v>29</v>
      </c>
      <c r="M170" t="s">
        <v>29</v>
      </c>
      <c r="N170">
        <v>517</v>
      </c>
      <c r="O170">
        <v>525</v>
      </c>
      <c r="P170" t="s">
        <v>29</v>
      </c>
      <c r="Q170" t="s">
        <v>774</v>
      </c>
      <c r="R170" t="s">
        <v>29</v>
      </c>
      <c r="S170" t="s">
        <v>29</v>
      </c>
      <c r="T170">
        <v>7</v>
      </c>
      <c r="U170">
        <v>0.78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  <c r="AB170">
        <v>0</v>
      </c>
      <c r="AC170">
        <v>0</v>
      </c>
      <c r="AD170">
        <v>0</v>
      </c>
      <c r="AE170">
        <v>0</v>
      </c>
      <c r="AF170">
        <v>0</v>
      </c>
      <c r="AG170">
        <v>0</v>
      </c>
      <c r="AH170">
        <v>0</v>
      </c>
      <c r="AI170">
        <v>0</v>
      </c>
      <c r="AJ170">
        <v>0</v>
      </c>
      <c r="AK170">
        <v>0</v>
      </c>
      <c r="AL170">
        <v>0</v>
      </c>
      <c r="AM170">
        <v>0</v>
      </c>
      <c r="AN170">
        <v>0</v>
      </c>
      <c r="AO170">
        <v>0</v>
      </c>
      <c r="AP170">
        <v>0</v>
      </c>
      <c r="AQ170">
        <v>0</v>
      </c>
      <c r="AR170">
        <v>0</v>
      </c>
      <c r="AS170">
        <v>0</v>
      </c>
      <c r="AT170">
        <v>0</v>
      </c>
      <c r="AU170">
        <v>0</v>
      </c>
      <c r="AV170">
        <v>0</v>
      </c>
      <c r="AW170">
        <v>0</v>
      </c>
      <c r="AX170">
        <v>0</v>
      </c>
      <c r="AY170">
        <v>0</v>
      </c>
      <c r="AZ170">
        <v>0</v>
      </c>
      <c r="BA170">
        <v>0</v>
      </c>
      <c r="BB170">
        <v>0</v>
      </c>
      <c r="BC170">
        <v>0</v>
      </c>
      <c r="BD170">
        <v>0</v>
      </c>
      <c r="BE170">
        <v>0</v>
      </c>
      <c r="BF170">
        <v>0</v>
      </c>
      <c r="BG170">
        <v>0</v>
      </c>
      <c r="BH170">
        <v>0</v>
      </c>
      <c r="BI170">
        <v>0</v>
      </c>
      <c r="BJ170">
        <v>0</v>
      </c>
      <c r="BK170">
        <v>0</v>
      </c>
      <c r="BL170">
        <v>0</v>
      </c>
      <c r="BM170">
        <v>2</v>
      </c>
      <c r="BN170">
        <v>1</v>
      </c>
      <c r="BO170">
        <v>0</v>
      </c>
      <c r="BP170">
        <v>1</v>
      </c>
      <c r="BQ170">
        <v>2</v>
      </c>
      <c r="BR170">
        <v>1</v>
      </c>
      <c r="BS170">
        <v>0</v>
      </c>
    </row>
    <row r="171" spans="1:71" x14ac:dyDescent="0.3">
      <c r="A171" t="s">
        <v>775</v>
      </c>
      <c r="B171" t="s">
        <v>776</v>
      </c>
      <c r="C171" t="s">
        <v>29</v>
      </c>
      <c r="D171" t="s">
        <v>29</v>
      </c>
      <c r="E171" t="s">
        <v>29</v>
      </c>
      <c r="F171" t="s">
        <v>777</v>
      </c>
      <c r="G171">
        <v>2015</v>
      </c>
      <c r="H171">
        <v>2015</v>
      </c>
      <c r="I171" t="s">
        <v>29</v>
      </c>
      <c r="J171" t="s">
        <v>29</v>
      </c>
      <c r="K171" t="s">
        <v>29</v>
      </c>
      <c r="L171" t="s">
        <v>29</v>
      </c>
      <c r="M171" t="s">
        <v>29</v>
      </c>
      <c r="N171">
        <v>2359</v>
      </c>
      <c r="O171">
        <v>2367</v>
      </c>
      <c r="P171" t="s">
        <v>29</v>
      </c>
      <c r="Q171" t="s">
        <v>29</v>
      </c>
      <c r="R171" t="s">
        <v>778</v>
      </c>
      <c r="S171" t="s">
        <v>779</v>
      </c>
      <c r="T171">
        <v>7</v>
      </c>
      <c r="U171">
        <v>0.7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  <c r="AB171">
        <v>0</v>
      </c>
      <c r="AC171">
        <v>0</v>
      </c>
      <c r="AD171">
        <v>0</v>
      </c>
      <c r="AE171">
        <v>0</v>
      </c>
      <c r="AF171">
        <v>0</v>
      </c>
      <c r="AG171">
        <v>0</v>
      </c>
      <c r="AH171">
        <v>0</v>
      </c>
      <c r="AI171">
        <v>0</v>
      </c>
      <c r="AJ171">
        <v>0</v>
      </c>
      <c r="AK171">
        <v>0</v>
      </c>
      <c r="AL171">
        <v>0</v>
      </c>
      <c r="AM171">
        <v>0</v>
      </c>
      <c r="AN171">
        <v>0</v>
      </c>
      <c r="AO171">
        <v>0</v>
      </c>
      <c r="AP171">
        <v>0</v>
      </c>
      <c r="AQ171">
        <v>0</v>
      </c>
      <c r="AR171">
        <v>0</v>
      </c>
      <c r="AS171">
        <v>0</v>
      </c>
      <c r="AT171">
        <v>0</v>
      </c>
      <c r="AU171">
        <v>0</v>
      </c>
      <c r="AV171">
        <v>0</v>
      </c>
      <c r="AW171">
        <v>0</v>
      </c>
      <c r="AX171">
        <v>0</v>
      </c>
      <c r="AY171">
        <v>0</v>
      </c>
      <c r="AZ171">
        <v>0</v>
      </c>
      <c r="BA171">
        <v>0</v>
      </c>
      <c r="BB171">
        <v>0</v>
      </c>
      <c r="BC171">
        <v>0</v>
      </c>
      <c r="BD171">
        <v>0</v>
      </c>
      <c r="BE171">
        <v>0</v>
      </c>
      <c r="BF171">
        <v>0</v>
      </c>
      <c r="BG171">
        <v>0</v>
      </c>
      <c r="BH171">
        <v>0</v>
      </c>
      <c r="BI171">
        <v>0</v>
      </c>
      <c r="BJ171">
        <v>0</v>
      </c>
      <c r="BK171">
        <v>1</v>
      </c>
      <c r="BL171">
        <v>0</v>
      </c>
      <c r="BM171">
        <v>1</v>
      </c>
      <c r="BN171">
        <v>0</v>
      </c>
      <c r="BO171">
        <v>0</v>
      </c>
      <c r="BP171">
        <v>2</v>
      </c>
      <c r="BQ171">
        <v>2</v>
      </c>
      <c r="BR171">
        <v>1</v>
      </c>
      <c r="BS171">
        <v>0</v>
      </c>
    </row>
    <row r="172" spans="1:71" x14ac:dyDescent="0.3">
      <c r="A172" t="s">
        <v>780</v>
      </c>
      <c r="B172" t="s">
        <v>781</v>
      </c>
      <c r="C172" t="s">
        <v>29</v>
      </c>
      <c r="D172" t="s">
        <v>29</v>
      </c>
      <c r="E172" t="s">
        <v>29</v>
      </c>
      <c r="F172" t="s">
        <v>782</v>
      </c>
      <c r="G172" t="s">
        <v>783</v>
      </c>
      <c r="H172">
        <v>2010</v>
      </c>
      <c r="I172">
        <v>42</v>
      </c>
      <c r="J172">
        <v>2</v>
      </c>
      <c r="K172" t="s">
        <v>29</v>
      </c>
      <c r="L172" t="s">
        <v>29</v>
      </c>
      <c r="M172" t="s">
        <v>29</v>
      </c>
      <c r="N172">
        <v>375</v>
      </c>
      <c r="O172">
        <v>395</v>
      </c>
      <c r="P172" t="s">
        <v>29</v>
      </c>
      <c r="Q172" t="s">
        <v>784</v>
      </c>
      <c r="R172" t="s">
        <v>29</v>
      </c>
      <c r="S172" t="s">
        <v>29</v>
      </c>
      <c r="T172">
        <v>7</v>
      </c>
      <c r="U172">
        <v>0.47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  <c r="AB172">
        <v>0</v>
      </c>
      <c r="AC172">
        <v>0</v>
      </c>
      <c r="AD172">
        <v>0</v>
      </c>
      <c r="AE172">
        <v>0</v>
      </c>
      <c r="AF172">
        <v>0</v>
      </c>
      <c r="AG172">
        <v>0</v>
      </c>
      <c r="AH172">
        <v>0</v>
      </c>
      <c r="AI172">
        <v>0</v>
      </c>
      <c r="AJ172">
        <v>0</v>
      </c>
      <c r="AK172">
        <v>0</v>
      </c>
      <c r="AL172">
        <v>0</v>
      </c>
      <c r="AM172">
        <v>0</v>
      </c>
      <c r="AN172">
        <v>0</v>
      </c>
      <c r="AO172">
        <v>0</v>
      </c>
      <c r="AP172">
        <v>0</v>
      </c>
      <c r="AQ172">
        <v>0</v>
      </c>
      <c r="AR172">
        <v>0</v>
      </c>
      <c r="AS172">
        <v>0</v>
      </c>
      <c r="AT172">
        <v>0</v>
      </c>
      <c r="AU172">
        <v>0</v>
      </c>
      <c r="AV172">
        <v>0</v>
      </c>
      <c r="AW172">
        <v>0</v>
      </c>
      <c r="AX172">
        <v>0</v>
      </c>
      <c r="AY172">
        <v>0</v>
      </c>
      <c r="AZ172">
        <v>0</v>
      </c>
      <c r="BA172">
        <v>0</v>
      </c>
      <c r="BB172">
        <v>0</v>
      </c>
      <c r="BC172">
        <v>0</v>
      </c>
      <c r="BD172">
        <v>0</v>
      </c>
      <c r="BE172">
        <v>0</v>
      </c>
      <c r="BF172">
        <v>1</v>
      </c>
      <c r="BG172">
        <v>0</v>
      </c>
      <c r="BH172">
        <v>1</v>
      </c>
      <c r="BI172">
        <v>1</v>
      </c>
      <c r="BJ172">
        <v>2</v>
      </c>
      <c r="BK172">
        <v>0</v>
      </c>
      <c r="BL172">
        <v>0</v>
      </c>
      <c r="BM172">
        <v>0</v>
      </c>
      <c r="BN172">
        <v>0</v>
      </c>
      <c r="BO172">
        <v>0</v>
      </c>
      <c r="BP172">
        <v>0</v>
      </c>
      <c r="BQ172">
        <v>1</v>
      </c>
      <c r="BR172">
        <v>1</v>
      </c>
      <c r="BS172">
        <v>0</v>
      </c>
    </row>
    <row r="173" spans="1:71" x14ac:dyDescent="0.3">
      <c r="A173" t="s">
        <v>785</v>
      </c>
      <c r="B173" t="s">
        <v>786</v>
      </c>
      <c r="C173" t="s">
        <v>29</v>
      </c>
      <c r="D173" t="s">
        <v>29</v>
      </c>
      <c r="E173" t="s">
        <v>29</v>
      </c>
      <c r="F173" t="s">
        <v>30</v>
      </c>
      <c r="G173" t="s">
        <v>787</v>
      </c>
      <c r="H173">
        <v>2009</v>
      </c>
      <c r="I173">
        <v>16</v>
      </c>
      <c r="J173">
        <v>3</v>
      </c>
      <c r="K173" t="s">
        <v>29</v>
      </c>
      <c r="L173" t="s">
        <v>29</v>
      </c>
      <c r="M173" t="s">
        <v>29</v>
      </c>
      <c r="N173">
        <v>304</v>
      </c>
      <c r="O173">
        <v>310</v>
      </c>
      <c r="P173" t="s">
        <v>29</v>
      </c>
      <c r="Q173" t="s">
        <v>788</v>
      </c>
      <c r="R173" t="s">
        <v>29</v>
      </c>
      <c r="S173" t="s">
        <v>29</v>
      </c>
      <c r="T173">
        <v>7</v>
      </c>
      <c r="U173">
        <v>0.44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  <c r="AB173">
        <v>0</v>
      </c>
      <c r="AC173">
        <v>0</v>
      </c>
      <c r="AD173">
        <v>0</v>
      </c>
      <c r="AE173">
        <v>0</v>
      </c>
      <c r="AF173">
        <v>0</v>
      </c>
      <c r="AG173">
        <v>0</v>
      </c>
      <c r="AH173">
        <v>0</v>
      </c>
      <c r="AI173">
        <v>0</v>
      </c>
      <c r="AJ173">
        <v>0</v>
      </c>
      <c r="AK173">
        <v>0</v>
      </c>
      <c r="AL173">
        <v>0</v>
      </c>
      <c r="AM173">
        <v>0</v>
      </c>
      <c r="AN173">
        <v>0</v>
      </c>
      <c r="AO173">
        <v>0</v>
      </c>
      <c r="AP173">
        <v>0</v>
      </c>
      <c r="AQ173">
        <v>0</v>
      </c>
      <c r="AR173">
        <v>0</v>
      </c>
      <c r="AS173">
        <v>0</v>
      </c>
      <c r="AT173">
        <v>0</v>
      </c>
      <c r="AU173">
        <v>0</v>
      </c>
      <c r="AV173">
        <v>0</v>
      </c>
      <c r="AW173">
        <v>0</v>
      </c>
      <c r="AX173">
        <v>0</v>
      </c>
      <c r="AY173">
        <v>0</v>
      </c>
      <c r="AZ173">
        <v>0</v>
      </c>
      <c r="BA173">
        <v>0</v>
      </c>
      <c r="BB173">
        <v>0</v>
      </c>
      <c r="BC173">
        <v>0</v>
      </c>
      <c r="BD173">
        <v>0</v>
      </c>
      <c r="BE173">
        <v>1</v>
      </c>
      <c r="BF173">
        <v>2</v>
      </c>
      <c r="BG173">
        <v>1</v>
      </c>
      <c r="BH173">
        <v>0</v>
      </c>
      <c r="BI173">
        <v>0</v>
      </c>
      <c r="BJ173">
        <v>1</v>
      </c>
      <c r="BK173">
        <v>0</v>
      </c>
      <c r="BL173">
        <v>1</v>
      </c>
      <c r="BM173">
        <v>0</v>
      </c>
      <c r="BN173">
        <v>0</v>
      </c>
      <c r="BO173">
        <v>1</v>
      </c>
      <c r="BP173">
        <v>0</v>
      </c>
      <c r="BQ173">
        <v>0</v>
      </c>
      <c r="BR173">
        <v>0</v>
      </c>
      <c r="BS173">
        <v>0</v>
      </c>
    </row>
    <row r="174" spans="1:71" x14ac:dyDescent="0.3">
      <c r="A174" t="s">
        <v>789</v>
      </c>
      <c r="B174" t="s">
        <v>790</v>
      </c>
      <c r="C174" t="s">
        <v>29</v>
      </c>
      <c r="D174" t="s">
        <v>29</v>
      </c>
      <c r="E174" t="s">
        <v>29</v>
      </c>
      <c r="F174" t="s">
        <v>791</v>
      </c>
      <c r="G174" t="s">
        <v>792</v>
      </c>
      <c r="H174">
        <v>1999</v>
      </c>
      <c r="I174">
        <v>53</v>
      </c>
      <c r="J174">
        <v>12</v>
      </c>
      <c r="K174" t="s">
        <v>29</v>
      </c>
      <c r="L174" t="s">
        <v>29</v>
      </c>
      <c r="M174" t="s">
        <v>29</v>
      </c>
      <c r="N174">
        <v>32</v>
      </c>
      <c r="O174" t="s">
        <v>49</v>
      </c>
      <c r="P174" t="s">
        <v>29</v>
      </c>
      <c r="Q174" t="s">
        <v>29</v>
      </c>
      <c r="R174" t="s">
        <v>29</v>
      </c>
      <c r="S174" t="s">
        <v>29</v>
      </c>
      <c r="T174">
        <v>7</v>
      </c>
      <c r="U174">
        <v>0.27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  <c r="AB174">
        <v>0</v>
      </c>
      <c r="AC174">
        <v>0</v>
      </c>
      <c r="AD174">
        <v>0</v>
      </c>
      <c r="AE174">
        <v>0</v>
      </c>
      <c r="AF174">
        <v>0</v>
      </c>
      <c r="AG174">
        <v>0</v>
      </c>
      <c r="AH174">
        <v>0</v>
      </c>
      <c r="AI174">
        <v>0</v>
      </c>
      <c r="AJ174">
        <v>0</v>
      </c>
      <c r="AK174">
        <v>0</v>
      </c>
      <c r="AL174">
        <v>0</v>
      </c>
      <c r="AM174">
        <v>0</v>
      </c>
      <c r="AN174">
        <v>0</v>
      </c>
      <c r="AO174">
        <v>0</v>
      </c>
      <c r="AP174">
        <v>0</v>
      </c>
      <c r="AQ174">
        <v>0</v>
      </c>
      <c r="AR174">
        <v>0</v>
      </c>
      <c r="AS174">
        <v>0</v>
      </c>
      <c r="AT174">
        <v>0</v>
      </c>
      <c r="AU174">
        <v>0</v>
      </c>
      <c r="AV174">
        <v>1</v>
      </c>
      <c r="AW174">
        <v>0</v>
      </c>
      <c r="AX174">
        <v>0</v>
      </c>
      <c r="AY174">
        <v>0</v>
      </c>
      <c r="AZ174">
        <v>1</v>
      </c>
      <c r="BA174">
        <v>1</v>
      </c>
      <c r="BB174">
        <v>2</v>
      </c>
      <c r="BC174">
        <v>1</v>
      </c>
      <c r="BD174">
        <v>0</v>
      </c>
      <c r="BE174">
        <v>0</v>
      </c>
      <c r="BF174">
        <v>0</v>
      </c>
      <c r="BG174">
        <v>0</v>
      </c>
      <c r="BH174">
        <v>0</v>
      </c>
      <c r="BI174">
        <v>0</v>
      </c>
      <c r="BJ174">
        <v>0</v>
      </c>
      <c r="BK174">
        <v>0</v>
      </c>
      <c r="BL174">
        <v>0</v>
      </c>
      <c r="BM174">
        <v>0</v>
      </c>
      <c r="BN174">
        <v>0</v>
      </c>
      <c r="BO174">
        <v>0</v>
      </c>
      <c r="BP174">
        <v>0</v>
      </c>
      <c r="BQ174">
        <v>0</v>
      </c>
      <c r="BR174">
        <v>1</v>
      </c>
      <c r="BS174">
        <v>0</v>
      </c>
    </row>
    <row r="175" spans="1:71" x14ac:dyDescent="0.3">
      <c r="A175" t="s">
        <v>793</v>
      </c>
      <c r="B175" t="s">
        <v>794</v>
      </c>
      <c r="C175" t="s">
        <v>29</v>
      </c>
      <c r="D175" t="s">
        <v>29</v>
      </c>
      <c r="E175" t="s">
        <v>29</v>
      </c>
      <c r="F175" t="s">
        <v>795</v>
      </c>
      <c r="G175" t="s">
        <v>743</v>
      </c>
      <c r="H175">
        <v>2023</v>
      </c>
      <c r="I175">
        <v>17</v>
      </c>
      <c r="J175">
        <v>4</v>
      </c>
      <c r="K175" t="s">
        <v>29</v>
      </c>
      <c r="L175" t="s">
        <v>29</v>
      </c>
      <c r="M175" t="s">
        <v>29</v>
      </c>
      <c r="N175">
        <v>412</v>
      </c>
      <c r="O175">
        <v>421</v>
      </c>
      <c r="P175" t="s">
        <v>29</v>
      </c>
      <c r="Q175" t="s">
        <v>796</v>
      </c>
      <c r="R175" t="s">
        <v>29</v>
      </c>
      <c r="S175" t="s">
        <v>29</v>
      </c>
      <c r="T175">
        <v>6</v>
      </c>
      <c r="U175">
        <v>3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  <c r="AB175">
        <v>0</v>
      </c>
      <c r="AC175">
        <v>0</v>
      </c>
      <c r="AD175">
        <v>0</v>
      </c>
      <c r="AE175">
        <v>0</v>
      </c>
      <c r="AF175">
        <v>0</v>
      </c>
      <c r="AG175">
        <v>0</v>
      </c>
      <c r="AH175">
        <v>0</v>
      </c>
      <c r="AI175">
        <v>0</v>
      </c>
      <c r="AJ175">
        <v>0</v>
      </c>
      <c r="AK175">
        <v>0</v>
      </c>
      <c r="AL175">
        <v>0</v>
      </c>
      <c r="AM175">
        <v>0</v>
      </c>
      <c r="AN175">
        <v>0</v>
      </c>
      <c r="AO175">
        <v>0</v>
      </c>
      <c r="AP175">
        <v>0</v>
      </c>
      <c r="AQ175">
        <v>0</v>
      </c>
      <c r="AR175">
        <v>0</v>
      </c>
      <c r="AS175">
        <v>0</v>
      </c>
      <c r="AT175">
        <v>0</v>
      </c>
      <c r="AU175">
        <v>0</v>
      </c>
      <c r="AV175">
        <v>0</v>
      </c>
      <c r="AW175">
        <v>0</v>
      </c>
      <c r="AX175">
        <v>0</v>
      </c>
      <c r="AY175">
        <v>0</v>
      </c>
      <c r="AZ175">
        <v>0</v>
      </c>
      <c r="BA175">
        <v>0</v>
      </c>
      <c r="BB175">
        <v>0</v>
      </c>
      <c r="BC175">
        <v>0</v>
      </c>
      <c r="BD175">
        <v>0</v>
      </c>
      <c r="BE175">
        <v>0</v>
      </c>
      <c r="BF175">
        <v>0</v>
      </c>
      <c r="BG175">
        <v>0</v>
      </c>
      <c r="BH175">
        <v>0</v>
      </c>
      <c r="BI175">
        <v>0</v>
      </c>
      <c r="BJ175">
        <v>0</v>
      </c>
      <c r="BK175">
        <v>0</v>
      </c>
      <c r="BL175">
        <v>0</v>
      </c>
      <c r="BM175">
        <v>0</v>
      </c>
      <c r="BN175">
        <v>0</v>
      </c>
      <c r="BO175">
        <v>0</v>
      </c>
      <c r="BP175">
        <v>0</v>
      </c>
      <c r="BQ175">
        <v>0</v>
      </c>
      <c r="BR175">
        <v>3</v>
      </c>
      <c r="BS175">
        <v>3</v>
      </c>
    </row>
    <row r="176" spans="1:71" x14ac:dyDescent="0.3">
      <c r="A176" t="s">
        <v>797</v>
      </c>
      <c r="B176" t="s">
        <v>798</v>
      </c>
      <c r="C176" t="s">
        <v>29</v>
      </c>
      <c r="D176" t="s">
        <v>29</v>
      </c>
      <c r="E176" t="s">
        <v>29</v>
      </c>
      <c r="F176" t="s">
        <v>799</v>
      </c>
      <c r="G176" t="s">
        <v>800</v>
      </c>
      <c r="H176">
        <v>2023</v>
      </c>
      <c r="I176">
        <v>62</v>
      </c>
      <c r="J176">
        <v>3</v>
      </c>
      <c r="K176" t="s">
        <v>29</v>
      </c>
      <c r="L176" t="s">
        <v>29</v>
      </c>
      <c r="M176" t="s">
        <v>29</v>
      </c>
      <c r="N176">
        <v>257</v>
      </c>
      <c r="O176">
        <v>287</v>
      </c>
      <c r="P176" t="s">
        <v>29</v>
      </c>
      <c r="Q176" t="s">
        <v>801</v>
      </c>
      <c r="R176" t="s">
        <v>29</v>
      </c>
      <c r="S176" t="s">
        <v>29</v>
      </c>
      <c r="T176">
        <v>6</v>
      </c>
      <c r="U176">
        <v>3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  <c r="AB176">
        <v>0</v>
      </c>
      <c r="AC176">
        <v>0</v>
      </c>
      <c r="AD176">
        <v>0</v>
      </c>
      <c r="AE176">
        <v>0</v>
      </c>
      <c r="AF176">
        <v>0</v>
      </c>
      <c r="AG176">
        <v>0</v>
      </c>
      <c r="AH176">
        <v>0</v>
      </c>
      <c r="AI176">
        <v>0</v>
      </c>
      <c r="AJ176">
        <v>0</v>
      </c>
      <c r="AK176">
        <v>0</v>
      </c>
      <c r="AL176">
        <v>0</v>
      </c>
      <c r="AM176">
        <v>0</v>
      </c>
      <c r="AN176">
        <v>0</v>
      </c>
      <c r="AO176">
        <v>0</v>
      </c>
      <c r="AP176">
        <v>0</v>
      </c>
      <c r="AQ176">
        <v>0</v>
      </c>
      <c r="AR176">
        <v>0</v>
      </c>
      <c r="AS176">
        <v>0</v>
      </c>
      <c r="AT176">
        <v>0</v>
      </c>
      <c r="AU176">
        <v>0</v>
      </c>
      <c r="AV176">
        <v>0</v>
      </c>
      <c r="AW176">
        <v>0</v>
      </c>
      <c r="AX176">
        <v>0</v>
      </c>
      <c r="AY176">
        <v>0</v>
      </c>
      <c r="AZ176">
        <v>0</v>
      </c>
      <c r="BA176">
        <v>0</v>
      </c>
      <c r="BB176">
        <v>0</v>
      </c>
      <c r="BC176">
        <v>0</v>
      </c>
      <c r="BD176">
        <v>0</v>
      </c>
      <c r="BE176">
        <v>0</v>
      </c>
      <c r="BF176">
        <v>0</v>
      </c>
      <c r="BG176">
        <v>0</v>
      </c>
      <c r="BH176">
        <v>0</v>
      </c>
      <c r="BI176">
        <v>0</v>
      </c>
      <c r="BJ176">
        <v>0</v>
      </c>
      <c r="BK176">
        <v>0</v>
      </c>
      <c r="BL176">
        <v>0</v>
      </c>
      <c r="BM176">
        <v>0</v>
      </c>
      <c r="BN176">
        <v>0</v>
      </c>
      <c r="BO176">
        <v>0</v>
      </c>
      <c r="BP176">
        <v>0</v>
      </c>
      <c r="BQ176">
        <v>0</v>
      </c>
      <c r="BR176">
        <v>0</v>
      </c>
      <c r="BS176">
        <v>6</v>
      </c>
    </row>
    <row r="177" spans="1:71" x14ac:dyDescent="0.3">
      <c r="A177" t="s">
        <v>802</v>
      </c>
      <c r="B177" t="s">
        <v>803</v>
      </c>
      <c r="C177" t="s">
        <v>29</v>
      </c>
      <c r="D177" t="s">
        <v>29</v>
      </c>
      <c r="E177" t="s">
        <v>29</v>
      </c>
      <c r="F177" t="s">
        <v>486</v>
      </c>
      <c r="G177" t="s">
        <v>804</v>
      </c>
      <c r="H177">
        <v>2022</v>
      </c>
      <c r="I177">
        <v>14</v>
      </c>
      <c r="J177">
        <v>23</v>
      </c>
      <c r="K177" t="s">
        <v>29</v>
      </c>
      <c r="L177" t="s">
        <v>29</v>
      </c>
      <c r="M177" t="s">
        <v>29</v>
      </c>
      <c r="N177" t="s">
        <v>29</v>
      </c>
      <c r="O177" t="s">
        <v>29</v>
      </c>
      <c r="P177">
        <v>15615</v>
      </c>
      <c r="Q177" t="s">
        <v>805</v>
      </c>
      <c r="R177" t="s">
        <v>29</v>
      </c>
      <c r="S177" t="s">
        <v>29</v>
      </c>
      <c r="T177">
        <v>6</v>
      </c>
      <c r="U177">
        <v>2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  <c r="AB177">
        <v>0</v>
      </c>
      <c r="AC177">
        <v>0</v>
      </c>
      <c r="AD177">
        <v>0</v>
      </c>
      <c r="AE177">
        <v>0</v>
      </c>
      <c r="AF177">
        <v>0</v>
      </c>
      <c r="AG177">
        <v>0</v>
      </c>
      <c r="AH177">
        <v>0</v>
      </c>
      <c r="AI177">
        <v>0</v>
      </c>
      <c r="AJ177">
        <v>0</v>
      </c>
      <c r="AK177">
        <v>0</v>
      </c>
      <c r="AL177">
        <v>0</v>
      </c>
      <c r="AM177">
        <v>0</v>
      </c>
      <c r="AN177">
        <v>0</v>
      </c>
      <c r="AO177">
        <v>0</v>
      </c>
      <c r="AP177">
        <v>0</v>
      </c>
      <c r="AQ177">
        <v>0</v>
      </c>
      <c r="AR177">
        <v>0</v>
      </c>
      <c r="AS177">
        <v>0</v>
      </c>
      <c r="AT177">
        <v>0</v>
      </c>
      <c r="AU177">
        <v>0</v>
      </c>
      <c r="AV177">
        <v>0</v>
      </c>
      <c r="AW177">
        <v>0</v>
      </c>
      <c r="AX177">
        <v>0</v>
      </c>
      <c r="AY177">
        <v>0</v>
      </c>
      <c r="AZ177">
        <v>0</v>
      </c>
      <c r="BA177">
        <v>0</v>
      </c>
      <c r="BB177">
        <v>0</v>
      </c>
      <c r="BC177">
        <v>0</v>
      </c>
      <c r="BD177">
        <v>0</v>
      </c>
      <c r="BE177">
        <v>0</v>
      </c>
      <c r="BF177">
        <v>0</v>
      </c>
      <c r="BG177">
        <v>0</v>
      </c>
      <c r="BH177">
        <v>0</v>
      </c>
      <c r="BI177">
        <v>0</v>
      </c>
      <c r="BJ177">
        <v>0</v>
      </c>
      <c r="BK177">
        <v>0</v>
      </c>
      <c r="BL177">
        <v>0</v>
      </c>
      <c r="BM177">
        <v>0</v>
      </c>
      <c r="BN177">
        <v>0</v>
      </c>
      <c r="BO177">
        <v>0</v>
      </c>
      <c r="BP177">
        <v>0</v>
      </c>
      <c r="BQ177">
        <v>0</v>
      </c>
      <c r="BR177">
        <v>3</v>
      </c>
      <c r="BS177">
        <v>3</v>
      </c>
    </row>
    <row r="178" spans="1:71" x14ac:dyDescent="0.3">
      <c r="A178" t="s">
        <v>806</v>
      </c>
      <c r="B178" t="s">
        <v>807</v>
      </c>
      <c r="C178" t="s">
        <v>29</v>
      </c>
      <c r="D178" t="s">
        <v>29</v>
      </c>
      <c r="E178" t="s">
        <v>29</v>
      </c>
      <c r="F178" t="s">
        <v>365</v>
      </c>
      <c r="G178" t="s">
        <v>808</v>
      </c>
      <c r="H178">
        <v>2022</v>
      </c>
      <c r="I178">
        <v>12</v>
      </c>
      <c r="J178">
        <v>6</v>
      </c>
      <c r="K178" t="s">
        <v>29</v>
      </c>
      <c r="L178" t="s">
        <v>29</v>
      </c>
      <c r="M178" t="s">
        <v>29</v>
      </c>
      <c r="N178">
        <v>1084</v>
      </c>
      <c r="O178">
        <v>1107</v>
      </c>
      <c r="P178" t="s">
        <v>29</v>
      </c>
      <c r="Q178" t="s">
        <v>809</v>
      </c>
      <c r="R178" t="s">
        <v>29</v>
      </c>
      <c r="S178" t="s">
        <v>29</v>
      </c>
      <c r="T178">
        <v>6</v>
      </c>
      <c r="U178">
        <v>2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  <c r="AB178">
        <v>0</v>
      </c>
      <c r="AC178">
        <v>0</v>
      </c>
      <c r="AD178">
        <v>0</v>
      </c>
      <c r="AE178">
        <v>0</v>
      </c>
      <c r="AF178">
        <v>0</v>
      </c>
      <c r="AG178">
        <v>0</v>
      </c>
      <c r="AH178">
        <v>0</v>
      </c>
      <c r="AI178">
        <v>0</v>
      </c>
      <c r="AJ178">
        <v>0</v>
      </c>
      <c r="AK178">
        <v>0</v>
      </c>
      <c r="AL178">
        <v>0</v>
      </c>
      <c r="AM178">
        <v>0</v>
      </c>
      <c r="AN178">
        <v>0</v>
      </c>
      <c r="AO178">
        <v>0</v>
      </c>
      <c r="AP178">
        <v>0</v>
      </c>
      <c r="AQ178">
        <v>0</v>
      </c>
      <c r="AR178">
        <v>0</v>
      </c>
      <c r="AS178">
        <v>0</v>
      </c>
      <c r="AT178">
        <v>0</v>
      </c>
      <c r="AU178">
        <v>0</v>
      </c>
      <c r="AV178">
        <v>0</v>
      </c>
      <c r="AW178">
        <v>0</v>
      </c>
      <c r="AX178">
        <v>0</v>
      </c>
      <c r="AY178">
        <v>0</v>
      </c>
      <c r="AZ178">
        <v>0</v>
      </c>
      <c r="BA178">
        <v>0</v>
      </c>
      <c r="BB178">
        <v>0</v>
      </c>
      <c r="BC178">
        <v>0</v>
      </c>
      <c r="BD178">
        <v>0</v>
      </c>
      <c r="BE178">
        <v>0</v>
      </c>
      <c r="BF178">
        <v>0</v>
      </c>
      <c r="BG178">
        <v>0</v>
      </c>
      <c r="BH178">
        <v>0</v>
      </c>
      <c r="BI178">
        <v>0</v>
      </c>
      <c r="BJ178">
        <v>0</v>
      </c>
      <c r="BK178">
        <v>0</v>
      </c>
      <c r="BL178">
        <v>0</v>
      </c>
      <c r="BM178">
        <v>0</v>
      </c>
      <c r="BN178">
        <v>0</v>
      </c>
      <c r="BO178">
        <v>0</v>
      </c>
      <c r="BP178">
        <v>0</v>
      </c>
      <c r="BQ178">
        <v>0</v>
      </c>
      <c r="BR178">
        <v>3</v>
      </c>
      <c r="BS178">
        <v>3</v>
      </c>
    </row>
    <row r="179" spans="1:71" x14ac:dyDescent="0.3">
      <c r="A179" t="s">
        <v>810</v>
      </c>
      <c r="B179" t="s">
        <v>811</v>
      </c>
      <c r="C179" t="s">
        <v>29</v>
      </c>
      <c r="D179" t="s">
        <v>29</v>
      </c>
      <c r="E179" t="s">
        <v>29</v>
      </c>
      <c r="F179" t="s">
        <v>812</v>
      </c>
      <c r="G179" t="s">
        <v>599</v>
      </c>
      <c r="H179">
        <v>2022</v>
      </c>
      <c r="I179">
        <v>13</v>
      </c>
      <c r="J179">
        <v>2</v>
      </c>
      <c r="K179" t="s">
        <v>29</v>
      </c>
      <c r="L179" t="s">
        <v>29</v>
      </c>
      <c r="M179" t="s">
        <v>29</v>
      </c>
      <c r="N179">
        <v>327</v>
      </c>
      <c r="O179">
        <v>338</v>
      </c>
      <c r="P179" t="s">
        <v>29</v>
      </c>
      <c r="Q179" t="s">
        <v>813</v>
      </c>
      <c r="R179" t="s">
        <v>29</v>
      </c>
      <c r="S179" t="s">
        <v>29</v>
      </c>
      <c r="T179">
        <v>6</v>
      </c>
      <c r="U179">
        <v>2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  <c r="AB179">
        <v>0</v>
      </c>
      <c r="AC179">
        <v>0</v>
      </c>
      <c r="AD179">
        <v>0</v>
      </c>
      <c r="AE179">
        <v>0</v>
      </c>
      <c r="AF179">
        <v>0</v>
      </c>
      <c r="AG179">
        <v>0</v>
      </c>
      <c r="AH179">
        <v>0</v>
      </c>
      <c r="AI179">
        <v>0</v>
      </c>
      <c r="AJ179">
        <v>0</v>
      </c>
      <c r="AK179">
        <v>0</v>
      </c>
      <c r="AL179">
        <v>0</v>
      </c>
      <c r="AM179">
        <v>0</v>
      </c>
      <c r="AN179">
        <v>0</v>
      </c>
      <c r="AO179">
        <v>0</v>
      </c>
      <c r="AP179">
        <v>0</v>
      </c>
      <c r="AQ179">
        <v>0</v>
      </c>
      <c r="AR179">
        <v>0</v>
      </c>
      <c r="AS179">
        <v>0</v>
      </c>
      <c r="AT179">
        <v>0</v>
      </c>
      <c r="AU179">
        <v>0</v>
      </c>
      <c r="AV179">
        <v>0</v>
      </c>
      <c r="AW179">
        <v>0</v>
      </c>
      <c r="AX179">
        <v>0</v>
      </c>
      <c r="AY179">
        <v>0</v>
      </c>
      <c r="AZ179">
        <v>0</v>
      </c>
      <c r="BA179">
        <v>0</v>
      </c>
      <c r="BB179">
        <v>0</v>
      </c>
      <c r="BC179">
        <v>0</v>
      </c>
      <c r="BD179">
        <v>0</v>
      </c>
      <c r="BE179">
        <v>0</v>
      </c>
      <c r="BF179">
        <v>0</v>
      </c>
      <c r="BG179">
        <v>0</v>
      </c>
      <c r="BH179">
        <v>0</v>
      </c>
      <c r="BI179">
        <v>0</v>
      </c>
      <c r="BJ179">
        <v>0</v>
      </c>
      <c r="BK179">
        <v>0</v>
      </c>
      <c r="BL179">
        <v>0</v>
      </c>
      <c r="BM179">
        <v>0</v>
      </c>
      <c r="BN179">
        <v>0</v>
      </c>
      <c r="BO179">
        <v>0</v>
      </c>
      <c r="BP179">
        <v>0</v>
      </c>
      <c r="BQ179">
        <v>1</v>
      </c>
      <c r="BR179">
        <v>0</v>
      </c>
      <c r="BS179">
        <v>5</v>
      </c>
    </row>
    <row r="180" spans="1:71" x14ac:dyDescent="0.3">
      <c r="A180" t="s">
        <v>814</v>
      </c>
      <c r="B180" t="s">
        <v>815</v>
      </c>
      <c r="C180" t="s">
        <v>29</v>
      </c>
      <c r="D180" t="s">
        <v>29</v>
      </c>
      <c r="E180" t="s">
        <v>29</v>
      </c>
      <c r="F180" t="s">
        <v>816</v>
      </c>
      <c r="G180" t="s">
        <v>817</v>
      </c>
      <c r="H180">
        <v>2021</v>
      </c>
      <c r="I180">
        <v>8</v>
      </c>
      <c r="J180">
        <v>1</v>
      </c>
      <c r="K180" t="s">
        <v>29</v>
      </c>
      <c r="L180" t="s">
        <v>29</v>
      </c>
      <c r="M180" t="s">
        <v>29</v>
      </c>
      <c r="N180" t="s">
        <v>29</v>
      </c>
      <c r="O180" t="s">
        <v>29</v>
      </c>
      <c r="P180">
        <v>187</v>
      </c>
      <c r="Q180" t="s">
        <v>818</v>
      </c>
      <c r="R180" t="s">
        <v>29</v>
      </c>
      <c r="S180" t="s">
        <v>29</v>
      </c>
      <c r="T180">
        <v>6</v>
      </c>
      <c r="U180">
        <v>1.5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  <c r="AB180">
        <v>0</v>
      </c>
      <c r="AC180">
        <v>0</v>
      </c>
      <c r="AD180">
        <v>0</v>
      </c>
      <c r="AE180">
        <v>0</v>
      </c>
      <c r="AF180">
        <v>0</v>
      </c>
      <c r="AG180">
        <v>0</v>
      </c>
      <c r="AH180">
        <v>0</v>
      </c>
      <c r="AI180">
        <v>0</v>
      </c>
      <c r="AJ180">
        <v>0</v>
      </c>
      <c r="AK180">
        <v>0</v>
      </c>
      <c r="AL180">
        <v>0</v>
      </c>
      <c r="AM180">
        <v>0</v>
      </c>
      <c r="AN180">
        <v>0</v>
      </c>
      <c r="AO180">
        <v>0</v>
      </c>
      <c r="AP180">
        <v>0</v>
      </c>
      <c r="AQ180">
        <v>0</v>
      </c>
      <c r="AR180">
        <v>0</v>
      </c>
      <c r="AS180">
        <v>0</v>
      </c>
      <c r="AT180">
        <v>0</v>
      </c>
      <c r="AU180">
        <v>0</v>
      </c>
      <c r="AV180">
        <v>0</v>
      </c>
      <c r="AW180">
        <v>0</v>
      </c>
      <c r="AX180">
        <v>0</v>
      </c>
      <c r="AY180">
        <v>0</v>
      </c>
      <c r="AZ180">
        <v>0</v>
      </c>
      <c r="BA180">
        <v>0</v>
      </c>
      <c r="BB180">
        <v>0</v>
      </c>
      <c r="BC180">
        <v>0</v>
      </c>
      <c r="BD180">
        <v>0</v>
      </c>
      <c r="BE180">
        <v>0</v>
      </c>
      <c r="BF180">
        <v>0</v>
      </c>
      <c r="BG180">
        <v>0</v>
      </c>
      <c r="BH180">
        <v>0</v>
      </c>
      <c r="BI180">
        <v>0</v>
      </c>
      <c r="BJ180">
        <v>0</v>
      </c>
      <c r="BK180">
        <v>0</v>
      </c>
      <c r="BL180">
        <v>0</v>
      </c>
      <c r="BM180">
        <v>0</v>
      </c>
      <c r="BN180">
        <v>0</v>
      </c>
      <c r="BO180">
        <v>0</v>
      </c>
      <c r="BP180">
        <v>0</v>
      </c>
      <c r="BQ180">
        <v>1</v>
      </c>
      <c r="BR180">
        <v>2</v>
      </c>
      <c r="BS180">
        <v>3</v>
      </c>
    </row>
    <row r="181" spans="1:71" x14ac:dyDescent="0.3">
      <c r="A181" t="s">
        <v>819</v>
      </c>
      <c r="B181" t="s">
        <v>820</v>
      </c>
      <c r="C181" t="s">
        <v>29</v>
      </c>
      <c r="D181" t="s">
        <v>29</v>
      </c>
      <c r="E181" t="s">
        <v>29</v>
      </c>
      <c r="F181" t="s">
        <v>365</v>
      </c>
      <c r="G181" t="s">
        <v>821</v>
      </c>
      <c r="H181">
        <v>2021</v>
      </c>
      <c r="I181">
        <v>11</v>
      </c>
      <c r="J181">
        <v>5</v>
      </c>
      <c r="K181" t="s">
        <v>29</v>
      </c>
      <c r="L181" t="s">
        <v>29</v>
      </c>
      <c r="M181" t="s">
        <v>29</v>
      </c>
      <c r="N181">
        <v>1002</v>
      </c>
      <c r="O181">
        <v>1019</v>
      </c>
      <c r="P181" t="s">
        <v>29</v>
      </c>
      <c r="Q181" t="s">
        <v>822</v>
      </c>
      <c r="R181" t="s">
        <v>29</v>
      </c>
      <c r="S181" t="s">
        <v>29</v>
      </c>
      <c r="T181">
        <v>6</v>
      </c>
      <c r="U181">
        <v>1.5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  <c r="AB181">
        <v>0</v>
      </c>
      <c r="AC181">
        <v>0</v>
      </c>
      <c r="AD181">
        <v>0</v>
      </c>
      <c r="AE181">
        <v>0</v>
      </c>
      <c r="AF181">
        <v>0</v>
      </c>
      <c r="AG181">
        <v>0</v>
      </c>
      <c r="AH181">
        <v>0</v>
      </c>
      <c r="AI181">
        <v>0</v>
      </c>
      <c r="AJ181">
        <v>0</v>
      </c>
      <c r="AK181">
        <v>0</v>
      </c>
      <c r="AL181">
        <v>0</v>
      </c>
      <c r="AM181">
        <v>0</v>
      </c>
      <c r="AN181">
        <v>0</v>
      </c>
      <c r="AO181">
        <v>0</v>
      </c>
      <c r="AP181">
        <v>0</v>
      </c>
      <c r="AQ181">
        <v>0</v>
      </c>
      <c r="AR181">
        <v>0</v>
      </c>
      <c r="AS181">
        <v>0</v>
      </c>
      <c r="AT181">
        <v>0</v>
      </c>
      <c r="AU181">
        <v>0</v>
      </c>
      <c r="AV181">
        <v>0</v>
      </c>
      <c r="AW181">
        <v>0</v>
      </c>
      <c r="AX181">
        <v>0</v>
      </c>
      <c r="AY181">
        <v>0</v>
      </c>
      <c r="AZ181">
        <v>0</v>
      </c>
      <c r="BA181">
        <v>0</v>
      </c>
      <c r="BB181">
        <v>0</v>
      </c>
      <c r="BC181">
        <v>0</v>
      </c>
      <c r="BD181">
        <v>0</v>
      </c>
      <c r="BE181">
        <v>0</v>
      </c>
      <c r="BF181">
        <v>0</v>
      </c>
      <c r="BG181">
        <v>0</v>
      </c>
      <c r="BH181">
        <v>0</v>
      </c>
      <c r="BI181">
        <v>0</v>
      </c>
      <c r="BJ181">
        <v>0</v>
      </c>
      <c r="BK181">
        <v>0</v>
      </c>
      <c r="BL181">
        <v>0</v>
      </c>
      <c r="BM181">
        <v>0</v>
      </c>
      <c r="BN181">
        <v>0</v>
      </c>
      <c r="BO181">
        <v>0</v>
      </c>
      <c r="BP181">
        <v>1</v>
      </c>
      <c r="BQ181">
        <v>1</v>
      </c>
      <c r="BR181">
        <v>2</v>
      </c>
      <c r="BS181">
        <v>2</v>
      </c>
    </row>
    <row r="182" spans="1:71" x14ac:dyDescent="0.3">
      <c r="A182" t="s">
        <v>823</v>
      </c>
      <c r="B182" t="s">
        <v>824</v>
      </c>
      <c r="C182" t="s">
        <v>29</v>
      </c>
      <c r="D182" t="s">
        <v>29</v>
      </c>
      <c r="E182" t="s">
        <v>29</v>
      </c>
      <c r="F182" t="s">
        <v>825</v>
      </c>
      <c r="G182" t="s">
        <v>482</v>
      </c>
      <c r="H182">
        <v>2020</v>
      </c>
      <c r="I182">
        <v>40</v>
      </c>
      <c r="J182">
        <v>2</v>
      </c>
      <c r="K182" t="s">
        <v>29</v>
      </c>
      <c r="L182" t="s">
        <v>29</v>
      </c>
      <c r="M182" t="s">
        <v>29</v>
      </c>
      <c r="N182">
        <v>81</v>
      </c>
      <c r="O182">
        <v>91</v>
      </c>
      <c r="P182" t="s">
        <v>29</v>
      </c>
      <c r="Q182" t="s">
        <v>826</v>
      </c>
      <c r="R182" t="s">
        <v>29</v>
      </c>
      <c r="S182" t="s">
        <v>29</v>
      </c>
      <c r="T182">
        <v>6</v>
      </c>
      <c r="U182">
        <v>1.2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  <c r="AB182">
        <v>0</v>
      </c>
      <c r="AC182">
        <v>0</v>
      </c>
      <c r="AD182">
        <v>0</v>
      </c>
      <c r="AE182">
        <v>0</v>
      </c>
      <c r="AF182">
        <v>0</v>
      </c>
      <c r="AG182">
        <v>0</v>
      </c>
      <c r="AH182">
        <v>0</v>
      </c>
      <c r="AI182">
        <v>0</v>
      </c>
      <c r="AJ182">
        <v>0</v>
      </c>
      <c r="AK182">
        <v>0</v>
      </c>
      <c r="AL182">
        <v>0</v>
      </c>
      <c r="AM182">
        <v>0</v>
      </c>
      <c r="AN182">
        <v>0</v>
      </c>
      <c r="AO182">
        <v>0</v>
      </c>
      <c r="AP182">
        <v>0</v>
      </c>
      <c r="AQ182">
        <v>0</v>
      </c>
      <c r="AR182">
        <v>0</v>
      </c>
      <c r="AS182">
        <v>0</v>
      </c>
      <c r="AT182">
        <v>0</v>
      </c>
      <c r="AU182">
        <v>0</v>
      </c>
      <c r="AV182">
        <v>0</v>
      </c>
      <c r="AW182">
        <v>0</v>
      </c>
      <c r="AX182">
        <v>0</v>
      </c>
      <c r="AY182">
        <v>0</v>
      </c>
      <c r="AZ182">
        <v>0</v>
      </c>
      <c r="BA182">
        <v>0</v>
      </c>
      <c r="BB182">
        <v>0</v>
      </c>
      <c r="BC182">
        <v>0</v>
      </c>
      <c r="BD182">
        <v>0</v>
      </c>
      <c r="BE182">
        <v>0</v>
      </c>
      <c r="BF182">
        <v>0</v>
      </c>
      <c r="BG182">
        <v>0</v>
      </c>
      <c r="BH182">
        <v>0</v>
      </c>
      <c r="BI182">
        <v>0</v>
      </c>
      <c r="BJ182">
        <v>0</v>
      </c>
      <c r="BK182">
        <v>0</v>
      </c>
      <c r="BL182">
        <v>0</v>
      </c>
      <c r="BM182">
        <v>0</v>
      </c>
      <c r="BN182">
        <v>0</v>
      </c>
      <c r="BO182">
        <v>0</v>
      </c>
      <c r="BP182">
        <v>1</v>
      </c>
      <c r="BQ182">
        <v>1</v>
      </c>
      <c r="BR182">
        <v>2</v>
      </c>
      <c r="BS182">
        <v>2</v>
      </c>
    </row>
    <row r="183" spans="1:71" x14ac:dyDescent="0.3">
      <c r="A183" t="s">
        <v>827</v>
      </c>
      <c r="B183" t="s">
        <v>828</v>
      </c>
      <c r="C183" t="s">
        <v>29</v>
      </c>
      <c r="D183" t="s">
        <v>29</v>
      </c>
      <c r="E183" t="s">
        <v>29</v>
      </c>
      <c r="F183" t="s">
        <v>486</v>
      </c>
      <c r="G183" t="s">
        <v>201</v>
      </c>
      <c r="H183">
        <v>2020</v>
      </c>
      <c r="I183">
        <v>12</v>
      </c>
      <c r="J183">
        <v>13</v>
      </c>
      <c r="K183" t="s">
        <v>29</v>
      </c>
      <c r="L183" t="s">
        <v>29</v>
      </c>
      <c r="M183" t="s">
        <v>29</v>
      </c>
      <c r="N183" t="s">
        <v>29</v>
      </c>
      <c r="O183" t="s">
        <v>29</v>
      </c>
      <c r="P183">
        <v>5364</v>
      </c>
      <c r="Q183" t="s">
        <v>829</v>
      </c>
      <c r="R183" t="s">
        <v>29</v>
      </c>
      <c r="S183" t="s">
        <v>29</v>
      </c>
      <c r="T183">
        <v>6</v>
      </c>
      <c r="U183">
        <v>1.2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  <c r="AB183">
        <v>0</v>
      </c>
      <c r="AC183">
        <v>0</v>
      </c>
      <c r="AD183">
        <v>0</v>
      </c>
      <c r="AE183">
        <v>0</v>
      </c>
      <c r="AF183">
        <v>0</v>
      </c>
      <c r="AG183">
        <v>0</v>
      </c>
      <c r="AH183">
        <v>0</v>
      </c>
      <c r="AI183">
        <v>0</v>
      </c>
      <c r="AJ183">
        <v>0</v>
      </c>
      <c r="AK183">
        <v>0</v>
      </c>
      <c r="AL183">
        <v>0</v>
      </c>
      <c r="AM183">
        <v>0</v>
      </c>
      <c r="AN183">
        <v>0</v>
      </c>
      <c r="AO183">
        <v>0</v>
      </c>
      <c r="AP183">
        <v>0</v>
      </c>
      <c r="AQ183">
        <v>0</v>
      </c>
      <c r="AR183">
        <v>0</v>
      </c>
      <c r="AS183">
        <v>0</v>
      </c>
      <c r="AT183">
        <v>0</v>
      </c>
      <c r="AU183">
        <v>0</v>
      </c>
      <c r="AV183">
        <v>0</v>
      </c>
      <c r="AW183">
        <v>0</v>
      </c>
      <c r="AX183">
        <v>0</v>
      </c>
      <c r="AY183">
        <v>0</v>
      </c>
      <c r="AZ183">
        <v>0</v>
      </c>
      <c r="BA183">
        <v>0</v>
      </c>
      <c r="BB183">
        <v>0</v>
      </c>
      <c r="BC183">
        <v>0</v>
      </c>
      <c r="BD183">
        <v>0</v>
      </c>
      <c r="BE183">
        <v>0</v>
      </c>
      <c r="BF183">
        <v>0</v>
      </c>
      <c r="BG183">
        <v>0</v>
      </c>
      <c r="BH183">
        <v>0</v>
      </c>
      <c r="BI183">
        <v>0</v>
      </c>
      <c r="BJ183">
        <v>0</v>
      </c>
      <c r="BK183">
        <v>0</v>
      </c>
      <c r="BL183">
        <v>0</v>
      </c>
      <c r="BM183">
        <v>0</v>
      </c>
      <c r="BN183">
        <v>0</v>
      </c>
      <c r="BO183">
        <v>1</v>
      </c>
      <c r="BP183">
        <v>2</v>
      </c>
      <c r="BQ183">
        <v>1</v>
      </c>
      <c r="BR183">
        <v>0</v>
      </c>
      <c r="BS183">
        <v>2</v>
      </c>
    </row>
    <row r="184" spans="1:71" x14ac:dyDescent="0.3">
      <c r="A184" t="s">
        <v>830</v>
      </c>
      <c r="B184" t="s">
        <v>831</v>
      </c>
      <c r="C184" t="s">
        <v>29</v>
      </c>
      <c r="D184" t="s">
        <v>29</v>
      </c>
      <c r="E184" t="s">
        <v>29</v>
      </c>
      <c r="F184" t="s">
        <v>832</v>
      </c>
      <c r="G184">
        <v>2020</v>
      </c>
      <c r="H184">
        <v>2020</v>
      </c>
      <c r="I184">
        <v>15</v>
      </c>
      <c r="J184">
        <v>18</v>
      </c>
      <c r="K184" t="s">
        <v>29</v>
      </c>
      <c r="L184" t="s">
        <v>29</v>
      </c>
      <c r="M184" t="s">
        <v>29</v>
      </c>
      <c r="N184">
        <v>108</v>
      </c>
      <c r="O184">
        <v>123</v>
      </c>
      <c r="P184" t="s">
        <v>29</v>
      </c>
      <c r="Q184" t="s">
        <v>833</v>
      </c>
      <c r="R184" t="s">
        <v>29</v>
      </c>
      <c r="S184" t="s">
        <v>29</v>
      </c>
      <c r="T184">
        <v>6</v>
      </c>
      <c r="U184">
        <v>1.2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  <c r="AB184">
        <v>0</v>
      </c>
      <c r="AC184">
        <v>0</v>
      </c>
      <c r="AD184">
        <v>0</v>
      </c>
      <c r="AE184">
        <v>0</v>
      </c>
      <c r="AF184">
        <v>0</v>
      </c>
      <c r="AG184">
        <v>0</v>
      </c>
      <c r="AH184">
        <v>0</v>
      </c>
      <c r="AI184">
        <v>0</v>
      </c>
      <c r="AJ184">
        <v>0</v>
      </c>
      <c r="AK184">
        <v>0</v>
      </c>
      <c r="AL184">
        <v>0</v>
      </c>
      <c r="AM184">
        <v>0</v>
      </c>
      <c r="AN184">
        <v>0</v>
      </c>
      <c r="AO184">
        <v>0</v>
      </c>
      <c r="AP184">
        <v>0</v>
      </c>
      <c r="AQ184">
        <v>0</v>
      </c>
      <c r="AR184">
        <v>0</v>
      </c>
      <c r="AS184">
        <v>0</v>
      </c>
      <c r="AT184">
        <v>0</v>
      </c>
      <c r="AU184">
        <v>0</v>
      </c>
      <c r="AV184">
        <v>0</v>
      </c>
      <c r="AW184">
        <v>0</v>
      </c>
      <c r="AX184">
        <v>0</v>
      </c>
      <c r="AY184">
        <v>0</v>
      </c>
      <c r="AZ184">
        <v>0</v>
      </c>
      <c r="BA184">
        <v>0</v>
      </c>
      <c r="BB184">
        <v>0</v>
      </c>
      <c r="BC184">
        <v>0</v>
      </c>
      <c r="BD184">
        <v>0</v>
      </c>
      <c r="BE184">
        <v>0</v>
      </c>
      <c r="BF184">
        <v>0</v>
      </c>
      <c r="BG184">
        <v>0</v>
      </c>
      <c r="BH184">
        <v>0</v>
      </c>
      <c r="BI184">
        <v>0</v>
      </c>
      <c r="BJ184">
        <v>0</v>
      </c>
      <c r="BK184">
        <v>0</v>
      </c>
      <c r="BL184">
        <v>0</v>
      </c>
      <c r="BM184">
        <v>0</v>
      </c>
      <c r="BN184">
        <v>0</v>
      </c>
      <c r="BO184">
        <v>0</v>
      </c>
      <c r="BP184">
        <v>4</v>
      </c>
      <c r="BQ184">
        <v>0</v>
      </c>
      <c r="BR184">
        <v>1</v>
      </c>
      <c r="BS184">
        <v>1</v>
      </c>
    </row>
    <row r="185" spans="1:71" x14ac:dyDescent="0.3">
      <c r="A185" t="s">
        <v>834</v>
      </c>
      <c r="B185" t="s">
        <v>835</v>
      </c>
      <c r="C185" t="s">
        <v>29</v>
      </c>
      <c r="D185" t="s">
        <v>29</v>
      </c>
      <c r="E185" t="s">
        <v>836</v>
      </c>
      <c r="F185" t="s">
        <v>837</v>
      </c>
      <c r="G185">
        <v>2020</v>
      </c>
      <c r="H185">
        <v>2020</v>
      </c>
      <c r="I185">
        <v>12392</v>
      </c>
      <c r="J185" t="s">
        <v>29</v>
      </c>
      <c r="K185" t="s">
        <v>29</v>
      </c>
      <c r="L185" t="s">
        <v>29</v>
      </c>
      <c r="M185" t="s">
        <v>29</v>
      </c>
      <c r="N185">
        <v>366</v>
      </c>
      <c r="O185">
        <v>381</v>
      </c>
      <c r="P185" t="s">
        <v>29</v>
      </c>
      <c r="Q185" t="s">
        <v>838</v>
      </c>
      <c r="R185" t="s">
        <v>839</v>
      </c>
      <c r="S185" t="s">
        <v>840</v>
      </c>
      <c r="T185">
        <v>6</v>
      </c>
      <c r="U185">
        <v>1.2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  <c r="AB185">
        <v>0</v>
      </c>
      <c r="AC185">
        <v>0</v>
      </c>
      <c r="AD185">
        <v>0</v>
      </c>
      <c r="AE185">
        <v>0</v>
      </c>
      <c r="AF185">
        <v>0</v>
      </c>
      <c r="AG185">
        <v>0</v>
      </c>
      <c r="AH185">
        <v>0</v>
      </c>
      <c r="AI185">
        <v>0</v>
      </c>
      <c r="AJ185">
        <v>0</v>
      </c>
      <c r="AK185">
        <v>0</v>
      </c>
      <c r="AL185">
        <v>0</v>
      </c>
      <c r="AM185">
        <v>0</v>
      </c>
      <c r="AN185">
        <v>0</v>
      </c>
      <c r="AO185">
        <v>0</v>
      </c>
      <c r="AP185">
        <v>0</v>
      </c>
      <c r="AQ185">
        <v>0</v>
      </c>
      <c r="AR185">
        <v>0</v>
      </c>
      <c r="AS185">
        <v>0</v>
      </c>
      <c r="AT185">
        <v>0</v>
      </c>
      <c r="AU185">
        <v>0</v>
      </c>
      <c r="AV185">
        <v>0</v>
      </c>
      <c r="AW185">
        <v>0</v>
      </c>
      <c r="AX185">
        <v>0</v>
      </c>
      <c r="AY185">
        <v>0</v>
      </c>
      <c r="AZ185">
        <v>0</v>
      </c>
      <c r="BA185">
        <v>0</v>
      </c>
      <c r="BB185">
        <v>0</v>
      </c>
      <c r="BC185">
        <v>0</v>
      </c>
      <c r="BD185">
        <v>0</v>
      </c>
      <c r="BE185">
        <v>0</v>
      </c>
      <c r="BF185">
        <v>0</v>
      </c>
      <c r="BG185">
        <v>0</v>
      </c>
      <c r="BH185">
        <v>0</v>
      </c>
      <c r="BI185">
        <v>0</v>
      </c>
      <c r="BJ185">
        <v>0</v>
      </c>
      <c r="BK185">
        <v>0</v>
      </c>
      <c r="BL185">
        <v>0</v>
      </c>
      <c r="BM185">
        <v>0</v>
      </c>
      <c r="BN185">
        <v>0</v>
      </c>
      <c r="BO185">
        <v>0</v>
      </c>
      <c r="BP185">
        <v>1</v>
      </c>
      <c r="BQ185">
        <v>2</v>
      </c>
      <c r="BR185">
        <v>1</v>
      </c>
      <c r="BS185">
        <v>2</v>
      </c>
    </row>
    <row r="186" spans="1:71" x14ac:dyDescent="0.3">
      <c r="A186" t="s">
        <v>841</v>
      </c>
      <c r="B186" t="s">
        <v>842</v>
      </c>
      <c r="C186" t="s">
        <v>29</v>
      </c>
      <c r="D186" t="s">
        <v>29</v>
      </c>
      <c r="E186" t="s">
        <v>29</v>
      </c>
      <c r="F186" t="s">
        <v>843</v>
      </c>
      <c r="G186">
        <v>2017</v>
      </c>
      <c r="H186">
        <v>2017</v>
      </c>
      <c r="I186" t="s">
        <v>29</v>
      </c>
      <c r="J186" t="s">
        <v>29</v>
      </c>
      <c r="K186" t="s">
        <v>29</v>
      </c>
      <c r="L186" t="s">
        <v>29</v>
      </c>
      <c r="M186" t="s">
        <v>29</v>
      </c>
      <c r="N186">
        <v>351</v>
      </c>
      <c r="O186">
        <v>358</v>
      </c>
      <c r="P186" t="s">
        <v>29</v>
      </c>
      <c r="Q186" t="s">
        <v>29</v>
      </c>
      <c r="R186" t="s">
        <v>844</v>
      </c>
      <c r="S186" t="s">
        <v>845</v>
      </c>
      <c r="T186">
        <v>6</v>
      </c>
      <c r="U186">
        <v>0.75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  <c r="AB186">
        <v>0</v>
      </c>
      <c r="AC186">
        <v>0</v>
      </c>
      <c r="AD186">
        <v>0</v>
      </c>
      <c r="AE186">
        <v>0</v>
      </c>
      <c r="AF186">
        <v>0</v>
      </c>
      <c r="AG186">
        <v>0</v>
      </c>
      <c r="AH186">
        <v>0</v>
      </c>
      <c r="AI186">
        <v>0</v>
      </c>
      <c r="AJ186">
        <v>0</v>
      </c>
      <c r="AK186">
        <v>0</v>
      </c>
      <c r="AL186">
        <v>0</v>
      </c>
      <c r="AM186">
        <v>0</v>
      </c>
      <c r="AN186">
        <v>0</v>
      </c>
      <c r="AO186">
        <v>0</v>
      </c>
      <c r="AP186">
        <v>0</v>
      </c>
      <c r="AQ186">
        <v>0</v>
      </c>
      <c r="AR186">
        <v>0</v>
      </c>
      <c r="AS186">
        <v>0</v>
      </c>
      <c r="AT186">
        <v>0</v>
      </c>
      <c r="AU186">
        <v>0</v>
      </c>
      <c r="AV186">
        <v>0</v>
      </c>
      <c r="AW186">
        <v>0</v>
      </c>
      <c r="AX186">
        <v>0</v>
      </c>
      <c r="AY186">
        <v>0</v>
      </c>
      <c r="AZ186">
        <v>0</v>
      </c>
      <c r="BA186">
        <v>0</v>
      </c>
      <c r="BB186">
        <v>0</v>
      </c>
      <c r="BC186">
        <v>0</v>
      </c>
      <c r="BD186">
        <v>0</v>
      </c>
      <c r="BE186">
        <v>0</v>
      </c>
      <c r="BF186">
        <v>0</v>
      </c>
      <c r="BG186">
        <v>0</v>
      </c>
      <c r="BH186">
        <v>0</v>
      </c>
      <c r="BI186">
        <v>0</v>
      </c>
      <c r="BJ186">
        <v>0</v>
      </c>
      <c r="BK186">
        <v>0</v>
      </c>
      <c r="BL186">
        <v>0</v>
      </c>
      <c r="BM186">
        <v>0</v>
      </c>
      <c r="BN186">
        <v>2</v>
      </c>
      <c r="BO186">
        <v>1</v>
      </c>
      <c r="BP186">
        <v>0</v>
      </c>
      <c r="BQ186">
        <v>2</v>
      </c>
      <c r="BR186">
        <v>1</v>
      </c>
      <c r="BS186">
        <v>0</v>
      </c>
    </row>
    <row r="187" spans="1:71" x14ac:dyDescent="0.3">
      <c r="A187" t="s">
        <v>846</v>
      </c>
      <c r="B187" t="s">
        <v>847</v>
      </c>
      <c r="C187" t="s">
        <v>29</v>
      </c>
      <c r="D187" t="s">
        <v>29</v>
      </c>
      <c r="E187" t="s">
        <v>29</v>
      </c>
      <c r="F187" t="s">
        <v>848</v>
      </c>
      <c r="G187">
        <v>2017</v>
      </c>
      <c r="H187">
        <v>2017</v>
      </c>
      <c r="I187" t="s">
        <v>29</v>
      </c>
      <c r="J187" t="s">
        <v>29</v>
      </c>
      <c r="K187" t="s">
        <v>29</v>
      </c>
      <c r="L187" t="s">
        <v>29</v>
      </c>
      <c r="M187" t="s">
        <v>29</v>
      </c>
      <c r="N187">
        <v>585</v>
      </c>
      <c r="O187">
        <v>588</v>
      </c>
      <c r="P187" t="s">
        <v>29</v>
      </c>
      <c r="Q187" t="s">
        <v>29</v>
      </c>
      <c r="R187" t="s">
        <v>849</v>
      </c>
      <c r="S187" t="s">
        <v>850</v>
      </c>
      <c r="T187">
        <v>6</v>
      </c>
      <c r="U187">
        <v>0.75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  <c r="AB187">
        <v>0</v>
      </c>
      <c r="AC187">
        <v>0</v>
      </c>
      <c r="AD187">
        <v>0</v>
      </c>
      <c r="AE187">
        <v>0</v>
      </c>
      <c r="AF187">
        <v>0</v>
      </c>
      <c r="AG187">
        <v>0</v>
      </c>
      <c r="AH187">
        <v>0</v>
      </c>
      <c r="AI187">
        <v>0</v>
      </c>
      <c r="AJ187">
        <v>0</v>
      </c>
      <c r="AK187">
        <v>0</v>
      </c>
      <c r="AL187">
        <v>0</v>
      </c>
      <c r="AM187">
        <v>0</v>
      </c>
      <c r="AN187">
        <v>0</v>
      </c>
      <c r="AO187">
        <v>0</v>
      </c>
      <c r="AP187">
        <v>0</v>
      </c>
      <c r="AQ187">
        <v>0</v>
      </c>
      <c r="AR187">
        <v>0</v>
      </c>
      <c r="AS187">
        <v>0</v>
      </c>
      <c r="AT187">
        <v>0</v>
      </c>
      <c r="AU187">
        <v>0</v>
      </c>
      <c r="AV187">
        <v>0</v>
      </c>
      <c r="AW187">
        <v>0</v>
      </c>
      <c r="AX187">
        <v>0</v>
      </c>
      <c r="AY187">
        <v>0</v>
      </c>
      <c r="AZ187">
        <v>0</v>
      </c>
      <c r="BA187">
        <v>0</v>
      </c>
      <c r="BB187">
        <v>0</v>
      </c>
      <c r="BC187">
        <v>0</v>
      </c>
      <c r="BD187">
        <v>0</v>
      </c>
      <c r="BE187">
        <v>0</v>
      </c>
      <c r="BF187">
        <v>0</v>
      </c>
      <c r="BG187">
        <v>0</v>
      </c>
      <c r="BH187">
        <v>0</v>
      </c>
      <c r="BI187">
        <v>0</v>
      </c>
      <c r="BJ187">
        <v>0</v>
      </c>
      <c r="BK187">
        <v>0</v>
      </c>
      <c r="BL187">
        <v>0</v>
      </c>
      <c r="BM187">
        <v>0</v>
      </c>
      <c r="BN187">
        <v>1</v>
      </c>
      <c r="BO187">
        <v>1</v>
      </c>
      <c r="BP187">
        <v>1</v>
      </c>
      <c r="BQ187">
        <v>1</v>
      </c>
      <c r="BR187">
        <v>2</v>
      </c>
      <c r="BS187">
        <v>0</v>
      </c>
    </row>
    <row r="188" spans="1:71" x14ac:dyDescent="0.3">
      <c r="A188" t="s">
        <v>851</v>
      </c>
      <c r="B188" t="s">
        <v>852</v>
      </c>
      <c r="C188" t="s">
        <v>29</v>
      </c>
      <c r="D188" t="s">
        <v>29</v>
      </c>
      <c r="E188" t="s">
        <v>29</v>
      </c>
      <c r="F188" t="s">
        <v>853</v>
      </c>
      <c r="G188" t="s">
        <v>854</v>
      </c>
      <c r="H188">
        <v>2010</v>
      </c>
      <c r="I188">
        <v>1</v>
      </c>
      <c r="J188">
        <v>4</v>
      </c>
      <c r="K188" t="s">
        <v>29</v>
      </c>
      <c r="L188" t="s">
        <v>29</v>
      </c>
      <c r="M188" t="s">
        <v>29</v>
      </c>
      <c r="N188">
        <v>371</v>
      </c>
      <c r="O188">
        <v>386</v>
      </c>
      <c r="P188" t="s">
        <v>29</v>
      </c>
      <c r="Q188" t="s">
        <v>855</v>
      </c>
      <c r="R188" t="s">
        <v>29</v>
      </c>
      <c r="S188" t="s">
        <v>29</v>
      </c>
      <c r="T188">
        <v>6</v>
      </c>
      <c r="U188">
        <v>0.4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  <c r="AB188">
        <v>0</v>
      </c>
      <c r="AC188">
        <v>0</v>
      </c>
      <c r="AD188">
        <v>0</v>
      </c>
      <c r="AE188">
        <v>0</v>
      </c>
      <c r="AF188">
        <v>0</v>
      </c>
      <c r="AG188">
        <v>0</v>
      </c>
      <c r="AH188">
        <v>0</v>
      </c>
      <c r="AI188">
        <v>0</v>
      </c>
      <c r="AJ188">
        <v>0</v>
      </c>
      <c r="AK188">
        <v>0</v>
      </c>
      <c r="AL188">
        <v>0</v>
      </c>
      <c r="AM188">
        <v>0</v>
      </c>
      <c r="AN188">
        <v>0</v>
      </c>
      <c r="AO188">
        <v>0</v>
      </c>
      <c r="AP188">
        <v>0</v>
      </c>
      <c r="AQ188">
        <v>0</v>
      </c>
      <c r="AR188">
        <v>0</v>
      </c>
      <c r="AS188">
        <v>0</v>
      </c>
      <c r="AT188">
        <v>0</v>
      </c>
      <c r="AU188">
        <v>0</v>
      </c>
      <c r="AV188">
        <v>0</v>
      </c>
      <c r="AW188">
        <v>0</v>
      </c>
      <c r="AX188">
        <v>0</v>
      </c>
      <c r="AY188">
        <v>0</v>
      </c>
      <c r="AZ188">
        <v>0</v>
      </c>
      <c r="BA188">
        <v>0</v>
      </c>
      <c r="BB188">
        <v>0</v>
      </c>
      <c r="BC188">
        <v>0</v>
      </c>
      <c r="BD188">
        <v>0</v>
      </c>
      <c r="BE188">
        <v>0</v>
      </c>
      <c r="BF188">
        <v>0</v>
      </c>
      <c r="BG188">
        <v>0</v>
      </c>
      <c r="BH188">
        <v>0</v>
      </c>
      <c r="BI188">
        <v>1</v>
      </c>
      <c r="BJ188">
        <v>1</v>
      </c>
      <c r="BK188">
        <v>2</v>
      </c>
      <c r="BL188">
        <v>1</v>
      </c>
      <c r="BM188">
        <v>0</v>
      </c>
      <c r="BN188">
        <v>0</v>
      </c>
      <c r="BO188">
        <v>0</v>
      </c>
      <c r="BP188">
        <v>0</v>
      </c>
      <c r="BQ188">
        <v>1</v>
      </c>
      <c r="BR188">
        <v>0</v>
      </c>
      <c r="BS188">
        <v>0</v>
      </c>
    </row>
    <row r="189" spans="1:71" x14ac:dyDescent="0.3">
      <c r="A189" t="s">
        <v>856</v>
      </c>
      <c r="B189" t="s">
        <v>857</v>
      </c>
      <c r="C189" t="s">
        <v>29</v>
      </c>
      <c r="D189" t="s">
        <v>29</v>
      </c>
      <c r="E189" t="s">
        <v>29</v>
      </c>
      <c r="F189" t="s">
        <v>858</v>
      </c>
      <c r="G189" t="s">
        <v>859</v>
      </c>
      <c r="H189">
        <v>2023</v>
      </c>
      <c r="I189">
        <v>42</v>
      </c>
      <c r="J189">
        <v>9</v>
      </c>
      <c r="K189" t="s">
        <v>29</v>
      </c>
      <c r="L189" t="s">
        <v>29</v>
      </c>
      <c r="M189" t="s">
        <v>29</v>
      </c>
      <c r="N189">
        <v>75</v>
      </c>
      <c r="O189">
        <v>91</v>
      </c>
      <c r="P189" t="s">
        <v>29</v>
      </c>
      <c r="Q189" t="s">
        <v>860</v>
      </c>
      <c r="R189" t="s">
        <v>29</v>
      </c>
      <c r="S189" t="s">
        <v>29</v>
      </c>
      <c r="T189">
        <v>5</v>
      </c>
      <c r="U189">
        <v>2.5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  <c r="AB189">
        <v>0</v>
      </c>
      <c r="AC189">
        <v>0</v>
      </c>
      <c r="AD189">
        <v>0</v>
      </c>
      <c r="AE189">
        <v>0</v>
      </c>
      <c r="AF189">
        <v>0</v>
      </c>
      <c r="AG189">
        <v>0</v>
      </c>
      <c r="AH189">
        <v>0</v>
      </c>
      <c r="AI189">
        <v>0</v>
      </c>
      <c r="AJ189">
        <v>0</v>
      </c>
      <c r="AK189">
        <v>0</v>
      </c>
      <c r="AL189">
        <v>0</v>
      </c>
      <c r="AM189">
        <v>0</v>
      </c>
      <c r="AN189">
        <v>0</v>
      </c>
      <c r="AO189">
        <v>0</v>
      </c>
      <c r="AP189">
        <v>0</v>
      </c>
      <c r="AQ189">
        <v>0</v>
      </c>
      <c r="AR189">
        <v>0</v>
      </c>
      <c r="AS189">
        <v>0</v>
      </c>
      <c r="AT189">
        <v>0</v>
      </c>
      <c r="AU189">
        <v>0</v>
      </c>
      <c r="AV189">
        <v>0</v>
      </c>
      <c r="AW189">
        <v>0</v>
      </c>
      <c r="AX189">
        <v>0</v>
      </c>
      <c r="AY189">
        <v>0</v>
      </c>
      <c r="AZ189">
        <v>0</v>
      </c>
      <c r="BA189">
        <v>0</v>
      </c>
      <c r="BB189">
        <v>0</v>
      </c>
      <c r="BC189">
        <v>0</v>
      </c>
      <c r="BD189">
        <v>0</v>
      </c>
      <c r="BE189">
        <v>0</v>
      </c>
      <c r="BF189">
        <v>0</v>
      </c>
      <c r="BG189">
        <v>0</v>
      </c>
      <c r="BH189">
        <v>0</v>
      </c>
      <c r="BI189">
        <v>0</v>
      </c>
      <c r="BJ189">
        <v>0</v>
      </c>
      <c r="BK189">
        <v>0</v>
      </c>
      <c r="BL189">
        <v>0</v>
      </c>
      <c r="BM189">
        <v>0</v>
      </c>
      <c r="BN189">
        <v>0</v>
      </c>
      <c r="BO189">
        <v>0</v>
      </c>
      <c r="BP189">
        <v>0</v>
      </c>
      <c r="BQ189">
        <v>0</v>
      </c>
      <c r="BR189">
        <v>2</v>
      </c>
      <c r="BS189">
        <v>3</v>
      </c>
    </row>
    <row r="190" spans="1:71" x14ac:dyDescent="0.3">
      <c r="A190" t="s">
        <v>861</v>
      </c>
      <c r="B190" t="s">
        <v>862</v>
      </c>
      <c r="C190" t="s">
        <v>29</v>
      </c>
      <c r="D190" t="s">
        <v>29</v>
      </c>
      <c r="E190" t="s">
        <v>29</v>
      </c>
      <c r="F190" t="s">
        <v>863</v>
      </c>
      <c r="G190">
        <v>2022</v>
      </c>
      <c r="H190">
        <v>2022</v>
      </c>
      <c r="I190" t="s">
        <v>29</v>
      </c>
      <c r="J190" t="s">
        <v>29</v>
      </c>
      <c r="K190" t="s">
        <v>29</v>
      </c>
      <c r="L190" t="s">
        <v>29</v>
      </c>
      <c r="M190" t="s">
        <v>29</v>
      </c>
      <c r="N190">
        <v>119</v>
      </c>
      <c r="O190">
        <v>129</v>
      </c>
      <c r="P190" t="s">
        <v>29</v>
      </c>
      <c r="Q190" t="s">
        <v>864</v>
      </c>
      <c r="R190" t="s">
        <v>865</v>
      </c>
      <c r="S190" t="s">
        <v>866</v>
      </c>
      <c r="T190">
        <v>5</v>
      </c>
      <c r="U190">
        <v>1.67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  <c r="AB190">
        <v>0</v>
      </c>
      <c r="AC190">
        <v>0</v>
      </c>
      <c r="AD190">
        <v>0</v>
      </c>
      <c r="AE190">
        <v>0</v>
      </c>
      <c r="AF190">
        <v>0</v>
      </c>
      <c r="AG190">
        <v>0</v>
      </c>
      <c r="AH190">
        <v>0</v>
      </c>
      <c r="AI190">
        <v>0</v>
      </c>
      <c r="AJ190">
        <v>0</v>
      </c>
      <c r="AK190">
        <v>0</v>
      </c>
      <c r="AL190">
        <v>0</v>
      </c>
      <c r="AM190">
        <v>0</v>
      </c>
      <c r="AN190">
        <v>0</v>
      </c>
      <c r="AO190">
        <v>0</v>
      </c>
      <c r="AP190">
        <v>0</v>
      </c>
      <c r="AQ190">
        <v>0</v>
      </c>
      <c r="AR190">
        <v>0</v>
      </c>
      <c r="AS190">
        <v>0</v>
      </c>
      <c r="AT190">
        <v>0</v>
      </c>
      <c r="AU190">
        <v>0</v>
      </c>
      <c r="AV190">
        <v>0</v>
      </c>
      <c r="AW190">
        <v>0</v>
      </c>
      <c r="AX190">
        <v>0</v>
      </c>
      <c r="AY190">
        <v>0</v>
      </c>
      <c r="AZ190">
        <v>0</v>
      </c>
      <c r="BA190">
        <v>0</v>
      </c>
      <c r="BB190">
        <v>0</v>
      </c>
      <c r="BC190">
        <v>0</v>
      </c>
      <c r="BD190">
        <v>0</v>
      </c>
      <c r="BE190">
        <v>0</v>
      </c>
      <c r="BF190">
        <v>0</v>
      </c>
      <c r="BG190">
        <v>0</v>
      </c>
      <c r="BH190">
        <v>0</v>
      </c>
      <c r="BI190">
        <v>0</v>
      </c>
      <c r="BJ190">
        <v>0</v>
      </c>
      <c r="BK190">
        <v>0</v>
      </c>
      <c r="BL190">
        <v>0</v>
      </c>
      <c r="BM190">
        <v>0</v>
      </c>
      <c r="BN190">
        <v>0</v>
      </c>
      <c r="BO190">
        <v>0</v>
      </c>
      <c r="BP190">
        <v>0</v>
      </c>
      <c r="BQ190">
        <v>1</v>
      </c>
      <c r="BR190">
        <v>1</v>
      </c>
      <c r="BS190">
        <v>3</v>
      </c>
    </row>
    <row r="191" spans="1:71" x14ac:dyDescent="0.3">
      <c r="A191" t="s">
        <v>867</v>
      </c>
      <c r="B191" t="s">
        <v>868</v>
      </c>
      <c r="C191" t="s">
        <v>29</v>
      </c>
      <c r="D191" t="s">
        <v>29</v>
      </c>
      <c r="E191" t="s">
        <v>29</v>
      </c>
      <c r="F191" t="s">
        <v>869</v>
      </c>
      <c r="G191">
        <v>2022</v>
      </c>
      <c r="H191">
        <v>2022</v>
      </c>
      <c r="I191">
        <v>19</v>
      </c>
      <c r="J191">
        <v>1</v>
      </c>
      <c r="K191" t="s">
        <v>29</v>
      </c>
      <c r="L191" t="s">
        <v>29</v>
      </c>
      <c r="M191" t="s">
        <v>29</v>
      </c>
      <c r="N191">
        <v>171</v>
      </c>
      <c r="O191">
        <v>192</v>
      </c>
      <c r="P191" t="s">
        <v>29</v>
      </c>
      <c r="Q191" t="s">
        <v>29</v>
      </c>
      <c r="R191" t="s">
        <v>29</v>
      </c>
      <c r="S191" t="s">
        <v>29</v>
      </c>
      <c r="T191">
        <v>5</v>
      </c>
      <c r="U191">
        <v>1.67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  <c r="AB191">
        <v>0</v>
      </c>
      <c r="AC191">
        <v>0</v>
      </c>
      <c r="AD191">
        <v>0</v>
      </c>
      <c r="AE191">
        <v>0</v>
      </c>
      <c r="AF191">
        <v>0</v>
      </c>
      <c r="AG191">
        <v>0</v>
      </c>
      <c r="AH191">
        <v>0</v>
      </c>
      <c r="AI191">
        <v>0</v>
      </c>
      <c r="AJ191">
        <v>0</v>
      </c>
      <c r="AK191">
        <v>0</v>
      </c>
      <c r="AL191">
        <v>0</v>
      </c>
      <c r="AM191">
        <v>0</v>
      </c>
      <c r="AN191">
        <v>0</v>
      </c>
      <c r="AO191">
        <v>0</v>
      </c>
      <c r="AP191">
        <v>0</v>
      </c>
      <c r="AQ191">
        <v>0</v>
      </c>
      <c r="AR191">
        <v>0</v>
      </c>
      <c r="AS191">
        <v>0</v>
      </c>
      <c r="AT191">
        <v>0</v>
      </c>
      <c r="AU191">
        <v>0</v>
      </c>
      <c r="AV191">
        <v>0</v>
      </c>
      <c r="AW191">
        <v>0</v>
      </c>
      <c r="AX191">
        <v>0</v>
      </c>
      <c r="AY191">
        <v>0</v>
      </c>
      <c r="AZ191">
        <v>0</v>
      </c>
      <c r="BA191">
        <v>0</v>
      </c>
      <c r="BB191">
        <v>0</v>
      </c>
      <c r="BC191">
        <v>0</v>
      </c>
      <c r="BD191">
        <v>0</v>
      </c>
      <c r="BE191">
        <v>0</v>
      </c>
      <c r="BF191">
        <v>0</v>
      </c>
      <c r="BG191">
        <v>0</v>
      </c>
      <c r="BH191">
        <v>0</v>
      </c>
      <c r="BI191">
        <v>0</v>
      </c>
      <c r="BJ191">
        <v>0</v>
      </c>
      <c r="BK191">
        <v>0</v>
      </c>
      <c r="BL191">
        <v>0</v>
      </c>
      <c r="BM191">
        <v>0</v>
      </c>
      <c r="BN191">
        <v>0</v>
      </c>
      <c r="BO191">
        <v>0</v>
      </c>
      <c r="BP191">
        <v>0</v>
      </c>
      <c r="BQ191">
        <v>1</v>
      </c>
      <c r="BR191">
        <v>3</v>
      </c>
      <c r="BS191">
        <v>1</v>
      </c>
    </row>
    <row r="192" spans="1:71" x14ac:dyDescent="0.3">
      <c r="A192" t="s">
        <v>870</v>
      </c>
      <c r="B192" t="s">
        <v>871</v>
      </c>
      <c r="C192" t="s">
        <v>29</v>
      </c>
      <c r="D192" t="s">
        <v>29</v>
      </c>
      <c r="E192" t="s">
        <v>29</v>
      </c>
      <c r="F192" t="s">
        <v>872</v>
      </c>
      <c r="G192">
        <v>2022</v>
      </c>
      <c r="H192">
        <v>2022</v>
      </c>
      <c r="I192">
        <v>16</v>
      </c>
      <c r="J192" t="s">
        <v>29</v>
      </c>
      <c r="K192" t="s">
        <v>29</v>
      </c>
      <c r="L192" t="s">
        <v>29</v>
      </c>
      <c r="M192" t="s">
        <v>29</v>
      </c>
      <c r="N192">
        <v>2781</v>
      </c>
      <c r="O192">
        <v>2800</v>
      </c>
      <c r="P192" t="s">
        <v>29</v>
      </c>
      <c r="Q192" t="s">
        <v>29</v>
      </c>
      <c r="R192" t="s">
        <v>29</v>
      </c>
      <c r="S192" t="s">
        <v>29</v>
      </c>
      <c r="T192">
        <v>5</v>
      </c>
      <c r="U192">
        <v>1.67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  <c r="AB192">
        <v>0</v>
      </c>
      <c r="AC192">
        <v>0</v>
      </c>
      <c r="AD192">
        <v>0</v>
      </c>
      <c r="AE192">
        <v>0</v>
      </c>
      <c r="AF192">
        <v>0</v>
      </c>
      <c r="AG192">
        <v>0</v>
      </c>
      <c r="AH192">
        <v>0</v>
      </c>
      <c r="AI192">
        <v>0</v>
      </c>
      <c r="AJ192">
        <v>0</v>
      </c>
      <c r="AK192">
        <v>0</v>
      </c>
      <c r="AL192">
        <v>0</v>
      </c>
      <c r="AM192">
        <v>0</v>
      </c>
      <c r="AN192">
        <v>0</v>
      </c>
      <c r="AO192">
        <v>0</v>
      </c>
      <c r="AP192">
        <v>0</v>
      </c>
      <c r="AQ192">
        <v>0</v>
      </c>
      <c r="AR192">
        <v>0</v>
      </c>
      <c r="AS192">
        <v>0</v>
      </c>
      <c r="AT192">
        <v>0</v>
      </c>
      <c r="AU192">
        <v>0</v>
      </c>
      <c r="AV192">
        <v>0</v>
      </c>
      <c r="AW192">
        <v>0</v>
      </c>
      <c r="AX192">
        <v>0</v>
      </c>
      <c r="AY192">
        <v>0</v>
      </c>
      <c r="AZ192">
        <v>0</v>
      </c>
      <c r="BA192">
        <v>0</v>
      </c>
      <c r="BB192">
        <v>0</v>
      </c>
      <c r="BC192">
        <v>0</v>
      </c>
      <c r="BD192">
        <v>0</v>
      </c>
      <c r="BE192">
        <v>0</v>
      </c>
      <c r="BF192">
        <v>0</v>
      </c>
      <c r="BG192">
        <v>0</v>
      </c>
      <c r="BH192">
        <v>0</v>
      </c>
      <c r="BI192">
        <v>0</v>
      </c>
      <c r="BJ192">
        <v>0</v>
      </c>
      <c r="BK192">
        <v>0</v>
      </c>
      <c r="BL192">
        <v>0</v>
      </c>
      <c r="BM192">
        <v>0</v>
      </c>
      <c r="BN192">
        <v>0</v>
      </c>
      <c r="BO192">
        <v>0</v>
      </c>
      <c r="BP192">
        <v>0</v>
      </c>
      <c r="BQ192">
        <v>0</v>
      </c>
      <c r="BR192">
        <v>2</v>
      </c>
      <c r="BS192">
        <v>3</v>
      </c>
    </row>
    <row r="193" spans="1:71" x14ac:dyDescent="0.3">
      <c r="A193" t="s">
        <v>873</v>
      </c>
      <c r="B193" t="s">
        <v>874</v>
      </c>
      <c r="C193" t="s">
        <v>29</v>
      </c>
      <c r="D193" t="s">
        <v>29</v>
      </c>
      <c r="E193" t="s">
        <v>29</v>
      </c>
      <c r="F193" t="s">
        <v>869</v>
      </c>
      <c r="G193">
        <v>2022</v>
      </c>
      <c r="H193">
        <v>2022</v>
      </c>
      <c r="I193">
        <v>19</v>
      </c>
      <c r="J193">
        <v>8</v>
      </c>
      <c r="K193" t="s">
        <v>29</v>
      </c>
      <c r="L193" t="s">
        <v>29</v>
      </c>
      <c r="M193" t="s">
        <v>29</v>
      </c>
      <c r="N193">
        <v>49</v>
      </c>
      <c r="O193">
        <v>68</v>
      </c>
      <c r="P193" t="s">
        <v>29</v>
      </c>
      <c r="Q193" t="s">
        <v>875</v>
      </c>
      <c r="R193" t="s">
        <v>29</v>
      </c>
      <c r="S193" t="s">
        <v>29</v>
      </c>
      <c r="T193">
        <v>5</v>
      </c>
      <c r="U193">
        <v>1.67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  <c r="AB193">
        <v>0</v>
      </c>
      <c r="AC193">
        <v>0</v>
      </c>
      <c r="AD193">
        <v>0</v>
      </c>
      <c r="AE193">
        <v>0</v>
      </c>
      <c r="AF193">
        <v>0</v>
      </c>
      <c r="AG193">
        <v>0</v>
      </c>
      <c r="AH193">
        <v>0</v>
      </c>
      <c r="AI193">
        <v>0</v>
      </c>
      <c r="AJ193">
        <v>0</v>
      </c>
      <c r="AK193">
        <v>0</v>
      </c>
      <c r="AL193">
        <v>0</v>
      </c>
      <c r="AM193">
        <v>0</v>
      </c>
      <c r="AN193">
        <v>0</v>
      </c>
      <c r="AO193">
        <v>0</v>
      </c>
      <c r="AP193">
        <v>0</v>
      </c>
      <c r="AQ193">
        <v>0</v>
      </c>
      <c r="AR193">
        <v>0</v>
      </c>
      <c r="AS193">
        <v>0</v>
      </c>
      <c r="AT193">
        <v>0</v>
      </c>
      <c r="AU193">
        <v>0</v>
      </c>
      <c r="AV193">
        <v>0</v>
      </c>
      <c r="AW193">
        <v>0</v>
      </c>
      <c r="AX193">
        <v>0</v>
      </c>
      <c r="AY193">
        <v>0</v>
      </c>
      <c r="AZ193">
        <v>0</v>
      </c>
      <c r="BA193">
        <v>0</v>
      </c>
      <c r="BB193">
        <v>0</v>
      </c>
      <c r="BC193">
        <v>0</v>
      </c>
      <c r="BD193">
        <v>0</v>
      </c>
      <c r="BE193">
        <v>0</v>
      </c>
      <c r="BF193">
        <v>0</v>
      </c>
      <c r="BG193">
        <v>0</v>
      </c>
      <c r="BH193">
        <v>0</v>
      </c>
      <c r="BI193">
        <v>0</v>
      </c>
      <c r="BJ193">
        <v>0</v>
      </c>
      <c r="BK193">
        <v>0</v>
      </c>
      <c r="BL193">
        <v>0</v>
      </c>
      <c r="BM193">
        <v>0</v>
      </c>
      <c r="BN193">
        <v>0</v>
      </c>
      <c r="BO193">
        <v>0</v>
      </c>
      <c r="BP193">
        <v>0</v>
      </c>
      <c r="BQ193">
        <v>0</v>
      </c>
      <c r="BR193">
        <v>2</v>
      </c>
      <c r="BS193">
        <v>3</v>
      </c>
    </row>
    <row r="194" spans="1:71" x14ac:dyDescent="0.3">
      <c r="A194" t="s">
        <v>876</v>
      </c>
      <c r="B194" t="s">
        <v>877</v>
      </c>
      <c r="C194" t="s">
        <v>29</v>
      </c>
      <c r="D194" t="s">
        <v>29</v>
      </c>
      <c r="E194" t="s">
        <v>29</v>
      </c>
      <c r="F194" t="s">
        <v>878</v>
      </c>
      <c r="G194" t="s">
        <v>879</v>
      </c>
      <c r="H194">
        <v>2022</v>
      </c>
      <c r="I194">
        <v>149</v>
      </c>
      <c r="J194" t="s">
        <v>29</v>
      </c>
      <c r="K194" t="s">
        <v>29</v>
      </c>
      <c r="L194" t="s">
        <v>29</v>
      </c>
      <c r="M194" t="s">
        <v>29</v>
      </c>
      <c r="N194" t="s">
        <v>29</v>
      </c>
      <c r="O194" t="s">
        <v>29</v>
      </c>
      <c r="P194">
        <v>105698</v>
      </c>
      <c r="Q194" t="s">
        <v>880</v>
      </c>
      <c r="R194" t="s">
        <v>29</v>
      </c>
      <c r="S194" t="s">
        <v>29</v>
      </c>
      <c r="T194">
        <v>5</v>
      </c>
      <c r="U194">
        <v>1.25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  <c r="AB194">
        <v>0</v>
      </c>
      <c r="AC194">
        <v>0</v>
      </c>
      <c r="AD194">
        <v>0</v>
      </c>
      <c r="AE194">
        <v>0</v>
      </c>
      <c r="AF194">
        <v>0</v>
      </c>
      <c r="AG194">
        <v>0</v>
      </c>
      <c r="AH194">
        <v>0</v>
      </c>
      <c r="AI194">
        <v>0</v>
      </c>
      <c r="AJ194">
        <v>0</v>
      </c>
      <c r="AK194">
        <v>0</v>
      </c>
      <c r="AL194">
        <v>0</v>
      </c>
      <c r="AM194">
        <v>0</v>
      </c>
      <c r="AN194">
        <v>0</v>
      </c>
      <c r="AO194">
        <v>0</v>
      </c>
      <c r="AP194">
        <v>0</v>
      </c>
      <c r="AQ194">
        <v>0</v>
      </c>
      <c r="AR194">
        <v>0</v>
      </c>
      <c r="AS194">
        <v>0</v>
      </c>
      <c r="AT194">
        <v>0</v>
      </c>
      <c r="AU194">
        <v>0</v>
      </c>
      <c r="AV194">
        <v>0</v>
      </c>
      <c r="AW194">
        <v>0</v>
      </c>
      <c r="AX194">
        <v>0</v>
      </c>
      <c r="AY194">
        <v>0</v>
      </c>
      <c r="AZ194">
        <v>0</v>
      </c>
      <c r="BA194">
        <v>0</v>
      </c>
      <c r="BB194">
        <v>0</v>
      </c>
      <c r="BC194">
        <v>0</v>
      </c>
      <c r="BD194">
        <v>0</v>
      </c>
      <c r="BE194">
        <v>0</v>
      </c>
      <c r="BF194">
        <v>0</v>
      </c>
      <c r="BG194">
        <v>0</v>
      </c>
      <c r="BH194">
        <v>0</v>
      </c>
      <c r="BI194">
        <v>0</v>
      </c>
      <c r="BJ194">
        <v>0</v>
      </c>
      <c r="BK194">
        <v>0</v>
      </c>
      <c r="BL194">
        <v>0</v>
      </c>
      <c r="BM194">
        <v>0</v>
      </c>
      <c r="BN194">
        <v>0</v>
      </c>
      <c r="BO194">
        <v>0</v>
      </c>
      <c r="BP194">
        <v>0</v>
      </c>
      <c r="BQ194">
        <v>0</v>
      </c>
      <c r="BR194">
        <v>3</v>
      </c>
      <c r="BS194">
        <v>2</v>
      </c>
    </row>
    <row r="195" spans="1:71" x14ac:dyDescent="0.3">
      <c r="A195" t="s">
        <v>881</v>
      </c>
      <c r="B195" t="s">
        <v>882</v>
      </c>
      <c r="C195" t="s">
        <v>29</v>
      </c>
      <c r="D195" t="s">
        <v>29</v>
      </c>
      <c r="E195" t="s">
        <v>29</v>
      </c>
      <c r="F195" t="s">
        <v>883</v>
      </c>
      <c r="G195" t="s">
        <v>884</v>
      </c>
      <c r="H195">
        <v>2021</v>
      </c>
      <c r="I195">
        <v>72</v>
      </c>
      <c r="J195" t="s">
        <v>29</v>
      </c>
      <c r="K195" t="s">
        <v>29</v>
      </c>
      <c r="L195" t="s">
        <v>29</v>
      </c>
      <c r="M195" t="s">
        <v>29</v>
      </c>
      <c r="N195">
        <v>18</v>
      </c>
      <c r="O195">
        <v>40</v>
      </c>
      <c r="P195" t="s">
        <v>29</v>
      </c>
      <c r="Q195" t="s">
        <v>885</v>
      </c>
      <c r="R195" t="s">
        <v>29</v>
      </c>
      <c r="S195" t="s">
        <v>29</v>
      </c>
      <c r="T195">
        <v>5</v>
      </c>
      <c r="U195">
        <v>1.25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  <c r="AB195">
        <v>0</v>
      </c>
      <c r="AC195">
        <v>0</v>
      </c>
      <c r="AD195">
        <v>0</v>
      </c>
      <c r="AE195">
        <v>0</v>
      </c>
      <c r="AF195">
        <v>0</v>
      </c>
      <c r="AG195">
        <v>0</v>
      </c>
      <c r="AH195">
        <v>0</v>
      </c>
      <c r="AI195">
        <v>0</v>
      </c>
      <c r="AJ195">
        <v>0</v>
      </c>
      <c r="AK195">
        <v>0</v>
      </c>
      <c r="AL195">
        <v>0</v>
      </c>
      <c r="AM195">
        <v>0</v>
      </c>
      <c r="AN195">
        <v>0</v>
      </c>
      <c r="AO195">
        <v>0</v>
      </c>
      <c r="AP195">
        <v>0</v>
      </c>
      <c r="AQ195">
        <v>0</v>
      </c>
      <c r="AR195">
        <v>0</v>
      </c>
      <c r="AS195">
        <v>0</v>
      </c>
      <c r="AT195">
        <v>0</v>
      </c>
      <c r="AU195">
        <v>0</v>
      </c>
      <c r="AV195">
        <v>0</v>
      </c>
      <c r="AW195">
        <v>0</v>
      </c>
      <c r="AX195">
        <v>0</v>
      </c>
      <c r="AY195">
        <v>0</v>
      </c>
      <c r="AZ195">
        <v>0</v>
      </c>
      <c r="BA195">
        <v>0</v>
      </c>
      <c r="BB195">
        <v>0</v>
      </c>
      <c r="BC195">
        <v>0</v>
      </c>
      <c r="BD195">
        <v>0</v>
      </c>
      <c r="BE195">
        <v>0</v>
      </c>
      <c r="BF195">
        <v>0</v>
      </c>
      <c r="BG195">
        <v>0</v>
      </c>
      <c r="BH195">
        <v>0</v>
      </c>
      <c r="BI195">
        <v>0</v>
      </c>
      <c r="BJ195">
        <v>0</v>
      </c>
      <c r="BK195">
        <v>0</v>
      </c>
      <c r="BL195">
        <v>0</v>
      </c>
      <c r="BM195">
        <v>0</v>
      </c>
      <c r="BN195">
        <v>0</v>
      </c>
      <c r="BO195">
        <v>0</v>
      </c>
      <c r="BP195">
        <v>0</v>
      </c>
      <c r="BQ195">
        <v>2</v>
      </c>
      <c r="BR195">
        <v>1</v>
      </c>
      <c r="BS195">
        <v>2</v>
      </c>
    </row>
    <row r="196" spans="1:71" x14ac:dyDescent="0.3">
      <c r="A196" t="s">
        <v>886</v>
      </c>
      <c r="B196" t="s">
        <v>887</v>
      </c>
      <c r="C196" t="s">
        <v>29</v>
      </c>
      <c r="D196" t="s">
        <v>29</v>
      </c>
      <c r="E196" t="s">
        <v>29</v>
      </c>
      <c r="F196" t="s">
        <v>888</v>
      </c>
      <c r="G196" t="s">
        <v>237</v>
      </c>
      <c r="H196">
        <v>2021</v>
      </c>
      <c r="I196">
        <v>75</v>
      </c>
      <c r="J196">
        <v>3</v>
      </c>
      <c r="K196" t="s">
        <v>29</v>
      </c>
      <c r="L196" t="s">
        <v>29</v>
      </c>
      <c r="M196" t="s">
        <v>32</v>
      </c>
      <c r="N196">
        <v>453</v>
      </c>
      <c r="O196">
        <v>467</v>
      </c>
      <c r="P196" t="s">
        <v>29</v>
      </c>
      <c r="Q196" t="s">
        <v>889</v>
      </c>
      <c r="R196" t="s">
        <v>29</v>
      </c>
      <c r="S196" t="s">
        <v>29</v>
      </c>
      <c r="T196">
        <v>5</v>
      </c>
      <c r="U196">
        <v>1.25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  <c r="AB196">
        <v>0</v>
      </c>
      <c r="AC196">
        <v>0</v>
      </c>
      <c r="AD196">
        <v>0</v>
      </c>
      <c r="AE196">
        <v>0</v>
      </c>
      <c r="AF196">
        <v>0</v>
      </c>
      <c r="AG196">
        <v>0</v>
      </c>
      <c r="AH196">
        <v>0</v>
      </c>
      <c r="AI196">
        <v>0</v>
      </c>
      <c r="AJ196">
        <v>0</v>
      </c>
      <c r="AK196">
        <v>0</v>
      </c>
      <c r="AL196">
        <v>0</v>
      </c>
      <c r="AM196">
        <v>0</v>
      </c>
      <c r="AN196">
        <v>0</v>
      </c>
      <c r="AO196">
        <v>0</v>
      </c>
      <c r="AP196">
        <v>0</v>
      </c>
      <c r="AQ196">
        <v>0</v>
      </c>
      <c r="AR196">
        <v>0</v>
      </c>
      <c r="AS196">
        <v>0</v>
      </c>
      <c r="AT196">
        <v>0</v>
      </c>
      <c r="AU196">
        <v>0</v>
      </c>
      <c r="AV196">
        <v>0</v>
      </c>
      <c r="AW196">
        <v>0</v>
      </c>
      <c r="AX196">
        <v>0</v>
      </c>
      <c r="AY196">
        <v>0</v>
      </c>
      <c r="AZ196">
        <v>0</v>
      </c>
      <c r="BA196">
        <v>0</v>
      </c>
      <c r="BB196">
        <v>0</v>
      </c>
      <c r="BC196">
        <v>0</v>
      </c>
      <c r="BD196">
        <v>0</v>
      </c>
      <c r="BE196">
        <v>0</v>
      </c>
      <c r="BF196">
        <v>0</v>
      </c>
      <c r="BG196">
        <v>0</v>
      </c>
      <c r="BH196">
        <v>0</v>
      </c>
      <c r="BI196">
        <v>0</v>
      </c>
      <c r="BJ196">
        <v>0</v>
      </c>
      <c r="BK196">
        <v>0</v>
      </c>
      <c r="BL196">
        <v>0</v>
      </c>
      <c r="BM196">
        <v>0</v>
      </c>
      <c r="BN196">
        <v>0</v>
      </c>
      <c r="BO196">
        <v>0</v>
      </c>
      <c r="BP196">
        <v>0</v>
      </c>
      <c r="BQ196">
        <v>0</v>
      </c>
      <c r="BR196">
        <v>4</v>
      </c>
      <c r="BS196">
        <v>1</v>
      </c>
    </row>
    <row r="197" spans="1:71" x14ac:dyDescent="0.3">
      <c r="A197" t="s">
        <v>890</v>
      </c>
      <c r="B197" t="s">
        <v>891</v>
      </c>
      <c r="C197" t="s">
        <v>29</v>
      </c>
      <c r="D197" t="s">
        <v>29</v>
      </c>
      <c r="E197" t="s">
        <v>29</v>
      </c>
      <c r="F197" t="s">
        <v>892</v>
      </c>
      <c r="G197" t="s">
        <v>893</v>
      </c>
      <c r="H197">
        <v>2021</v>
      </c>
      <c r="I197">
        <v>2021</v>
      </c>
      <c r="J197" t="s">
        <v>29</v>
      </c>
      <c r="K197" t="s">
        <v>29</v>
      </c>
      <c r="L197" t="s">
        <v>29</v>
      </c>
      <c r="M197" t="s">
        <v>29</v>
      </c>
      <c r="N197" t="s">
        <v>29</v>
      </c>
      <c r="O197" t="s">
        <v>29</v>
      </c>
      <c r="P197">
        <v>6664758</v>
      </c>
      <c r="Q197" t="s">
        <v>894</v>
      </c>
      <c r="R197" t="s">
        <v>29</v>
      </c>
      <c r="S197" t="s">
        <v>29</v>
      </c>
      <c r="T197">
        <v>5</v>
      </c>
      <c r="U197">
        <v>1.25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  <c r="AB197">
        <v>0</v>
      </c>
      <c r="AC197">
        <v>0</v>
      </c>
      <c r="AD197">
        <v>0</v>
      </c>
      <c r="AE197">
        <v>0</v>
      </c>
      <c r="AF197">
        <v>0</v>
      </c>
      <c r="AG197">
        <v>0</v>
      </c>
      <c r="AH197">
        <v>0</v>
      </c>
      <c r="AI197">
        <v>0</v>
      </c>
      <c r="AJ197">
        <v>0</v>
      </c>
      <c r="AK197">
        <v>0</v>
      </c>
      <c r="AL197">
        <v>0</v>
      </c>
      <c r="AM197">
        <v>0</v>
      </c>
      <c r="AN197">
        <v>0</v>
      </c>
      <c r="AO197">
        <v>0</v>
      </c>
      <c r="AP197">
        <v>0</v>
      </c>
      <c r="AQ197">
        <v>0</v>
      </c>
      <c r="AR197">
        <v>0</v>
      </c>
      <c r="AS197">
        <v>0</v>
      </c>
      <c r="AT197">
        <v>0</v>
      </c>
      <c r="AU197">
        <v>0</v>
      </c>
      <c r="AV197">
        <v>0</v>
      </c>
      <c r="AW197">
        <v>0</v>
      </c>
      <c r="AX197">
        <v>0</v>
      </c>
      <c r="AY197">
        <v>0</v>
      </c>
      <c r="AZ197">
        <v>0</v>
      </c>
      <c r="BA197">
        <v>0</v>
      </c>
      <c r="BB197">
        <v>0</v>
      </c>
      <c r="BC197">
        <v>0</v>
      </c>
      <c r="BD197">
        <v>0</v>
      </c>
      <c r="BE197">
        <v>0</v>
      </c>
      <c r="BF197">
        <v>0</v>
      </c>
      <c r="BG197">
        <v>0</v>
      </c>
      <c r="BH197">
        <v>0</v>
      </c>
      <c r="BI197">
        <v>0</v>
      </c>
      <c r="BJ197">
        <v>0</v>
      </c>
      <c r="BK197">
        <v>0</v>
      </c>
      <c r="BL197">
        <v>0</v>
      </c>
      <c r="BM197">
        <v>0</v>
      </c>
      <c r="BN197">
        <v>0</v>
      </c>
      <c r="BO197">
        <v>0</v>
      </c>
      <c r="BP197">
        <v>0</v>
      </c>
      <c r="BQ197">
        <v>3</v>
      </c>
      <c r="BR197">
        <v>1</v>
      </c>
      <c r="BS197">
        <v>1</v>
      </c>
    </row>
    <row r="198" spans="1:71" x14ac:dyDescent="0.3">
      <c r="A198" t="s">
        <v>895</v>
      </c>
      <c r="B198" t="s">
        <v>896</v>
      </c>
      <c r="C198" t="s">
        <v>29</v>
      </c>
      <c r="D198" t="s">
        <v>29</v>
      </c>
      <c r="E198" t="s">
        <v>29</v>
      </c>
      <c r="F198" t="s">
        <v>897</v>
      </c>
      <c r="G198" t="s">
        <v>898</v>
      </c>
      <c r="H198">
        <v>2019</v>
      </c>
      <c r="I198">
        <v>40</v>
      </c>
      <c r="J198">
        <v>7</v>
      </c>
      <c r="K198" t="s">
        <v>29</v>
      </c>
      <c r="L198" t="s">
        <v>29</v>
      </c>
      <c r="M198" t="s">
        <v>29</v>
      </c>
      <c r="N198">
        <v>1273</v>
      </c>
      <c r="O198">
        <v>1287</v>
      </c>
      <c r="P198" t="s">
        <v>29</v>
      </c>
      <c r="Q198" t="s">
        <v>899</v>
      </c>
      <c r="R198" t="s">
        <v>29</v>
      </c>
      <c r="S198" t="s">
        <v>29</v>
      </c>
      <c r="T198">
        <v>5</v>
      </c>
      <c r="U198">
        <v>0.83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  <c r="AB198">
        <v>0</v>
      </c>
      <c r="AC198">
        <v>0</v>
      </c>
      <c r="AD198">
        <v>0</v>
      </c>
      <c r="AE198">
        <v>0</v>
      </c>
      <c r="AF198">
        <v>0</v>
      </c>
      <c r="AG198">
        <v>0</v>
      </c>
      <c r="AH198">
        <v>0</v>
      </c>
      <c r="AI198">
        <v>0</v>
      </c>
      <c r="AJ198">
        <v>0</v>
      </c>
      <c r="AK198">
        <v>0</v>
      </c>
      <c r="AL198">
        <v>0</v>
      </c>
      <c r="AM198">
        <v>0</v>
      </c>
      <c r="AN198">
        <v>0</v>
      </c>
      <c r="AO198">
        <v>0</v>
      </c>
      <c r="AP198">
        <v>0</v>
      </c>
      <c r="AQ198">
        <v>0</v>
      </c>
      <c r="AR198">
        <v>0</v>
      </c>
      <c r="AS198">
        <v>0</v>
      </c>
      <c r="AT198">
        <v>0</v>
      </c>
      <c r="AU198">
        <v>0</v>
      </c>
      <c r="AV198">
        <v>0</v>
      </c>
      <c r="AW198">
        <v>0</v>
      </c>
      <c r="AX198">
        <v>0</v>
      </c>
      <c r="AY198">
        <v>0</v>
      </c>
      <c r="AZ198">
        <v>0</v>
      </c>
      <c r="BA198">
        <v>0</v>
      </c>
      <c r="BB198">
        <v>0</v>
      </c>
      <c r="BC198">
        <v>0</v>
      </c>
      <c r="BD198">
        <v>0</v>
      </c>
      <c r="BE198">
        <v>0</v>
      </c>
      <c r="BF198">
        <v>0</v>
      </c>
      <c r="BG198">
        <v>0</v>
      </c>
      <c r="BH198">
        <v>0</v>
      </c>
      <c r="BI198">
        <v>0</v>
      </c>
      <c r="BJ198">
        <v>0</v>
      </c>
      <c r="BK198">
        <v>0</v>
      </c>
      <c r="BL198">
        <v>0</v>
      </c>
      <c r="BM198">
        <v>0</v>
      </c>
      <c r="BN198">
        <v>0</v>
      </c>
      <c r="BO198">
        <v>1</v>
      </c>
      <c r="BP198">
        <v>0</v>
      </c>
      <c r="BQ198">
        <v>2</v>
      </c>
      <c r="BR198">
        <v>1</v>
      </c>
      <c r="BS198">
        <v>1</v>
      </c>
    </row>
    <row r="199" spans="1:71" x14ac:dyDescent="0.3">
      <c r="A199" t="s">
        <v>900</v>
      </c>
      <c r="B199" t="s">
        <v>901</v>
      </c>
      <c r="C199" t="s">
        <v>29</v>
      </c>
      <c r="D199" t="s">
        <v>29</v>
      </c>
      <c r="E199" t="s">
        <v>29</v>
      </c>
      <c r="F199" t="s">
        <v>152</v>
      </c>
      <c r="G199" t="s">
        <v>902</v>
      </c>
      <c r="H199">
        <v>2019</v>
      </c>
      <c r="I199">
        <v>99</v>
      </c>
      <c r="J199" t="s">
        <v>29</v>
      </c>
      <c r="K199" t="s">
        <v>29</v>
      </c>
      <c r="L199" t="s">
        <v>29</v>
      </c>
      <c r="M199" t="s">
        <v>29</v>
      </c>
      <c r="N199">
        <v>381</v>
      </c>
      <c r="O199">
        <v>395</v>
      </c>
      <c r="P199" t="s">
        <v>29</v>
      </c>
      <c r="Q199" t="s">
        <v>903</v>
      </c>
      <c r="R199" t="s">
        <v>29</v>
      </c>
      <c r="S199" t="s">
        <v>29</v>
      </c>
      <c r="T199">
        <v>5</v>
      </c>
      <c r="U199">
        <v>0.83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  <c r="AB199">
        <v>0</v>
      </c>
      <c r="AC199">
        <v>0</v>
      </c>
      <c r="AD199">
        <v>0</v>
      </c>
      <c r="AE199">
        <v>0</v>
      </c>
      <c r="AF199">
        <v>0</v>
      </c>
      <c r="AG199">
        <v>0</v>
      </c>
      <c r="AH199">
        <v>0</v>
      </c>
      <c r="AI199">
        <v>0</v>
      </c>
      <c r="AJ199">
        <v>0</v>
      </c>
      <c r="AK199">
        <v>0</v>
      </c>
      <c r="AL199">
        <v>0</v>
      </c>
      <c r="AM199">
        <v>0</v>
      </c>
      <c r="AN199">
        <v>0</v>
      </c>
      <c r="AO199">
        <v>0</v>
      </c>
      <c r="AP199">
        <v>0</v>
      </c>
      <c r="AQ199">
        <v>0</v>
      </c>
      <c r="AR199">
        <v>0</v>
      </c>
      <c r="AS199">
        <v>0</v>
      </c>
      <c r="AT199">
        <v>0</v>
      </c>
      <c r="AU199">
        <v>0</v>
      </c>
      <c r="AV199">
        <v>0</v>
      </c>
      <c r="AW199">
        <v>0</v>
      </c>
      <c r="AX199">
        <v>0</v>
      </c>
      <c r="AY199">
        <v>0</v>
      </c>
      <c r="AZ199">
        <v>0</v>
      </c>
      <c r="BA199">
        <v>0</v>
      </c>
      <c r="BB199">
        <v>0</v>
      </c>
      <c r="BC199">
        <v>0</v>
      </c>
      <c r="BD199">
        <v>0</v>
      </c>
      <c r="BE199">
        <v>0</v>
      </c>
      <c r="BF199">
        <v>0</v>
      </c>
      <c r="BG199">
        <v>0</v>
      </c>
      <c r="BH199">
        <v>0</v>
      </c>
      <c r="BI199">
        <v>0</v>
      </c>
      <c r="BJ199">
        <v>0</v>
      </c>
      <c r="BK199">
        <v>0</v>
      </c>
      <c r="BL199">
        <v>0</v>
      </c>
      <c r="BM199">
        <v>0</v>
      </c>
      <c r="BN199">
        <v>0</v>
      </c>
      <c r="BO199">
        <v>0</v>
      </c>
      <c r="BP199">
        <v>1</v>
      </c>
      <c r="BQ199">
        <v>2</v>
      </c>
      <c r="BR199">
        <v>2</v>
      </c>
      <c r="BS199">
        <v>0</v>
      </c>
    </row>
    <row r="200" spans="1:71" x14ac:dyDescent="0.3">
      <c r="A200" t="s">
        <v>904</v>
      </c>
      <c r="B200" t="s">
        <v>905</v>
      </c>
      <c r="C200" t="s">
        <v>29</v>
      </c>
      <c r="D200" t="s">
        <v>29</v>
      </c>
      <c r="E200" t="s">
        <v>29</v>
      </c>
      <c r="F200" t="s">
        <v>906</v>
      </c>
      <c r="G200">
        <v>2018</v>
      </c>
      <c r="H200">
        <v>2018</v>
      </c>
      <c r="I200">
        <v>8</v>
      </c>
      <c r="J200">
        <v>4</v>
      </c>
      <c r="K200" t="s">
        <v>29</v>
      </c>
      <c r="L200" t="s">
        <v>29</v>
      </c>
      <c r="M200" t="s">
        <v>29</v>
      </c>
      <c r="N200">
        <v>32</v>
      </c>
      <c r="O200">
        <v>42</v>
      </c>
      <c r="P200" t="s">
        <v>29</v>
      </c>
      <c r="Q200" t="s">
        <v>907</v>
      </c>
      <c r="R200" t="s">
        <v>29</v>
      </c>
      <c r="S200" t="s">
        <v>29</v>
      </c>
      <c r="T200">
        <v>5</v>
      </c>
      <c r="U200">
        <v>0.71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  <c r="AB200">
        <v>0</v>
      </c>
      <c r="AC200">
        <v>0</v>
      </c>
      <c r="AD200">
        <v>0</v>
      </c>
      <c r="AE200">
        <v>0</v>
      </c>
      <c r="AF200">
        <v>0</v>
      </c>
      <c r="AG200">
        <v>0</v>
      </c>
      <c r="AH200">
        <v>0</v>
      </c>
      <c r="AI200">
        <v>0</v>
      </c>
      <c r="AJ200">
        <v>0</v>
      </c>
      <c r="AK200">
        <v>0</v>
      </c>
      <c r="AL200">
        <v>0</v>
      </c>
      <c r="AM200">
        <v>0</v>
      </c>
      <c r="AN200">
        <v>0</v>
      </c>
      <c r="AO200">
        <v>0</v>
      </c>
      <c r="AP200">
        <v>0</v>
      </c>
      <c r="AQ200">
        <v>0</v>
      </c>
      <c r="AR200">
        <v>0</v>
      </c>
      <c r="AS200">
        <v>0</v>
      </c>
      <c r="AT200">
        <v>0</v>
      </c>
      <c r="AU200">
        <v>0</v>
      </c>
      <c r="AV200">
        <v>0</v>
      </c>
      <c r="AW200">
        <v>0</v>
      </c>
      <c r="AX200">
        <v>0</v>
      </c>
      <c r="AY200">
        <v>0</v>
      </c>
      <c r="AZ200">
        <v>0</v>
      </c>
      <c r="BA200">
        <v>0</v>
      </c>
      <c r="BB200">
        <v>0</v>
      </c>
      <c r="BC200">
        <v>0</v>
      </c>
      <c r="BD200">
        <v>0</v>
      </c>
      <c r="BE200">
        <v>0</v>
      </c>
      <c r="BF200">
        <v>0</v>
      </c>
      <c r="BG200">
        <v>0</v>
      </c>
      <c r="BH200">
        <v>0</v>
      </c>
      <c r="BI200">
        <v>0</v>
      </c>
      <c r="BJ200">
        <v>0</v>
      </c>
      <c r="BK200">
        <v>0</v>
      </c>
      <c r="BL200">
        <v>0</v>
      </c>
      <c r="BM200">
        <v>0</v>
      </c>
      <c r="BN200">
        <v>1</v>
      </c>
      <c r="BO200">
        <v>1</v>
      </c>
      <c r="BP200">
        <v>1</v>
      </c>
      <c r="BQ200">
        <v>1</v>
      </c>
      <c r="BR200">
        <v>1</v>
      </c>
      <c r="BS200">
        <v>0</v>
      </c>
    </row>
    <row r="201" spans="1:71" x14ac:dyDescent="0.3">
      <c r="A201" t="s">
        <v>908</v>
      </c>
      <c r="B201" t="s">
        <v>909</v>
      </c>
      <c r="C201" t="s">
        <v>29</v>
      </c>
      <c r="D201" t="s">
        <v>29</v>
      </c>
      <c r="E201" t="s">
        <v>29</v>
      </c>
      <c r="F201" t="s">
        <v>157</v>
      </c>
      <c r="G201" t="s">
        <v>496</v>
      </c>
      <c r="H201">
        <v>2017</v>
      </c>
      <c r="I201">
        <v>31</v>
      </c>
      <c r="J201">
        <v>5</v>
      </c>
      <c r="K201" t="s">
        <v>29</v>
      </c>
      <c r="L201" t="s">
        <v>29</v>
      </c>
      <c r="M201" t="s">
        <v>29</v>
      </c>
      <c r="N201">
        <v>318</v>
      </c>
      <c r="O201">
        <v>327</v>
      </c>
      <c r="P201" t="s">
        <v>29</v>
      </c>
      <c r="Q201" t="s">
        <v>910</v>
      </c>
      <c r="R201" t="s">
        <v>29</v>
      </c>
      <c r="S201" t="s">
        <v>29</v>
      </c>
      <c r="T201">
        <v>5</v>
      </c>
      <c r="U201">
        <v>0.63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  <c r="AB201">
        <v>0</v>
      </c>
      <c r="AC201">
        <v>0</v>
      </c>
      <c r="AD201">
        <v>0</v>
      </c>
      <c r="AE201">
        <v>0</v>
      </c>
      <c r="AF201">
        <v>0</v>
      </c>
      <c r="AG201">
        <v>0</v>
      </c>
      <c r="AH201">
        <v>0</v>
      </c>
      <c r="AI201">
        <v>0</v>
      </c>
      <c r="AJ201">
        <v>0</v>
      </c>
      <c r="AK201">
        <v>0</v>
      </c>
      <c r="AL201">
        <v>0</v>
      </c>
      <c r="AM201">
        <v>0</v>
      </c>
      <c r="AN201">
        <v>0</v>
      </c>
      <c r="AO201">
        <v>0</v>
      </c>
      <c r="AP201">
        <v>0</v>
      </c>
      <c r="AQ201">
        <v>0</v>
      </c>
      <c r="AR201">
        <v>0</v>
      </c>
      <c r="AS201">
        <v>0</v>
      </c>
      <c r="AT201">
        <v>0</v>
      </c>
      <c r="AU201">
        <v>0</v>
      </c>
      <c r="AV201">
        <v>0</v>
      </c>
      <c r="AW201">
        <v>0</v>
      </c>
      <c r="AX201">
        <v>0</v>
      </c>
      <c r="AY201">
        <v>0</v>
      </c>
      <c r="AZ201">
        <v>0</v>
      </c>
      <c r="BA201">
        <v>0</v>
      </c>
      <c r="BB201">
        <v>0</v>
      </c>
      <c r="BC201">
        <v>0</v>
      </c>
      <c r="BD201">
        <v>0</v>
      </c>
      <c r="BE201">
        <v>0</v>
      </c>
      <c r="BF201">
        <v>0</v>
      </c>
      <c r="BG201">
        <v>0</v>
      </c>
      <c r="BH201">
        <v>0</v>
      </c>
      <c r="BI201">
        <v>0</v>
      </c>
      <c r="BJ201">
        <v>0</v>
      </c>
      <c r="BK201">
        <v>0</v>
      </c>
      <c r="BL201">
        <v>0</v>
      </c>
      <c r="BM201">
        <v>0</v>
      </c>
      <c r="BN201">
        <v>3</v>
      </c>
      <c r="BO201">
        <v>0</v>
      </c>
      <c r="BP201">
        <v>1</v>
      </c>
      <c r="BQ201">
        <v>0</v>
      </c>
      <c r="BR201">
        <v>0</v>
      </c>
      <c r="BS201">
        <v>1</v>
      </c>
    </row>
    <row r="202" spans="1:71" x14ac:dyDescent="0.3">
      <c r="A202" t="s">
        <v>911</v>
      </c>
      <c r="B202" t="s">
        <v>912</v>
      </c>
      <c r="C202" t="s">
        <v>29</v>
      </c>
      <c r="D202" t="s">
        <v>29</v>
      </c>
      <c r="E202" t="s">
        <v>29</v>
      </c>
      <c r="F202" t="s">
        <v>913</v>
      </c>
      <c r="G202">
        <v>2017</v>
      </c>
      <c r="H202">
        <v>2017</v>
      </c>
      <c r="I202">
        <v>24</v>
      </c>
      <c r="J202">
        <v>2</v>
      </c>
      <c r="K202" t="s">
        <v>29</v>
      </c>
      <c r="L202" t="s">
        <v>29</v>
      </c>
      <c r="M202" t="s">
        <v>29</v>
      </c>
      <c r="N202">
        <v>80</v>
      </c>
      <c r="O202">
        <v>84</v>
      </c>
      <c r="P202" t="s">
        <v>29</v>
      </c>
      <c r="Q202" t="s">
        <v>914</v>
      </c>
      <c r="R202" t="s">
        <v>29</v>
      </c>
      <c r="S202" t="s">
        <v>29</v>
      </c>
      <c r="T202">
        <v>5</v>
      </c>
      <c r="U202">
        <v>0.63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  <c r="AB202">
        <v>0</v>
      </c>
      <c r="AC202">
        <v>0</v>
      </c>
      <c r="AD202">
        <v>0</v>
      </c>
      <c r="AE202">
        <v>0</v>
      </c>
      <c r="AF202">
        <v>0</v>
      </c>
      <c r="AG202">
        <v>0</v>
      </c>
      <c r="AH202">
        <v>0</v>
      </c>
      <c r="AI202">
        <v>0</v>
      </c>
      <c r="AJ202">
        <v>0</v>
      </c>
      <c r="AK202">
        <v>0</v>
      </c>
      <c r="AL202">
        <v>0</v>
      </c>
      <c r="AM202">
        <v>0</v>
      </c>
      <c r="AN202">
        <v>0</v>
      </c>
      <c r="AO202">
        <v>0</v>
      </c>
      <c r="AP202">
        <v>0</v>
      </c>
      <c r="AQ202">
        <v>0</v>
      </c>
      <c r="AR202">
        <v>0</v>
      </c>
      <c r="AS202">
        <v>0</v>
      </c>
      <c r="AT202">
        <v>0</v>
      </c>
      <c r="AU202">
        <v>0</v>
      </c>
      <c r="AV202">
        <v>0</v>
      </c>
      <c r="AW202">
        <v>0</v>
      </c>
      <c r="AX202">
        <v>0</v>
      </c>
      <c r="AY202">
        <v>0</v>
      </c>
      <c r="AZ202">
        <v>0</v>
      </c>
      <c r="BA202">
        <v>0</v>
      </c>
      <c r="BB202">
        <v>0</v>
      </c>
      <c r="BC202">
        <v>0</v>
      </c>
      <c r="BD202">
        <v>0</v>
      </c>
      <c r="BE202">
        <v>0</v>
      </c>
      <c r="BF202">
        <v>0</v>
      </c>
      <c r="BG202">
        <v>0</v>
      </c>
      <c r="BH202">
        <v>0</v>
      </c>
      <c r="BI202">
        <v>0</v>
      </c>
      <c r="BJ202">
        <v>0</v>
      </c>
      <c r="BK202">
        <v>0</v>
      </c>
      <c r="BL202">
        <v>1</v>
      </c>
      <c r="BM202">
        <v>0</v>
      </c>
      <c r="BN202">
        <v>1</v>
      </c>
      <c r="BO202">
        <v>0</v>
      </c>
      <c r="BP202">
        <v>0</v>
      </c>
      <c r="BQ202">
        <v>1</v>
      </c>
      <c r="BR202">
        <v>1</v>
      </c>
      <c r="BS202">
        <v>1</v>
      </c>
    </row>
    <row r="203" spans="1:71" x14ac:dyDescent="0.3">
      <c r="A203" t="s">
        <v>915</v>
      </c>
      <c r="B203" t="s">
        <v>916</v>
      </c>
      <c r="C203" t="s">
        <v>29</v>
      </c>
      <c r="D203" t="s">
        <v>29</v>
      </c>
      <c r="E203" t="s">
        <v>29</v>
      </c>
      <c r="F203" t="s">
        <v>917</v>
      </c>
      <c r="G203" t="s">
        <v>918</v>
      </c>
      <c r="H203">
        <v>2016</v>
      </c>
      <c r="I203">
        <v>29</v>
      </c>
      <c r="J203">
        <v>3</v>
      </c>
      <c r="K203" t="s">
        <v>29</v>
      </c>
      <c r="L203" t="s">
        <v>29</v>
      </c>
      <c r="M203" t="s">
        <v>29</v>
      </c>
      <c r="N203">
        <v>883</v>
      </c>
      <c r="O203">
        <v>910</v>
      </c>
      <c r="P203" t="s">
        <v>29</v>
      </c>
      <c r="Q203" t="s">
        <v>919</v>
      </c>
      <c r="R203" t="s">
        <v>29</v>
      </c>
      <c r="S203" t="s">
        <v>29</v>
      </c>
      <c r="T203">
        <v>5</v>
      </c>
      <c r="U203">
        <v>0.56000000000000005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  <c r="AB203">
        <v>0</v>
      </c>
      <c r="AC203">
        <v>0</v>
      </c>
      <c r="AD203">
        <v>0</v>
      </c>
      <c r="AE203">
        <v>0</v>
      </c>
      <c r="AF203">
        <v>0</v>
      </c>
      <c r="AG203">
        <v>0</v>
      </c>
      <c r="AH203">
        <v>0</v>
      </c>
      <c r="AI203">
        <v>0</v>
      </c>
      <c r="AJ203">
        <v>0</v>
      </c>
      <c r="AK203">
        <v>0</v>
      </c>
      <c r="AL203">
        <v>0</v>
      </c>
      <c r="AM203">
        <v>0</v>
      </c>
      <c r="AN203">
        <v>0</v>
      </c>
      <c r="AO203">
        <v>0</v>
      </c>
      <c r="AP203">
        <v>0</v>
      </c>
      <c r="AQ203">
        <v>0</v>
      </c>
      <c r="AR203">
        <v>0</v>
      </c>
      <c r="AS203">
        <v>0</v>
      </c>
      <c r="AT203">
        <v>0</v>
      </c>
      <c r="AU203">
        <v>0</v>
      </c>
      <c r="AV203">
        <v>0</v>
      </c>
      <c r="AW203">
        <v>0</v>
      </c>
      <c r="AX203">
        <v>0</v>
      </c>
      <c r="AY203">
        <v>0</v>
      </c>
      <c r="AZ203">
        <v>0</v>
      </c>
      <c r="BA203">
        <v>0</v>
      </c>
      <c r="BB203">
        <v>0</v>
      </c>
      <c r="BC203">
        <v>0</v>
      </c>
      <c r="BD203">
        <v>0</v>
      </c>
      <c r="BE203">
        <v>0</v>
      </c>
      <c r="BF203">
        <v>0</v>
      </c>
      <c r="BG203">
        <v>0</v>
      </c>
      <c r="BH203">
        <v>0</v>
      </c>
      <c r="BI203">
        <v>0</v>
      </c>
      <c r="BJ203">
        <v>0</v>
      </c>
      <c r="BK203">
        <v>1</v>
      </c>
      <c r="BL203">
        <v>0</v>
      </c>
      <c r="BM203">
        <v>0</v>
      </c>
      <c r="BN203">
        <v>1</v>
      </c>
      <c r="BO203">
        <v>1</v>
      </c>
      <c r="BP203">
        <v>0</v>
      </c>
      <c r="BQ203">
        <v>0</v>
      </c>
      <c r="BR203">
        <v>1</v>
      </c>
      <c r="BS203">
        <v>1</v>
      </c>
    </row>
    <row r="204" spans="1:71" x14ac:dyDescent="0.3">
      <c r="A204" t="s">
        <v>920</v>
      </c>
      <c r="B204" t="s">
        <v>921</v>
      </c>
      <c r="C204" t="s">
        <v>29</v>
      </c>
      <c r="D204" t="s">
        <v>29</v>
      </c>
      <c r="E204" t="s">
        <v>29</v>
      </c>
      <c r="F204" t="s">
        <v>691</v>
      </c>
      <c r="G204" t="s">
        <v>922</v>
      </c>
      <c r="H204">
        <v>2012</v>
      </c>
      <c r="I204">
        <v>53</v>
      </c>
      <c r="J204">
        <v>1</v>
      </c>
      <c r="K204" t="s">
        <v>29</v>
      </c>
      <c r="L204" t="s">
        <v>29</v>
      </c>
      <c r="M204" t="s">
        <v>29</v>
      </c>
      <c r="N204">
        <v>72</v>
      </c>
      <c r="O204">
        <v>79</v>
      </c>
      <c r="P204" t="s">
        <v>29</v>
      </c>
      <c r="Q204" t="s">
        <v>29</v>
      </c>
      <c r="R204" t="s">
        <v>29</v>
      </c>
      <c r="S204" t="s">
        <v>29</v>
      </c>
      <c r="T204">
        <v>5</v>
      </c>
      <c r="U204">
        <v>0.38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  <c r="AB204">
        <v>0</v>
      </c>
      <c r="AC204">
        <v>0</v>
      </c>
      <c r="AD204">
        <v>0</v>
      </c>
      <c r="AE204">
        <v>0</v>
      </c>
      <c r="AF204">
        <v>0</v>
      </c>
      <c r="AG204">
        <v>0</v>
      </c>
      <c r="AH204">
        <v>0</v>
      </c>
      <c r="AI204">
        <v>0</v>
      </c>
      <c r="AJ204">
        <v>0</v>
      </c>
      <c r="AK204">
        <v>0</v>
      </c>
      <c r="AL204">
        <v>0</v>
      </c>
      <c r="AM204">
        <v>0</v>
      </c>
      <c r="AN204">
        <v>0</v>
      </c>
      <c r="AO204">
        <v>0</v>
      </c>
      <c r="AP204">
        <v>0</v>
      </c>
      <c r="AQ204">
        <v>0</v>
      </c>
      <c r="AR204">
        <v>0</v>
      </c>
      <c r="AS204">
        <v>0</v>
      </c>
      <c r="AT204">
        <v>0</v>
      </c>
      <c r="AU204">
        <v>0</v>
      </c>
      <c r="AV204">
        <v>0</v>
      </c>
      <c r="AW204">
        <v>0</v>
      </c>
      <c r="AX204">
        <v>0</v>
      </c>
      <c r="AY204">
        <v>0</v>
      </c>
      <c r="AZ204">
        <v>0</v>
      </c>
      <c r="BA204">
        <v>0</v>
      </c>
      <c r="BB204">
        <v>0</v>
      </c>
      <c r="BC204">
        <v>0</v>
      </c>
      <c r="BD204">
        <v>0</v>
      </c>
      <c r="BE204">
        <v>0</v>
      </c>
      <c r="BF204">
        <v>0</v>
      </c>
      <c r="BG204">
        <v>0</v>
      </c>
      <c r="BH204">
        <v>0</v>
      </c>
      <c r="BI204">
        <v>1</v>
      </c>
      <c r="BJ204">
        <v>0</v>
      </c>
      <c r="BK204">
        <v>1</v>
      </c>
      <c r="BL204">
        <v>0</v>
      </c>
      <c r="BM204">
        <v>1</v>
      </c>
      <c r="BN204">
        <v>1</v>
      </c>
      <c r="BO204">
        <v>0</v>
      </c>
      <c r="BP204">
        <v>0</v>
      </c>
      <c r="BQ204">
        <v>1</v>
      </c>
      <c r="BR204">
        <v>0</v>
      </c>
      <c r="BS204">
        <v>0</v>
      </c>
    </row>
    <row r="205" spans="1:71" x14ac:dyDescent="0.3">
      <c r="A205" t="s">
        <v>923</v>
      </c>
      <c r="B205" t="s">
        <v>924</v>
      </c>
      <c r="C205" t="s">
        <v>29</v>
      </c>
      <c r="D205" t="s">
        <v>29</v>
      </c>
      <c r="E205" t="s">
        <v>29</v>
      </c>
      <c r="F205" t="s">
        <v>925</v>
      </c>
      <c r="G205">
        <v>2007</v>
      </c>
      <c r="H205">
        <v>2007</v>
      </c>
      <c r="I205" t="s">
        <v>29</v>
      </c>
      <c r="J205" t="s">
        <v>29</v>
      </c>
      <c r="K205" t="s">
        <v>29</v>
      </c>
      <c r="L205" t="s">
        <v>29</v>
      </c>
      <c r="M205" t="s">
        <v>29</v>
      </c>
      <c r="N205">
        <v>101</v>
      </c>
      <c r="O205" t="s">
        <v>49</v>
      </c>
      <c r="P205" t="s">
        <v>29</v>
      </c>
      <c r="Q205" t="s">
        <v>29</v>
      </c>
      <c r="R205" t="s">
        <v>926</v>
      </c>
      <c r="S205" t="s">
        <v>927</v>
      </c>
      <c r="T205">
        <v>5</v>
      </c>
      <c r="U205">
        <v>0.28000000000000003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  <c r="AB205">
        <v>0</v>
      </c>
      <c r="AC205">
        <v>0</v>
      </c>
      <c r="AD205">
        <v>0</v>
      </c>
      <c r="AE205">
        <v>0</v>
      </c>
      <c r="AF205">
        <v>0</v>
      </c>
      <c r="AG205">
        <v>0</v>
      </c>
      <c r="AH205">
        <v>0</v>
      </c>
      <c r="AI205">
        <v>0</v>
      </c>
      <c r="AJ205">
        <v>0</v>
      </c>
      <c r="AK205">
        <v>0</v>
      </c>
      <c r="AL205">
        <v>0</v>
      </c>
      <c r="AM205">
        <v>0</v>
      </c>
      <c r="AN205">
        <v>0</v>
      </c>
      <c r="AO205">
        <v>0</v>
      </c>
      <c r="AP205">
        <v>0</v>
      </c>
      <c r="AQ205">
        <v>0</v>
      </c>
      <c r="AR205">
        <v>0</v>
      </c>
      <c r="AS205">
        <v>0</v>
      </c>
      <c r="AT205">
        <v>0</v>
      </c>
      <c r="AU205">
        <v>0</v>
      </c>
      <c r="AV205">
        <v>0</v>
      </c>
      <c r="AW205">
        <v>0</v>
      </c>
      <c r="AX205">
        <v>0</v>
      </c>
      <c r="AY205">
        <v>0</v>
      </c>
      <c r="AZ205">
        <v>0</v>
      </c>
      <c r="BA205">
        <v>0</v>
      </c>
      <c r="BB205">
        <v>0</v>
      </c>
      <c r="BC205">
        <v>1</v>
      </c>
      <c r="BD205">
        <v>0</v>
      </c>
      <c r="BE205">
        <v>1</v>
      </c>
      <c r="BF205">
        <v>1</v>
      </c>
      <c r="BG205">
        <v>0</v>
      </c>
      <c r="BH205">
        <v>1</v>
      </c>
      <c r="BI205">
        <v>0</v>
      </c>
      <c r="BJ205">
        <v>1</v>
      </c>
      <c r="BK205">
        <v>0</v>
      </c>
      <c r="BL205">
        <v>0</v>
      </c>
      <c r="BM205">
        <v>0</v>
      </c>
      <c r="BN205">
        <v>0</v>
      </c>
      <c r="BO205">
        <v>0</v>
      </c>
      <c r="BP205">
        <v>0</v>
      </c>
      <c r="BQ205">
        <v>0</v>
      </c>
      <c r="BR205">
        <v>0</v>
      </c>
      <c r="BS205">
        <v>0</v>
      </c>
    </row>
    <row r="206" spans="1:71" x14ac:dyDescent="0.3">
      <c r="A206" t="s">
        <v>928</v>
      </c>
      <c r="B206" t="s">
        <v>929</v>
      </c>
      <c r="C206" t="s">
        <v>29</v>
      </c>
      <c r="D206" t="s">
        <v>29</v>
      </c>
      <c r="E206" t="s">
        <v>29</v>
      </c>
      <c r="F206" t="s">
        <v>930</v>
      </c>
      <c r="G206" t="s">
        <v>931</v>
      </c>
      <c r="H206">
        <v>2024</v>
      </c>
      <c r="I206">
        <v>16</v>
      </c>
      <c r="J206">
        <v>2</v>
      </c>
      <c r="K206" t="s">
        <v>29</v>
      </c>
      <c r="L206" t="s">
        <v>29</v>
      </c>
      <c r="M206" t="s">
        <v>32</v>
      </c>
      <c r="N206">
        <v>184</v>
      </c>
      <c r="O206">
        <v>199</v>
      </c>
      <c r="P206" t="s">
        <v>29</v>
      </c>
      <c r="Q206" t="s">
        <v>932</v>
      </c>
      <c r="R206" t="s">
        <v>29</v>
      </c>
      <c r="S206" t="s">
        <v>29</v>
      </c>
      <c r="T206">
        <v>4</v>
      </c>
      <c r="U206">
        <v>4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  <c r="AB206">
        <v>0</v>
      </c>
      <c r="AC206">
        <v>0</v>
      </c>
      <c r="AD206">
        <v>0</v>
      </c>
      <c r="AE206">
        <v>0</v>
      </c>
      <c r="AF206">
        <v>0</v>
      </c>
      <c r="AG206">
        <v>0</v>
      </c>
      <c r="AH206">
        <v>0</v>
      </c>
      <c r="AI206">
        <v>0</v>
      </c>
      <c r="AJ206">
        <v>0</v>
      </c>
      <c r="AK206">
        <v>0</v>
      </c>
      <c r="AL206">
        <v>0</v>
      </c>
      <c r="AM206">
        <v>0</v>
      </c>
      <c r="AN206">
        <v>0</v>
      </c>
      <c r="AO206">
        <v>0</v>
      </c>
      <c r="AP206">
        <v>0</v>
      </c>
      <c r="AQ206">
        <v>0</v>
      </c>
      <c r="AR206">
        <v>0</v>
      </c>
      <c r="AS206">
        <v>0</v>
      </c>
      <c r="AT206">
        <v>0</v>
      </c>
      <c r="AU206">
        <v>0</v>
      </c>
      <c r="AV206">
        <v>0</v>
      </c>
      <c r="AW206">
        <v>0</v>
      </c>
      <c r="AX206">
        <v>0</v>
      </c>
      <c r="AY206">
        <v>0</v>
      </c>
      <c r="AZ206">
        <v>0</v>
      </c>
      <c r="BA206">
        <v>0</v>
      </c>
      <c r="BB206">
        <v>0</v>
      </c>
      <c r="BC206">
        <v>0</v>
      </c>
      <c r="BD206">
        <v>0</v>
      </c>
      <c r="BE206">
        <v>0</v>
      </c>
      <c r="BF206">
        <v>0</v>
      </c>
      <c r="BG206">
        <v>0</v>
      </c>
      <c r="BH206">
        <v>0</v>
      </c>
      <c r="BI206">
        <v>0</v>
      </c>
      <c r="BJ206">
        <v>0</v>
      </c>
      <c r="BK206">
        <v>0</v>
      </c>
      <c r="BL206">
        <v>0</v>
      </c>
      <c r="BM206">
        <v>0</v>
      </c>
      <c r="BN206">
        <v>0</v>
      </c>
      <c r="BO206">
        <v>0</v>
      </c>
      <c r="BP206">
        <v>0</v>
      </c>
      <c r="BQ206">
        <v>0</v>
      </c>
      <c r="BR206">
        <v>0</v>
      </c>
      <c r="BS206">
        <v>4</v>
      </c>
    </row>
    <row r="207" spans="1:71" x14ac:dyDescent="0.3">
      <c r="A207" t="s">
        <v>933</v>
      </c>
      <c r="B207" t="s">
        <v>934</v>
      </c>
      <c r="C207" t="s">
        <v>29</v>
      </c>
      <c r="D207" t="s">
        <v>29</v>
      </c>
      <c r="E207" t="s">
        <v>29</v>
      </c>
      <c r="F207" t="s">
        <v>157</v>
      </c>
      <c r="G207" t="s">
        <v>935</v>
      </c>
      <c r="H207">
        <v>2024</v>
      </c>
      <c r="I207">
        <v>38</v>
      </c>
      <c r="J207">
        <v>4</v>
      </c>
      <c r="K207" t="s">
        <v>29</v>
      </c>
      <c r="L207" t="s">
        <v>29</v>
      </c>
      <c r="M207" t="s">
        <v>29</v>
      </c>
      <c r="N207">
        <v>336</v>
      </c>
      <c r="O207">
        <v>349</v>
      </c>
      <c r="P207" t="s">
        <v>29</v>
      </c>
      <c r="Q207" t="s">
        <v>936</v>
      </c>
      <c r="R207" t="s">
        <v>29</v>
      </c>
      <c r="S207" t="s">
        <v>29</v>
      </c>
      <c r="T207">
        <v>4</v>
      </c>
      <c r="U207">
        <v>2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  <c r="AB207">
        <v>0</v>
      </c>
      <c r="AC207">
        <v>0</v>
      </c>
      <c r="AD207">
        <v>0</v>
      </c>
      <c r="AE207">
        <v>0</v>
      </c>
      <c r="AF207">
        <v>0</v>
      </c>
      <c r="AG207">
        <v>0</v>
      </c>
      <c r="AH207">
        <v>0</v>
      </c>
      <c r="AI207">
        <v>0</v>
      </c>
      <c r="AJ207">
        <v>0</v>
      </c>
      <c r="AK207">
        <v>0</v>
      </c>
      <c r="AL207">
        <v>0</v>
      </c>
      <c r="AM207">
        <v>0</v>
      </c>
      <c r="AN207">
        <v>0</v>
      </c>
      <c r="AO207">
        <v>0</v>
      </c>
      <c r="AP207">
        <v>0</v>
      </c>
      <c r="AQ207">
        <v>0</v>
      </c>
      <c r="AR207">
        <v>0</v>
      </c>
      <c r="AS207">
        <v>0</v>
      </c>
      <c r="AT207">
        <v>0</v>
      </c>
      <c r="AU207">
        <v>0</v>
      </c>
      <c r="AV207">
        <v>0</v>
      </c>
      <c r="AW207">
        <v>0</v>
      </c>
      <c r="AX207">
        <v>0</v>
      </c>
      <c r="AY207">
        <v>0</v>
      </c>
      <c r="AZ207">
        <v>0</v>
      </c>
      <c r="BA207">
        <v>0</v>
      </c>
      <c r="BB207">
        <v>0</v>
      </c>
      <c r="BC207">
        <v>0</v>
      </c>
      <c r="BD207">
        <v>0</v>
      </c>
      <c r="BE207">
        <v>0</v>
      </c>
      <c r="BF207">
        <v>0</v>
      </c>
      <c r="BG207">
        <v>0</v>
      </c>
      <c r="BH207">
        <v>0</v>
      </c>
      <c r="BI207">
        <v>0</v>
      </c>
      <c r="BJ207">
        <v>0</v>
      </c>
      <c r="BK207">
        <v>0</v>
      </c>
      <c r="BL207">
        <v>0</v>
      </c>
      <c r="BM207">
        <v>0</v>
      </c>
      <c r="BN207">
        <v>0</v>
      </c>
      <c r="BO207">
        <v>0</v>
      </c>
      <c r="BP207">
        <v>0</v>
      </c>
      <c r="BQ207">
        <v>0</v>
      </c>
      <c r="BR207">
        <v>0</v>
      </c>
      <c r="BS207">
        <v>4</v>
      </c>
    </row>
    <row r="208" spans="1:71" x14ac:dyDescent="0.3">
      <c r="A208" t="s">
        <v>937</v>
      </c>
      <c r="B208" t="s">
        <v>938</v>
      </c>
      <c r="C208" t="s">
        <v>29</v>
      </c>
      <c r="D208" t="s">
        <v>29</v>
      </c>
      <c r="E208" t="s">
        <v>29</v>
      </c>
      <c r="F208" t="s">
        <v>939</v>
      </c>
      <c r="G208" t="s">
        <v>29</v>
      </c>
      <c r="H208">
        <v>2023</v>
      </c>
      <c r="I208" t="s">
        <v>29</v>
      </c>
      <c r="J208" t="s">
        <v>29</v>
      </c>
      <c r="K208" t="s">
        <v>29</v>
      </c>
      <c r="L208" t="s">
        <v>29</v>
      </c>
      <c r="M208" t="s">
        <v>29</v>
      </c>
      <c r="N208" t="s">
        <v>29</v>
      </c>
      <c r="O208" t="s">
        <v>29</v>
      </c>
      <c r="P208" t="s">
        <v>29</v>
      </c>
      <c r="Q208" t="s">
        <v>940</v>
      </c>
      <c r="R208" t="s">
        <v>29</v>
      </c>
      <c r="S208" t="s">
        <v>29</v>
      </c>
      <c r="T208">
        <v>4</v>
      </c>
      <c r="U208">
        <v>2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  <c r="AB208">
        <v>0</v>
      </c>
      <c r="AC208">
        <v>0</v>
      </c>
      <c r="AD208">
        <v>0</v>
      </c>
      <c r="AE208">
        <v>0</v>
      </c>
      <c r="AF208">
        <v>0</v>
      </c>
      <c r="AG208">
        <v>0</v>
      </c>
      <c r="AH208">
        <v>0</v>
      </c>
      <c r="AI208">
        <v>0</v>
      </c>
      <c r="AJ208">
        <v>0</v>
      </c>
      <c r="AK208">
        <v>0</v>
      </c>
      <c r="AL208">
        <v>0</v>
      </c>
      <c r="AM208">
        <v>0</v>
      </c>
      <c r="AN208">
        <v>0</v>
      </c>
      <c r="AO208">
        <v>0</v>
      </c>
      <c r="AP208">
        <v>0</v>
      </c>
      <c r="AQ208">
        <v>0</v>
      </c>
      <c r="AR208">
        <v>0</v>
      </c>
      <c r="AS208">
        <v>0</v>
      </c>
      <c r="AT208">
        <v>0</v>
      </c>
      <c r="AU208">
        <v>0</v>
      </c>
      <c r="AV208">
        <v>0</v>
      </c>
      <c r="AW208">
        <v>0</v>
      </c>
      <c r="AX208">
        <v>0</v>
      </c>
      <c r="AY208">
        <v>0</v>
      </c>
      <c r="AZ208">
        <v>0</v>
      </c>
      <c r="BA208">
        <v>0</v>
      </c>
      <c r="BB208">
        <v>0</v>
      </c>
      <c r="BC208">
        <v>0</v>
      </c>
      <c r="BD208">
        <v>0</v>
      </c>
      <c r="BE208">
        <v>0</v>
      </c>
      <c r="BF208">
        <v>0</v>
      </c>
      <c r="BG208">
        <v>0</v>
      </c>
      <c r="BH208">
        <v>0</v>
      </c>
      <c r="BI208">
        <v>0</v>
      </c>
      <c r="BJ208">
        <v>0</v>
      </c>
      <c r="BK208">
        <v>0</v>
      </c>
      <c r="BL208">
        <v>0</v>
      </c>
      <c r="BM208">
        <v>0</v>
      </c>
      <c r="BN208">
        <v>0</v>
      </c>
      <c r="BO208">
        <v>0</v>
      </c>
      <c r="BP208">
        <v>0</v>
      </c>
      <c r="BQ208">
        <v>0</v>
      </c>
      <c r="BR208">
        <v>0</v>
      </c>
      <c r="BS208">
        <v>4</v>
      </c>
    </row>
    <row r="209" spans="1:71" x14ac:dyDescent="0.3">
      <c r="A209" t="s">
        <v>941</v>
      </c>
      <c r="B209" t="s">
        <v>942</v>
      </c>
      <c r="C209" t="s">
        <v>29</v>
      </c>
      <c r="D209" t="s">
        <v>29</v>
      </c>
      <c r="E209" t="s">
        <v>29</v>
      </c>
      <c r="F209" t="s">
        <v>943</v>
      </c>
      <c r="G209" t="s">
        <v>944</v>
      </c>
      <c r="H209">
        <v>2024</v>
      </c>
      <c r="I209">
        <v>45</v>
      </c>
      <c r="J209">
        <v>2</v>
      </c>
      <c r="K209" t="s">
        <v>29</v>
      </c>
      <c r="L209" t="s">
        <v>29</v>
      </c>
      <c r="M209" t="s">
        <v>32</v>
      </c>
      <c r="N209">
        <v>410</v>
      </c>
      <c r="O209">
        <v>429</v>
      </c>
      <c r="P209" t="s">
        <v>29</v>
      </c>
      <c r="Q209" t="s">
        <v>945</v>
      </c>
      <c r="R209" t="s">
        <v>29</v>
      </c>
      <c r="S209" t="s">
        <v>29</v>
      </c>
      <c r="T209">
        <v>4</v>
      </c>
      <c r="U209">
        <v>2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  <c r="AB209">
        <v>0</v>
      </c>
      <c r="AC209">
        <v>0</v>
      </c>
      <c r="AD209">
        <v>0</v>
      </c>
      <c r="AE209">
        <v>0</v>
      </c>
      <c r="AF209">
        <v>0</v>
      </c>
      <c r="AG209">
        <v>0</v>
      </c>
      <c r="AH209">
        <v>0</v>
      </c>
      <c r="AI209">
        <v>0</v>
      </c>
      <c r="AJ209">
        <v>0</v>
      </c>
      <c r="AK209">
        <v>0</v>
      </c>
      <c r="AL209">
        <v>0</v>
      </c>
      <c r="AM209">
        <v>0</v>
      </c>
      <c r="AN209">
        <v>0</v>
      </c>
      <c r="AO209">
        <v>0</v>
      </c>
      <c r="AP209">
        <v>0</v>
      </c>
      <c r="AQ209">
        <v>0</v>
      </c>
      <c r="AR209">
        <v>0</v>
      </c>
      <c r="AS209">
        <v>0</v>
      </c>
      <c r="AT209">
        <v>0</v>
      </c>
      <c r="AU209">
        <v>0</v>
      </c>
      <c r="AV209">
        <v>0</v>
      </c>
      <c r="AW209">
        <v>0</v>
      </c>
      <c r="AX209">
        <v>0</v>
      </c>
      <c r="AY209">
        <v>0</v>
      </c>
      <c r="AZ209">
        <v>0</v>
      </c>
      <c r="BA209">
        <v>0</v>
      </c>
      <c r="BB209">
        <v>0</v>
      </c>
      <c r="BC209">
        <v>0</v>
      </c>
      <c r="BD209">
        <v>0</v>
      </c>
      <c r="BE209">
        <v>0</v>
      </c>
      <c r="BF209">
        <v>0</v>
      </c>
      <c r="BG209">
        <v>0</v>
      </c>
      <c r="BH209">
        <v>0</v>
      </c>
      <c r="BI209">
        <v>0</v>
      </c>
      <c r="BJ209">
        <v>0</v>
      </c>
      <c r="BK209">
        <v>0</v>
      </c>
      <c r="BL209">
        <v>0</v>
      </c>
      <c r="BM209">
        <v>0</v>
      </c>
      <c r="BN209">
        <v>0</v>
      </c>
      <c r="BO209">
        <v>0</v>
      </c>
      <c r="BP209">
        <v>0</v>
      </c>
      <c r="BQ209">
        <v>0</v>
      </c>
      <c r="BR209">
        <v>1</v>
      </c>
      <c r="BS209">
        <v>3</v>
      </c>
    </row>
    <row r="210" spans="1:71" x14ac:dyDescent="0.3">
      <c r="A210" t="s">
        <v>946</v>
      </c>
      <c r="B210" t="s">
        <v>947</v>
      </c>
      <c r="C210" t="s">
        <v>29</v>
      </c>
      <c r="D210" t="s">
        <v>29</v>
      </c>
      <c r="E210" t="s">
        <v>29</v>
      </c>
      <c r="F210" t="s">
        <v>948</v>
      </c>
      <c r="G210" t="s">
        <v>949</v>
      </c>
      <c r="H210">
        <v>2023</v>
      </c>
      <c r="I210">
        <v>29</v>
      </c>
      <c r="J210">
        <v>7</v>
      </c>
      <c r="K210" t="s">
        <v>29</v>
      </c>
      <c r="L210" t="s">
        <v>29</v>
      </c>
      <c r="M210" t="s">
        <v>29</v>
      </c>
      <c r="N210">
        <v>1915</v>
      </c>
      <c r="O210">
        <v>1936</v>
      </c>
      <c r="P210" t="s">
        <v>29</v>
      </c>
      <c r="Q210" t="s">
        <v>950</v>
      </c>
      <c r="R210" t="s">
        <v>29</v>
      </c>
      <c r="S210" t="s">
        <v>29</v>
      </c>
      <c r="T210">
        <v>4</v>
      </c>
      <c r="U210">
        <v>1.33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  <c r="AB210">
        <v>0</v>
      </c>
      <c r="AC210">
        <v>0</v>
      </c>
      <c r="AD210">
        <v>0</v>
      </c>
      <c r="AE210">
        <v>0</v>
      </c>
      <c r="AF210">
        <v>0</v>
      </c>
      <c r="AG210">
        <v>0</v>
      </c>
      <c r="AH210">
        <v>0</v>
      </c>
      <c r="AI210">
        <v>0</v>
      </c>
      <c r="AJ210">
        <v>0</v>
      </c>
      <c r="AK210">
        <v>0</v>
      </c>
      <c r="AL210">
        <v>0</v>
      </c>
      <c r="AM210">
        <v>0</v>
      </c>
      <c r="AN210">
        <v>0</v>
      </c>
      <c r="AO210">
        <v>0</v>
      </c>
      <c r="AP210">
        <v>0</v>
      </c>
      <c r="AQ210">
        <v>0</v>
      </c>
      <c r="AR210">
        <v>0</v>
      </c>
      <c r="AS210">
        <v>0</v>
      </c>
      <c r="AT210">
        <v>0</v>
      </c>
      <c r="AU210">
        <v>0</v>
      </c>
      <c r="AV210">
        <v>0</v>
      </c>
      <c r="AW210">
        <v>0</v>
      </c>
      <c r="AX210">
        <v>0</v>
      </c>
      <c r="AY210">
        <v>0</v>
      </c>
      <c r="AZ210">
        <v>0</v>
      </c>
      <c r="BA210">
        <v>0</v>
      </c>
      <c r="BB210">
        <v>0</v>
      </c>
      <c r="BC210">
        <v>0</v>
      </c>
      <c r="BD210">
        <v>0</v>
      </c>
      <c r="BE210">
        <v>0</v>
      </c>
      <c r="BF210">
        <v>0</v>
      </c>
      <c r="BG210">
        <v>0</v>
      </c>
      <c r="BH210">
        <v>0</v>
      </c>
      <c r="BI210">
        <v>0</v>
      </c>
      <c r="BJ210">
        <v>0</v>
      </c>
      <c r="BK210">
        <v>0</v>
      </c>
      <c r="BL210">
        <v>0</v>
      </c>
      <c r="BM210">
        <v>0</v>
      </c>
      <c r="BN210">
        <v>0</v>
      </c>
      <c r="BO210">
        <v>0</v>
      </c>
      <c r="BP210">
        <v>0</v>
      </c>
      <c r="BQ210">
        <v>0</v>
      </c>
      <c r="BR210">
        <v>1</v>
      </c>
      <c r="BS210">
        <v>3</v>
      </c>
    </row>
    <row r="211" spans="1:71" x14ac:dyDescent="0.3">
      <c r="A211" t="s">
        <v>951</v>
      </c>
      <c r="B211" t="s">
        <v>952</v>
      </c>
      <c r="C211" t="s">
        <v>29</v>
      </c>
      <c r="D211" t="s">
        <v>29</v>
      </c>
      <c r="E211" t="s">
        <v>29</v>
      </c>
      <c r="F211" t="s">
        <v>953</v>
      </c>
      <c r="G211" t="s">
        <v>949</v>
      </c>
      <c r="H211">
        <v>2023</v>
      </c>
      <c r="I211">
        <v>9</v>
      </c>
      <c r="J211">
        <v>3</v>
      </c>
      <c r="K211" t="s">
        <v>29</v>
      </c>
      <c r="L211" t="s">
        <v>29</v>
      </c>
      <c r="M211" t="s">
        <v>32</v>
      </c>
      <c r="N211">
        <v>1111</v>
      </c>
      <c r="O211">
        <v>1151</v>
      </c>
      <c r="P211" t="s">
        <v>29</v>
      </c>
      <c r="Q211" t="s">
        <v>954</v>
      </c>
      <c r="R211" t="s">
        <v>29</v>
      </c>
      <c r="S211" t="s">
        <v>29</v>
      </c>
      <c r="T211">
        <v>4</v>
      </c>
      <c r="U211">
        <v>1.33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  <c r="AB211">
        <v>0</v>
      </c>
      <c r="AC211">
        <v>0</v>
      </c>
      <c r="AD211">
        <v>0</v>
      </c>
      <c r="AE211">
        <v>0</v>
      </c>
      <c r="AF211">
        <v>0</v>
      </c>
      <c r="AG211">
        <v>0</v>
      </c>
      <c r="AH211">
        <v>0</v>
      </c>
      <c r="AI211">
        <v>0</v>
      </c>
      <c r="AJ211">
        <v>0</v>
      </c>
      <c r="AK211">
        <v>0</v>
      </c>
      <c r="AL211">
        <v>0</v>
      </c>
      <c r="AM211">
        <v>0</v>
      </c>
      <c r="AN211">
        <v>0</v>
      </c>
      <c r="AO211">
        <v>0</v>
      </c>
      <c r="AP211">
        <v>0</v>
      </c>
      <c r="AQ211">
        <v>0</v>
      </c>
      <c r="AR211">
        <v>0</v>
      </c>
      <c r="AS211">
        <v>0</v>
      </c>
      <c r="AT211">
        <v>0</v>
      </c>
      <c r="AU211">
        <v>0</v>
      </c>
      <c r="AV211">
        <v>0</v>
      </c>
      <c r="AW211">
        <v>0</v>
      </c>
      <c r="AX211">
        <v>0</v>
      </c>
      <c r="AY211">
        <v>0</v>
      </c>
      <c r="AZ211">
        <v>0</v>
      </c>
      <c r="BA211">
        <v>0</v>
      </c>
      <c r="BB211">
        <v>0</v>
      </c>
      <c r="BC211">
        <v>0</v>
      </c>
      <c r="BD211">
        <v>0</v>
      </c>
      <c r="BE211">
        <v>0</v>
      </c>
      <c r="BF211">
        <v>0</v>
      </c>
      <c r="BG211">
        <v>0</v>
      </c>
      <c r="BH211">
        <v>0</v>
      </c>
      <c r="BI211">
        <v>0</v>
      </c>
      <c r="BJ211">
        <v>0</v>
      </c>
      <c r="BK211">
        <v>0</v>
      </c>
      <c r="BL211">
        <v>0</v>
      </c>
      <c r="BM211">
        <v>0</v>
      </c>
      <c r="BN211">
        <v>0</v>
      </c>
      <c r="BO211">
        <v>0</v>
      </c>
      <c r="BP211">
        <v>0</v>
      </c>
      <c r="BQ211">
        <v>0</v>
      </c>
      <c r="BR211">
        <v>2</v>
      </c>
      <c r="BS211">
        <v>2</v>
      </c>
    </row>
    <row r="212" spans="1:71" x14ac:dyDescent="0.3">
      <c r="A212" t="s">
        <v>955</v>
      </c>
      <c r="B212" t="s">
        <v>956</v>
      </c>
      <c r="C212" t="s">
        <v>29</v>
      </c>
      <c r="D212" t="s">
        <v>29</v>
      </c>
      <c r="E212" t="s">
        <v>29</v>
      </c>
      <c r="F212" t="s">
        <v>200</v>
      </c>
      <c r="G212" t="s">
        <v>599</v>
      </c>
      <c r="H212">
        <v>2022</v>
      </c>
      <c r="I212">
        <v>12</v>
      </c>
      <c r="J212">
        <v>3</v>
      </c>
      <c r="K212" t="s">
        <v>29</v>
      </c>
      <c r="L212" t="s">
        <v>29</v>
      </c>
      <c r="M212" t="s">
        <v>29</v>
      </c>
      <c r="N212" t="s">
        <v>29</v>
      </c>
      <c r="O212" t="s">
        <v>29</v>
      </c>
      <c r="P212">
        <v>148</v>
      </c>
      <c r="Q212" t="s">
        <v>957</v>
      </c>
      <c r="R212" t="s">
        <v>29</v>
      </c>
      <c r="S212" t="s">
        <v>29</v>
      </c>
      <c r="T212">
        <v>4</v>
      </c>
      <c r="U212">
        <v>1.33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  <c r="AB212">
        <v>0</v>
      </c>
      <c r="AC212">
        <v>0</v>
      </c>
      <c r="AD212">
        <v>0</v>
      </c>
      <c r="AE212">
        <v>0</v>
      </c>
      <c r="AF212">
        <v>0</v>
      </c>
      <c r="AG212">
        <v>0</v>
      </c>
      <c r="AH212">
        <v>0</v>
      </c>
      <c r="AI212">
        <v>0</v>
      </c>
      <c r="AJ212">
        <v>0</v>
      </c>
      <c r="AK212">
        <v>0</v>
      </c>
      <c r="AL212">
        <v>0</v>
      </c>
      <c r="AM212">
        <v>0</v>
      </c>
      <c r="AN212">
        <v>0</v>
      </c>
      <c r="AO212">
        <v>0</v>
      </c>
      <c r="AP212">
        <v>0</v>
      </c>
      <c r="AQ212">
        <v>0</v>
      </c>
      <c r="AR212">
        <v>0</v>
      </c>
      <c r="AS212">
        <v>0</v>
      </c>
      <c r="AT212">
        <v>0</v>
      </c>
      <c r="AU212">
        <v>0</v>
      </c>
      <c r="AV212">
        <v>0</v>
      </c>
      <c r="AW212">
        <v>0</v>
      </c>
      <c r="AX212">
        <v>0</v>
      </c>
      <c r="AY212">
        <v>0</v>
      </c>
      <c r="AZ212">
        <v>0</v>
      </c>
      <c r="BA212">
        <v>0</v>
      </c>
      <c r="BB212">
        <v>0</v>
      </c>
      <c r="BC212">
        <v>0</v>
      </c>
      <c r="BD212">
        <v>0</v>
      </c>
      <c r="BE212">
        <v>0</v>
      </c>
      <c r="BF212">
        <v>0</v>
      </c>
      <c r="BG212">
        <v>0</v>
      </c>
      <c r="BH212">
        <v>0</v>
      </c>
      <c r="BI212">
        <v>0</v>
      </c>
      <c r="BJ212">
        <v>0</v>
      </c>
      <c r="BK212">
        <v>0</v>
      </c>
      <c r="BL212">
        <v>0</v>
      </c>
      <c r="BM212">
        <v>0</v>
      </c>
      <c r="BN212">
        <v>0</v>
      </c>
      <c r="BO212">
        <v>0</v>
      </c>
      <c r="BP212">
        <v>0</v>
      </c>
      <c r="BQ212">
        <v>0</v>
      </c>
      <c r="BR212">
        <v>3</v>
      </c>
      <c r="BS212">
        <v>1</v>
      </c>
    </row>
    <row r="213" spans="1:71" x14ac:dyDescent="0.3">
      <c r="A213" t="s">
        <v>958</v>
      </c>
      <c r="B213" t="s">
        <v>959</v>
      </c>
      <c r="C213" t="s">
        <v>29</v>
      </c>
      <c r="D213" t="s">
        <v>29</v>
      </c>
      <c r="E213" t="s">
        <v>29</v>
      </c>
      <c r="F213" t="s">
        <v>897</v>
      </c>
      <c r="G213" t="s">
        <v>960</v>
      </c>
      <c r="H213">
        <v>2022</v>
      </c>
      <c r="I213">
        <v>43</v>
      </c>
      <c r="J213">
        <v>9</v>
      </c>
      <c r="K213" t="s">
        <v>29</v>
      </c>
      <c r="L213" t="s">
        <v>29</v>
      </c>
      <c r="M213" t="s">
        <v>29</v>
      </c>
      <c r="N213">
        <v>19</v>
      </c>
      <c r="O213">
        <v>41</v>
      </c>
      <c r="P213" t="s">
        <v>29</v>
      </c>
      <c r="Q213" t="s">
        <v>961</v>
      </c>
      <c r="R213" t="s">
        <v>29</v>
      </c>
      <c r="S213" t="s">
        <v>29</v>
      </c>
      <c r="T213">
        <v>4</v>
      </c>
      <c r="U213">
        <v>1.33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  <c r="AB213">
        <v>0</v>
      </c>
      <c r="AC213">
        <v>0</v>
      </c>
      <c r="AD213">
        <v>0</v>
      </c>
      <c r="AE213">
        <v>0</v>
      </c>
      <c r="AF213">
        <v>0</v>
      </c>
      <c r="AG213">
        <v>0</v>
      </c>
      <c r="AH213">
        <v>0</v>
      </c>
      <c r="AI213">
        <v>0</v>
      </c>
      <c r="AJ213">
        <v>0</v>
      </c>
      <c r="AK213">
        <v>0</v>
      </c>
      <c r="AL213">
        <v>0</v>
      </c>
      <c r="AM213">
        <v>0</v>
      </c>
      <c r="AN213">
        <v>0</v>
      </c>
      <c r="AO213">
        <v>0</v>
      </c>
      <c r="AP213">
        <v>0</v>
      </c>
      <c r="AQ213">
        <v>0</v>
      </c>
      <c r="AR213">
        <v>0</v>
      </c>
      <c r="AS213">
        <v>0</v>
      </c>
      <c r="AT213">
        <v>0</v>
      </c>
      <c r="AU213">
        <v>0</v>
      </c>
      <c r="AV213">
        <v>0</v>
      </c>
      <c r="AW213">
        <v>0</v>
      </c>
      <c r="AX213">
        <v>0</v>
      </c>
      <c r="AY213">
        <v>0</v>
      </c>
      <c r="AZ213">
        <v>0</v>
      </c>
      <c r="BA213">
        <v>0</v>
      </c>
      <c r="BB213">
        <v>0</v>
      </c>
      <c r="BC213">
        <v>0</v>
      </c>
      <c r="BD213">
        <v>0</v>
      </c>
      <c r="BE213">
        <v>0</v>
      </c>
      <c r="BF213">
        <v>0</v>
      </c>
      <c r="BG213">
        <v>0</v>
      </c>
      <c r="BH213">
        <v>0</v>
      </c>
      <c r="BI213">
        <v>0</v>
      </c>
      <c r="BJ213">
        <v>0</v>
      </c>
      <c r="BK213">
        <v>0</v>
      </c>
      <c r="BL213">
        <v>0</v>
      </c>
      <c r="BM213">
        <v>0</v>
      </c>
      <c r="BN213">
        <v>0</v>
      </c>
      <c r="BO213">
        <v>0</v>
      </c>
      <c r="BP213">
        <v>0</v>
      </c>
      <c r="BQ213">
        <v>0</v>
      </c>
      <c r="BR213">
        <v>2</v>
      </c>
      <c r="BS213">
        <v>2</v>
      </c>
    </row>
    <row r="214" spans="1:71" x14ac:dyDescent="0.3">
      <c r="A214" t="s">
        <v>962</v>
      </c>
      <c r="B214" t="s">
        <v>963</v>
      </c>
      <c r="C214" t="s">
        <v>29</v>
      </c>
      <c r="D214" t="s">
        <v>29</v>
      </c>
      <c r="E214" t="s">
        <v>29</v>
      </c>
      <c r="F214" t="s">
        <v>964</v>
      </c>
      <c r="G214" t="s">
        <v>965</v>
      </c>
      <c r="H214">
        <v>2022</v>
      </c>
      <c r="I214">
        <v>43</v>
      </c>
      <c r="J214" t="s">
        <v>966</v>
      </c>
      <c r="K214" t="s">
        <v>29</v>
      </c>
      <c r="L214" t="s">
        <v>29</v>
      </c>
      <c r="M214" t="s">
        <v>29</v>
      </c>
      <c r="N214">
        <v>50</v>
      </c>
      <c r="O214">
        <v>65</v>
      </c>
      <c r="P214" t="s">
        <v>29</v>
      </c>
      <c r="Q214" t="s">
        <v>967</v>
      </c>
      <c r="R214" t="s">
        <v>29</v>
      </c>
      <c r="S214" t="s">
        <v>29</v>
      </c>
      <c r="T214">
        <v>4</v>
      </c>
      <c r="U214">
        <v>1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  <c r="AB214">
        <v>0</v>
      </c>
      <c r="AC214">
        <v>0</v>
      </c>
      <c r="AD214">
        <v>0</v>
      </c>
      <c r="AE214">
        <v>0</v>
      </c>
      <c r="AF214">
        <v>0</v>
      </c>
      <c r="AG214">
        <v>0</v>
      </c>
      <c r="AH214">
        <v>0</v>
      </c>
      <c r="AI214">
        <v>0</v>
      </c>
      <c r="AJ214">
        <v>0</v>
      </c>
      <c r="AK214">
        <v>0</v>
      </c>
      <c r="AL214">
        <v>0</v>
      </c>
      <c r="AM214">
        <v>0</v>
      </c>
      <c r="AN214">
        <v>0</v>
      </c>
      <c r="AO214">
        <v>0</v>
      </c>
      <c r="AP214">
        <v>0</v>
      </c>
      <c r="AQ214">
        <v>0</v>
      </c>
      <c r="AR214">
        <v>0</v>
      </c>
      <c r="AS214">
        <v>0</v>
      </c>
      <c r="AT214">
        <v>0</v>
      </c>
      <c r="AU214">
        <v>0</v>
      </c>
      <c r="AV214">
        <v>0</v>
      </c>
      <c r="AW214">
        <v>0</v>
      </c>
      <c r="AX214">
        <v>0</v>
      </c>
      <c r="AY214">
        <v>0</v>
      </c>
      <c r="AZ214">
        <v>0</v>
      </c>
      <c r="BA214">
        <v>0</v>
      </c>
      <c r="BB214">
        <v>0</v>
      </c>
      <c r="BC214">
        <v>0</v>
      </c>
      <c r="BD214">
        <v>0</v>
      </c>
      <c r="BE214">
        <v>0</v>
      </c>
      <c r="BF214">
        <v>0</v>
      </c>
      <c r="BG214">
        <v>0</v>
      </c>
      <c r="BH214">
        <v>0</v>
      </c>
      <c r="BI214">
        <v>0</v>
      </c>
      <c r="BJ214">
        <v>0</v>
      </c>
      <c r="BK214">
        <v>0</v>
      </c>
      <c r="BL214">
        <v>0</v>
      </c>
      <c r="BM214">
        <v>0</v>
      </c>
      <c r="BN214">
        <v>0</v>
      </c>
      <c r="BO214">
        <v>0</v>
      </c>
      <c r="BP214">
        <v>0</v>
      </c>
      <c r="BQ214">
        <v>1</v>
      </c>
      <c r="BR214">
        <v>1</v>
      </c>
      <c r="BS214">
        <v>2</v>
      </c>
    </row>
    <row r="215" spans="1:71" x14ac:dyDescent="0.3">
      <c r="A215" t="s">
        <v>968</v>
      </c>
      <c r="B215" t="s">
        <v>969</v>
      </c>
      <c r="C215" t="s">
        <v>29</v>
      </c>
      <c r="D215" t="s">
        <v>29</v>
      </c>
      <c r="E215" t="s">
        <v>29</v>
      </c>
      <c r="F215" t="s">
        <v>365</v>
      </c>
      <c r="G215" t="s">
        <v>821</v>
      </c>
      <c r="H215">
        <v>2021</v>
      </c>
      <c r="I215">
        <v>11</v>
      </c>
      <c r="J215">
        <v>5</v>
      </c>
      <c r="K215" t="s">
        <v>29</v>
      </c>
      <c r="L215" t="s">
        <v>29</v>
      </c>
      <c r="M215" t="s">
        <v>29</v>
      </c>
      <c r="N215">
        <v>1130</v>
      </c>
      <c r="O215">
        <v>1142</v>
      </c>
      <c r="P215" t="s">
        <v>29</v>
      </c>
      <c r="Q215" t="s">
        <v>970</v>
      </c>
      <c r="R215" t="s">
        <v>29</v>
      </c>
      <c r="S215" t="s">
        <v>29</v>
      </c>
      <c r="T215">
        <v>4</v>
      </c>
      <c r="U215">
        <v>1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  <c r="AB215">
        <v>0</v>
      </c>
      <c r="AC215">
        <v>0</v>
      </c>
      <c r="AD215">
        <v>0</v>
      </c>
      <c r="AE215">
        <v>0</v>
      </c>
      <c r="AF215">
        <v>0</v>
      </c>
      <c r="AG215">
        <v>0</v>
      </c>
      <c r="AH215">
        <v>0</v>
      </c>
      <c r="AI215">
        <v>0</v>
      </c>
      <c r="AJ215">
        <v>0</v>
      </c>
      <c r="AK215">
        <v>0</v>
      </c>
      <c r="AL215">
        <v>0</v>
      </c>
      <c r="AM215">
        <v>0</v>
      </c>
      <c r="AN215">
        <v>0</v>
      </c>
      <c r="AO215">
        <v>0</v>
      </c>
      <c r="AP215">
        <v>0</v>
      </c>
      <c r="AQ215">
        <v>0</v>
      </c>
      <c r="AR215">
        <v>0</v>
      </c>
      <c r="AS215">
        <v>0</v>
      </c>
      <c r="AT215">
        <v>0</v>
      </c>
      <c r="AU215">
        <v>0</v>
      </c>
      <c r="AV215">
        <v>0</v>
      </c>
      <c r="AW215">
        <v>0</v>
      </c>
      <c r="AX215">
        <v>0</v>
      </c>
      <c r="AY215">
        <v>0</v>
      </c>
      <c r="AZ215">
        <v>0</v>
      </c>
      <c r="BA215">
        <v>0</v>
      </c>
      <c r="BB215">
        <v>0</v>
      </c>
      <c r="BC215">
        <v>0</v>
      </c>
      <c r="BD215">
        <v>0</v>
      </c>
      <c r="BE215">
        <v>0</v>
      </c>
      <c r="BF215">
        <v>0</v>
      </c>
      <c r="BG215">
        <v>0</v>
      </c>
      <c r="BH215">
        <v>0</v>
      </c>
      <c r="BI215">
        <v>0</v>
      </c>
      <c r="BJ215">
        <v>0</v>
      </c>
      <c r="BK215">
        <v>0</v>
      </c>
      <c r="BL215">
        <v>0</v>
      </c>
      <c r="BM215">
        <v>0</v>
      </c>
      <c r="BN215">
        <v>0</v>
      </c>
      <c r="BO215">
        <v>0</v>
      </c>
      <c r="BP215">
        <v>0</v>
      </c>
      <c r="BQ215">
        <v>1</v>
      </c>
      <c r="BR215">
        <v>1</v>
      </c>
      <c r="BS215">
        <v>2</v>
      </c>
    </row>
    <row r="216" spans="1:71" x14ac:dyDescent="0.3">
      <c r="A216" t="s">
        <v>971</v>
      </c>
      <c r="B216" t="s">
        <v>972</v>
      </c>
      <c r="C216" t="s">
        <v>29</v>
      </c>
      <c r="D216" t="s">
        <v>29</v>
      </c>
      <c r="E216" t="s">
        <v>29</v>
      </c>
      <c r="F216" t="s">
        <v>973</v>
      </c>
      <c r="G216" t="s">
        <v>974</v>
      </c>
      <c r="H216">
        <v>2021</v>
      </c>
      <c r="I216">
        <v>13</v>
      </c>
      <c r="J216">
        <v>2</v>
      </c>
      <c r="K216" t="s">
        <v>29</v>
      </c>
      <c r="L216" t="s">
        <v>29</v>
      </c>
      <c r="M216" t="s">
        <v>29</v>
      </c>
      <c r="N216">
        <v>241</v>
      </c>
      <c r="O216">
        <v>248</v>
      </c>
      <c r="P216" t="s">
        <v>29</v>
      </c>
      <c r="Q216" t="s">
        <v>29</v>
      </c>
      <c r="R216" t="s">
        <v>29</v>
      </c>
      <c r="S216" t="s">
        <v>29</v>
      </c>
      <c r="T216">
        <v>4</v>
      </c>
      <c r="U216">
        <v>1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  <c r="AB216">
        <v>0</v>
      </c>
      <c r="AC216">
        <v>0</v>
      </c>
      <c r="AD216">
        <v>0</v>
      </c>
      <c r="AE216">
        <v>0</v>
      </c>
      <c r="AF216">
        <v>0</v>
      </c>
      <c r="AG216">
        <v>0</v>
      </c>
      <c r="AH216">
        <v>0</v>
      </c>
      <c r="AI216">
        <v>0</v>
      </c>
      <c r="AJ216">
        <v>0</v>
      </c>
      <c r="AK216">
        <v>0</v>
      </c>
      <c r="AL216">
        <v>0</v>
      </c>
      <c r="AM216">
        <v>0</v>
      </c>
      <c r="AN216">
        <v>0</v>
      </c>
      <c r="AO216">
        <v>0</v>
      </c>
      <c r="AP216">
        <v>0</v>
      </c>
      <c r="AQ216">
        <v>0</v>
      </c>
      <c r="AR216">
        <v>0</v>
      </c>
      <c r="AS216">
        <v>0</v>
      </c>
      <c r="AT216">
        <v>0</v>
      </c>
      <c r="AU216">
        <v>0</v>
      </c>
      <c r="AV216">
        <v>0</v>
      </c>
      <c r="AW216">
        <v>0</v>
      </c>
      <c r="AX216">
        <v>0</v>
      </c>
      <c r="AY216">
        <v>0</v>
      </c>
      <c r="AZ216">
        <v>0</v>
      </c>
      <c r="BA216">
        <v>0</v>
      </c>
      <c r="BB216">
        <v>0</v>
      </c>
      <c r="BC216">
        <v>0</v>
      </c>
      <c r="BD216">
        <v>0</v>
      </c>
      <c r="BE216">
        <v>0</v>
      </c>
      <c r="BF216">
        <v>0</v>
      </c>
      <c r="BG216">
        <v>0</v>
      </c>
      <c r="BH216">
        <v>0</v>
      </c>
      <c r="BI216">
        <v>0</v>
      </c>
      <c r="BJ216">
        <v>0</v>
      </c>
      <c r="BK216">
        <v>0</v>
      </c>
      <c r="BL216">
        <v>0</v>
      </c>
      <c r="BM216">
        <v>0</v>
      </c>
      <c r="BN216">
        <v>0</v>
      </c>
      <c r="BO216">
        <v>0</v>
      </c>
      <c r="BP216">
        <v>1</v>
      </c>
      <c r="BQ216">
        <v>0</v>
      </c>
      <c r="BR216">
        <v>1</v>
      </c>
      <c r="BS216">
        <v>2</v>
      </c>
    </row>
    <row r="217" spans="1:71" x14ac:dyDescent="0.3">
      <c r="A217" t="s">
        <v>975</v>
      </c>
      <c r="B217" t="s">
        <v>976</v>
      </c>
      <c r="C217" t="s">
        <v>29</v>
      </c>
      <c r="D217" t="s">
        <v>29</v>
      </c>
      <c r="E217" t="s">
        <v>29</v>
      </c>
      <c r="F217" t="s">
        <v>977</v>
      </c>
      <c r="G217" t="s">
        <v>978</v>
      </c>
      <c r="H217">
        <v>2021</v>
      </c>
      <c r="I217">
        <v>22</v>
      </c>
      <c r="J217">
        <v>2</v>
      </c>
      <c r="K217" t="s">
        <v>29</v>
      </c>
      <c r="L217" t="s">
        <v>29</v>
      </c>
      <c r="M217" t="s">
        <v>29</v>
      </c>
      <c r="N217">
        <v>109</v>
      </c>
      <c r="O217">
        <v>138</v>
      </c>
      <c r="P217" t="s">
        <v>29</v>
      </c>
      <c r="Q217" t="s">
        <v>979</v>
      </c>
      <c r="R217" t="s">
        <v>29</v>
      </c>
      <c r="S217" t="s">
        <v>29</v>
      </c>
      <c r="T217">
        <v>4</v>
      </c>
      <c r="U217">
        <v>1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  <c r="AB217">
        <v>0</v>
      </c>
      <c r="AC217">
        <v>0</v>
      </c>
      <c r="AD217">
        <v>0</v>
      </c>
      <c r="AE217">
        <v>0</v>
      </c>
      <c r="AF217">
        <v>0</v>
      </c>
      <c r="AG217">
        <v>0</v>
      </c>
      <c r="AH217">
        <v>0</v>
      </c>
      <c r="AI217">
        <v>0</v>
      </c>
      <c r="AJ217">
        <v>0</v>
      </c>
      <c r="AK217">
        <v>0</v>
      </c>
      <c r="AL217">
        <v>0</v>
      </c>
      <c r="AM217">
        <v>0</v>
      </c>
      <c r="AN217">
        <v>0</v>
      </c>
      <c r="AO217">
        <v>0</v>
      </c>
      <c r="AP217">
        <v>0</v>
      </c>
      <c r="AQ217">
        <v>0</v>
      </c>
      <c r="AR217">
        <v>0</v>
      </c>
      <c r="AS217">
        <v>0</v>
      </c>
      <c r="AT217">
        <v>0</v>
      </c>
      <c r="AU217">
        <v>0</v>
      </c>
      <c r="AV217">
        <v>0</v>
      </c>
      <c r="AW217">
        <v>0</v>
      </c>
      <c r="AX217">
        <v>0</v>
      </c>
      <c r="AY217">
        <v>0</v>
      </c>
      <c r="AZ217">
        <v>0</v>
      </c>
      <c r="BA217">
        <v>0</v>
      </c>
      <c r="BB217">
        <v>0</v>
      </c>
      <c r="BC217">
        <v>0</v>
      </c>
      <c r="BD217">
        <v>0</v>
      </c>
      <c r="BE217">
        <v>0</v>
      </c>
      <c r="BF217">
        <v>0</v>
      </c>
      <c r="BG217">
        <v>0</v>
      </c>
      <c r="BH217">
        <v>0</v>
      </c>
      <c r="BI217">
        <v>0</v>
      </c>
      <c r="BJ217">
        <v>0</v>
      </c>
      <c r="BK217">
        <v>0</v>
      </c>
      <c r="BL217">
        <v>0</v>
      </c>
      <c r="BM217">
        <v>0</v>
      </c>
      <c r="BN217">
        <v>0</v>
      </c>
      <c r="BO217">
        <v>0</v>
      </c>
      <c r="BP217">
        <v>0</v>
      </c>
      <c r="BQ217">
        <v>2</v>
      </c>
      <c r="BR217">
        <v>0</v>
      </c>
      <c r="BS217">
        <v>2</v>
      </c>
    </row>
    <row r="218" spans="1:71" x14ac:dyDescent="0.3">
      <c r="A218" t="s">
        <v>980</v>
      </c>
      <c r="B218" t="s">
        <v>981</v>
      </c>
      <c r="C218" t="s">
        <v>29</v>
      </c>
      <c r="D218" t="s">
        <v>29</v>
      </c>
      <c r="E218" t="s">
        <v>29</v>
      </c>
      <c r="F218" t="s">
        <v>982</v>
      </c>
      <c r="G218" t="s">
        <v>978</v>
      </c>
      <c r="H218">
        <v>2021</v>
      </c>
      <c r="I218">
        <v>29</v>
      </c>
      <c r="J218">
        <v>1</v>
      </c>
      <c r="K218" t="s">
        <v>29</v>
      </c>
      <c r="L218" t="s">
        <v>29</v>
      </c>
      <c r="M218" t="s">
        <v>29</v>
      </c>
      <c r="N218">
        <v>107</v>
      </c>
      <c r="O218">
        <v>125</v>
      </c>
      <c r="P218" t="s">
        <v>29</v>
      </c>
      <c r="Q218" t="s">
        <v>983</v>
      </c>
      <c r="R218" t="s">
        <v>29</v>
      </c>
      <c r="S218" t="s">
        <v>29</v>
      </c>
      <c r="T218">
        <v>4</v>
      </c>
      <c r="U218">
        <v>1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  <c r="AB218">
        <v>0</v>
      </c>
      <c r="AC218">
        <v>0</v>
      </c>
      <c r="AD218">
        <v>0</v>
      </c>
      <c r="AE218">
        <v>0</v>
      </c>
      <c r="AF218">
        <v>0</v>
      </c>
      <c r="AG218">
        <v>0</v>
      </c>
      <c r="AH218">
        <v>0</v>
      </c>
      <c r="AI218">
        <v>0</v>
      </c>
      <c r="AJ218">
        <v>0</v>
      </c>
      <c r="AK218">
        <v>0</v>
      </c>
      <c r="AL218">
        <v>0</v>
      </c>
      <c r="AM218">
        <v>0</v>
      </c>
      <c r="AN218">
        <v>0</v>
      </c>
      <c r="AO218">
        <v>0</v>
      </c>
      <c r="AP218">
        <v>0</v>
      </c>
      <c r="AQ218">
        <v>0</v>
      </c>
      <c r="AR218">
        <v>0</v>
      </c>
      <c r="AS218">
        <v>0</v>
      </c>
      <c r="AT218">
        <v>0</v>
      </c>
      <c r="AU218">
        <v>0</v>
      </c>
      <c r="AV218">
        <v>0</v>
      </c>
      <c r="AW218">
        <v>0</v>
      </c>
      <c r="AX218">
        <v>0</v>
      </c>
      <c r="AY218">
        <v>0</v>
      </c>
      <c r="AZ218">
        <v>0</v>
      </c>
      <c r="BA218">
        <v>0</v>
      </c>
      <c r="BB218">
        <v>0</v>
      </c>
      <c r="BC218">
        <v>0</v>
      </c>
      <c r="BD218">
        <v>0</v>
      </c>
      <c r="BE218">
        <v>0</v>
      </c>
      <c r="BF218">
        <v>0</v>
      </c>
      <c r="BG218">
        <v>0</v>
      </c>
      <c r="BH218">
        <v>0</v>
      </c>
      <c r="BI218">
        <v>0</v>
      </c>
      <c r="BJ218">
        <v>0</v>
      </c>
      <c r="BK218">
        <v>0</v>
      </c>
      <c r="BL218">
        <v>0</v>
      </c>
      <c r="BM218">
        <v>0</v>
      </c>
      <c r="BN218">
        <v>0</v>
      </c>
      <c r="BO218">
        <v>0</v>
      </c>
      <c r="BP218">
        <v>0</v>
      </c>
      <c r="BQ218">
        <v>1</v>
      </c>
      <c r="BR218">
        <v>1</v>
      </c>
      <c r="BS218">
        <v>2</v>
      </c>
    </row>
    <row r="219" spans="1:71" x14ac:dyDescent="0.3">
      <c r="A219" t="s">
        <v>984</v>
      </c>
      <c r="B219" t="s">
        <v>985</v>
      </c>
      <c r="C219" t="s">
        <v>29</v>
      </c>
      <c r="D219" t="s">
        <v>29</v>
      </c>
      <c r="E219" t="s">
        <v>29</v>
      </c>
      <c r="F219" t="s">
        <v>986</v>
      </c>
      <c r="G219">
        <v>2021</v>
      </c>
      <c r="H219">
        <v>2021</v>
      </c>
      <c r="I219">
        <v>14</v>
      </c>
      <c r="J219">
        <v>33</v>
      </c>
      <c r="K219" t="s">
        <v>29</v>
      </c>
      <c r="L219" t="s">
        <v>29</v>
      </c>
      <c r="M219" t="s">
        <v>29</v>
      </c>
      <c r="N219" t="s">
        <v>29</v>
      </c>
      <c r="O219" t="s">
        <v>29</v>
      </c>
      <c r="P219" t="s">
        <v>987</v>
      </c>
      <c r="Q219" t="s">
        <v>988</v>
      </c>
      <c r="R219" t="s">
        <v>29</v>
      </c>
      <c r="S219" t="s">
        <v>29</v>
      </c>
      <c r="T219">
        <v>4</v>
      </c>
      <c r="U219">
        <v>1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  <c r="AB219">
        <v>0</v>
      </c>
      <c r="AC219">
        <v>0</v>
      </c>
      <c r="AD219">
        <v>0</v>
      </c>
      <c r="AE219">
        <v>0</v>
      </c>
      <c r="AF219">
        <v>0</v>
      </c>
      <c r="AG219">
        <v>0</v>
      </c>
      <c r="AH219">
        <v>0</v>
      </c>
      <c r="AI219">
        <v>0</v>
      </c>
      <c r="AJ219">
        <v>0</v>
      </c>
      <c r="AK219">
        <v>0</v>
      </c>
      <c r="AL219">
        <v>0</v>
      </c>
      <c r="AM219">
        <v>0</v>
      </c>
      <c r="AN219">
        <v>0</v>
      </c>
      <c r="AO219">
        <v>0</v>
      </c>
      <c r="AP219">
        <v>0</v>
      </c>
      <c r="AQ219">
        <v>0</v>
      </c>
      <c r="AR219">
        <v>0</v>
      </c>
      <c r="AS219">
        <v>0</v>
      </c>
      <c r="AT219">
        <v>0</v>
      </c>
      <c r="AU219">
        <v>0</v>
      </c>
      <c r="AV219">
        <v>0</v>
      </c>
      <c r="AW219">
        <v>0</v>
      </c>
      <c r="AX219">
        <v>0</v>
      </c>
      <c r="AY219">
        <v>0</v>
      </c>
      <c r="AZ219">
        <v>0</v>
      </c>
      <c r="BA219">
        <v>0</v>
      </c>
      <c r="BB219">
        <v>0</v>
      </c>
      <c r="BC219">
        <v>0</v>
      </c>
      <c r="BD219">
        <v>0</v>
      </c>
      <c r="BE219">
        <v>0</v>
      </c>
      <c r="BF219">
        <v>0</v>
      </c>
      <c r="BG219">
        <v>0</v>
      </c>
      <c r="BH219">
        <v>0</v>
      </c>
      <c r="BI219">
        <v>0</v>
      </c>
      <c r="BJ219">
        <v>0</v>
      </c>
      <c r="BK219">
        <v>0</v>
      </c>
      <c r="BL219">
        <v>0</v>
      </c>
      <c r="BM219">
        <v>0</v>
      </c>
      <c r="BN219">
        <v>0</v>
      </c>
      <c r="BO219">
        <v>0</v>
      </c>
      <c r="BP219">
        <v>0</v>
      </c>
      <c r="BQ219">
        <v>2</v>
      </c>
      <c r="BR219">
        <v>2</v>
      </c>
      <c r="BS219">
        <v>0</v>
      </c>
    </row>
    <row r="220" spans="1:71" x14ac:dyDescent="0.3">
      <c r="A220" t="s">
        <v>989</v>
      </c>
      <c r="B220" t="s">
        <v>990</v>
      </c>
      <c r="C220" t="s">
        <v>29</v>
      </c>
      <c r="D220" t="s">
        <v>29</v>
      </c>
      <c r="E220" t="s">
        <v>29</v>
      </c>
      <c r="F220" t="s">
        <v>991</v>
      </c>
      <c r="G220" t="s">
        <v>992</v>
      </c>
      <c r="H220">
        <v>2020</v>
      </c>
      <c r="I220">
        <v>56</v>
      </c>
      <c r="J220">
        <v>2</v>
      </c>
      <c r="K220" t="s">
        <v>29</v>
      </c>
      <c r="L220" t="s">
        <v>29</v>
      </c>
      <c r="M220" t="s">
        <v>29</v>
      </c>
      <c r="N220">
        <v>186</v>
      </c>
      <c r="O220">
        <v>207</v>
      </c>
      <c r="P220" t="s">
        <v>29</v>
      </c>
      <c r="Q220" t="s">
        <v>993</v>
      </c>
      <c r="R220" t="s">
        <v>29</v>
      </c>
      <c r="S220" t="s">
        <v>29</v>
      </c>
      <c r="T220">
        <v>4</v>
      </c>
      <c r="U220">
        <v>0.8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  <c r="AB220">
        <v>0</v>
      </c>
      <c r="AC220">
        <v>0</v>
      </c>
      <c r="AD220">
        <v>0</v>
      </c>
      <c r="AE220">
        <v>0</v>
      </c>
      <c r="AF220">
        <v>0</v>
      </c>
      <c r="AG220">
        <v>0</v>
      </c>
      <c r="AH220">
        <v>0</v>
      </c>
      <c r="AI220">
        <v>0</v>
      </c>
      <c r="AJ220">
        <v>0</v>
      </c>
      <c r="AK220">
        <v>0</v>
      </c>
      <c r="AL220">
        <v>0</v>
      </c>
      <c r="AM220">
        <v>0</v>
      </c>
      <c r="AN220">
        <v>0</v>
      </c>
      <c r="AO220">
        <v>0</v>
      </c>
      <c r="AP220">
        <v>0</v>
      </c>
      <c r="AQ220">
        <v>0</v>
      </c>
      <c r="AR220">
        <v>0</v>
      </c>
      <c r="AS220">
        <v>0</v>
      </c>
      <c r="AT220">
        <v>0</v>
      </c>
      <c r="AU220">
        <v>0</v>
      </c>
      <c r="AV220">
        <v>0</v>
      </c>
      <c r="AW220">
        <v>0</v>
      </c>
      <c r="AX220">
        <v>0</v>
      </c>
      <c r="AY220">
        <v>0</v>
      </c>
      <c r="AZ220">
        <v>0</v>
      </c>
      <c r="BA220">
        <v>0</v>
      </c>
      <c r="BB220">
        <v>0</v>
      </c>
      <c r="BC220">
        <v>0</v>
      </c>
      <c r="BD220">
        <v>0</v>
      </c>
      <c r="BE220">
        <v>0</v>
      </c>
      <c r="BF220">
        <v>0</v>
      </c>
      <c r="BG220">
        <v>0</v>
      </c>
      <c r="BH220">
        <v>0</v>
      </c>
      <c r="BI220">
        <v>0</v>
      </c>
      <c r="BJ220">
        <v>0</v>
      </c>
      <c r="BK220">
        <v>0</v>
      </c>
      <c r="BL220">
        <v>0</v>
      </c>
      <c r="BM220">
        <v>0</v>
      </c>
      <c r="BN220">
        <v>0</v>
      </c>
      <c r="BO220">
        <v>1</v>
      </c>
      <c r="BP220">
        <v>1</v>
      </c>
      <c r="BQ220">
        <v>0</v>
      </c>
      <c r="BR220">
        <v>0</v>
      </c>
      <c r="BS220">
        <v>2</v>
      </c>
    </row>
    <row r="221" spans="1:71" x14ac:dyDescent="0.3">
      <c r="A221" t="s">
        <v>994</v>
      </c>
      <c r="B221" t="s">
        <v>995</v>
      </c>
      <c r="C221" t="s">
        <v>29</v>
      </c>
      <c r="D221" t="s">
        <v>29</v>
      </c>
      <c r="E221" t="s">
        <v>29</v>
      </c>
      <c r="F221" t="s">
        <v>996</v>
      </c>
      <c r="G221">
        <v>2020</v>
      </c>
      <c r="H221">
        <v>2020</v>
      </c>
      <c r="I221">
        <v>8</v>
      </c>
      <c r="J221" t="s">
        <v>29</v>
      </c>
      <c r="K221" t="s">
        <v>29</v>
      </c>
      <c r="L221" t="s">
        <v>29</v>
      </c>
      <c r="M221" t="s">
        <v>29</v>
      </c>
      <c r="N221">
        <v>212396</v>
      </c>
      <c r="O221">
        <v>212408</v>
      </c>
      <c r="P221" t="s">
        <v>29</v>
      </c>
      <c r="Q221" t="s">
        <v>997</v>
      </c>
      <c r="R221" t="s">
        <v>29</v>
      </c>
      <c r="S221" t="s">
        <v>29</v>
      </c>
      <c r="T221">
        <v>4</v>
      </c>
      <c r="U221">
        <v>0.8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  <c r="AB221">
        <v>0</v>
      </c>
      <c r="AC221">
        <v>0</v>
      </c>
      <c r="AD221">
        <v>0</v>
      </c>
      <c r="AE221">
        <v>0</v>
      </c>
      <c r="AF221">
        <v>0</v>
      </c>
      <c r="AG221">
        <v>0</v>
      </c>
      <c r="AH221">
        <v>0</v>
      </c>
      <c r="AI221">
        <v>0</v>
      </c>
      <c r="AJ221">
        <v>0</v>
      </c>
      <c r="AK221">
        <v>0</v>
      </c>
      <c r="AL221">
        <v>0</v>
      </c>
      <c r="AM221">
        <v>0</v>
      </c>
      <c r="AN221">
        <v>0</v>
      </c>
      <c r="AO221">
        <v>0</v>
      </c>
      <c r="AP221">
        <v>0</v>
      </c>
      <c r="AQ221">
        <v>0</v>
      </c>
      <c r="AR221">
        <v>0</v>
      </c>
      <c r="AS221">
        <v>0</v>
      </c>
      <c r="AT221">
        <v>0</v>
      </c>
      <c r="AU221">
        <v>0</v>
      </c>
      <c r="AV221">
        <v>0</v>
      </c>
      <c r="AW221">
        <v>0</v>
      </c>
      <c r="AX221">
        <v>0</v>
      </c>
      <c r="AY221">
        <v>0</v>
      </c>
      <c r="AZ221">
        <v>0</v>
      </c>
      <c r="BA221">
        <v>0</v>
      </c>
      <c r="BB221">
        <v>0</v>
      </c>
      <c r="BC221">
        <v>0</v>
      </c>
      <c r="BD221">
        <v>0</v>
      </c>
      <c r="BE221">
        <v>0</v>
      </c>
      <c r="BF221">
        <v>0</v>
      </c>
      <c r="BG221">
        <v>0</v>
      </c>
      <c r="BH221">
        <v>0</v>
      </c>
      <c r="BI221">
        <v>0</v>
      </c>
      <c r="BJ221">
        <v>0</v>
      </c>
      <c r="BK221">
        <v>0</v>
      </c>
      <c r="BL221">
        <v>0</v>
      </c>
      <c r="BM221">
        <v>0</v>
      </c>
      <c r="BN221">
        <v>0</v>
      </c>
      <c r="BO221">
        <v>0</v>
      </c>
      <c r="BP221">
        <v>0</v>
      </c>
      <c r="BQ221">
        <v>3</v>
      </c>
      <c r="BR221">
        <v>0</v>
      </c>
      <c r="BS221">
        <v>1</v>
      </c>
    </row>
    <row r="222" spans="1:71" x14ac:dyDescent="0.3">
      <c r="A222" t="s">
        <v>998</v>
      </c>
      <c r="B222" t="s">
        <v>999</v>
      </c>
      <c r="C222" t="s">
        <v>29</v>
      </c>
      <c r="D222" t="s">
        <v>29</v>
      </c>
      <c r="E222" t="s">
        <v>29</v>
      </c>
      <c r="F222" t="s">
        <v>906</v>
      </c>
      <c r="G222">
        <v>2020</v>
      </c>
      <c r="H222">
        <v>2020</v>
      </c>
      <c r="I222">
        <v>10</v>
      </c>
      <c r="J222">
        <v>5</v>
      </c>
      <c r="K222" t="s">
        <v>29</v>
      </c>
      <c r="L222" t="s">
        <v>29</v>
      </c>
      <c r="M222" t="s">
        <v>29</v>
      </c>
      <c r="N222">
        <v>49</v>
      </c>
      <c r="O222">
        <v>61</v>
      </c>
      <c r="P222" t="s">
        <v>29</v>
      </c>
      <c r="Q222" t="s">
        <v>1000</v>
      </c>
      <c r="R222" t="s">
        <v>29</v>
      </c>
      <c r="S222" t="s">
        <v>29</v>
      </c>
      <c r="T222">
        <v>4</v>
      </c>
      <c r="U222">
        <v>0.8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  <c r="AB222">
        <v>0</v>
      </c>
      <c r="AC222">
        <v>0</v>
      </c>
      <c r="AD222">
        <v>0</v>
      </c>
      <c r="AE222">
        <v>0</v>
      </c>
      <c r="AF222">
        <v>0</v>
      </c>
      <c r="AG222">
        <v>0</v>
      </c>
      <c r="AH222">
        <v>0</v>
      </c>
      <c r="AI222">
        <v>0</v>
      </c>
      <c r="AJ222">
        <v>0</v>
      </c>
      <c r="AK222">
        <v>0</v>
      </c>
      <c r="AL222">
        <v>0</v>
      </c>
      <c r="AM222">
        <v>0</v>
      </c>
      <c r="AN222">
        <v>0</v>
      </c>
      <c r="AO222">
        <v>0</v>
      </c>
      <c r="AP222">
        <v>0</v>
      </c>
      <c r="AQ222">
        <v>0</v>
      </c>
      <c r="AR222">
        <v>0</v>
      </c>
      <c r="AS222">
        <v>0</v>
      </c>
      <c r="AT222">
        <v>0</v>
      </c>
      <c r="AU222">
        <v>0</v>
      </c>
      <c r="AV222">
        <v>0</v>
      </c>
      <c r="AW222">
        <v>0</v>
      </c>
      <c r="AX222">
        <v>0</v>
      </c>
      <c r="AY222">
        <v>0</v>
      </c>
      <c r="AZ222">
        <v>0</v>
      </c>
      <c r="BA222">
        <v>0</v>
      </c>
      <c r="BB222">
        <v>0</v>
      </c>
      <c r="BC222">
        <v>0</v>
      </c>
      <c r="BD222">
        <v>0</v>
      </c>
      <c r="BE222">
        <v>0</v>
      </c>
      <c r="BF222">
        <v>0</v>
      </c>
      <c r="BG222">
        <v>0</v>
      </c>
      <c r="BH222">
        <v>0</v>
      </c>
      <c r="BI222">
        <v>0</v>
      </c>
      <c r="BJ222">
        <v>0</v>
      </c>
      <c r="BK222">
        <v>0</v>
      </c>
      <c r="BL222">
        <v>0</v>
      </c>
      <c r="BM222">
        <v>0</v>
      </c>
      <c r="BN222">
        <v>0</v>
      </c>
      <c r="BO222">
        <v>0</v>
      </c>
      <c r="BP222">
        <v>2</v>
      </c>
      <c r="BQ222">
        <v>1</v>
      </c>
      <c r="BR222">
        <v>1</v>
      </c>
      <c r="BS222">
        <v>0</v>
      </c>
    </row>
    <row r="223" spans="1:71" x14ac:dyDescent="0.3">
      <c r="A223" t="s">
        <v>1001</v>
      </c>
      <c r="B223" t="s">
        <v>1002</v>
      </c>
      <c r="C223" t="s">
        <v>29</v>
      </c>
      <c r="D223" t="s">
        <v>29</v>
      </c>
      <c r="E223" t="s">
        <v>29</v>
      </c>
      <c r="F223" t="s">
        <v>1003</v>
      </c>
      <c r="G223" t="s">
        <v>1004</v>
      </c>
      <c r="H223">
        <v>2020</v>
      </c>
      <c r="I223">
        <v>66</v>
      </c>
      <c r="J223">
        <v>3</v>
      </c>
      <c r="K223" t="s">
        <v>29</v>
      </c>
      <c r="L223" t="s">
        <v>29</v>
      </c>
      <c r="M223" t="s">
        <v>29</v>
      </c>
      <c r="N223">
        <v>647</v>
      </c>
      <c r="O223">
        <v>676</v>
      </c>
      <c r="P223" t="s">
        <v>29</v>
      </c>
      <c r="Q223" t="s">
        <v>1005</v>
      </c>
      <c r="R223" t="s">
        <v>29</v>
      </c>
      <c r="S223" t="s">
        <v>29</v>
      </c>
      <c r="T223">
        <v>4</v>
      </c>
      <c r="U223">
        <v>0.67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  <c r="AB223">
        <v>0</v>
      </c>
      <c r="AC223">
        <v>0</v>
      </c>
      <c r="AD223">
        <v>0</v>
      </c>
      <c r="AE223">
        <v>0</v>
      </c>
      <c r="AF223">
        <v>0</v>
      </c>
      <c r="AG223">
        <v>0</v>
      </c>
      <c r="AH223">
        <v>0</v>
      </c>
      <c r="AI223">
        <v>0</v>
      </c>
      <c r="AJ223">
        <v>0</v>
      </c>
      <c r="AK223">
        <v>0</v>
      </c>
      <c r="AL223">
        <v>0</v>
      </c>
      <c r="AM223">
        <v>0</v>
      </c>
      <c r="AN223">
        <v>0</v>
      </c>
      <c r="AO223">
        <v>0</v>
      </c>
      <c r="AP223">
        <v>0</v>
      </c>
      <c r="AQ223">
        <v>0</v>
      </c>
      <c r="AR223">
        <v>0</v>
      </c>
      <c r="AS223">
        <v>0</v>
      </c>
      <c r="AT223">
        <v>0</v>
      </c>
      <c r="AU223">
        <v>0</v>
      </c>
      <c r="AV223">
        <v>0</v>
      </c>
      <c r="AW223">
        <v>0</v>
      </c>
      <c r="AX223">
        <v>0</v>
      </c>
      <c r="AY223">
        <v>0</v>
      </c>
      <c r="AZ223">
        <v>0</v>
      </c>
      <c r="BA223">
        <v>0</v>
      </c>
      <c r="BB223">
        <v>0</v>
      </c>
      <c r="BC223">
        <v>0</v>
      </c>
      <c r="BD223">
        <v>0</v>
      </c>
      <c r="BE223">
        <v>0</v>
      </c>
      <c r="BF223">
        <v>0</v>
      </c>
      <c r="BG223">
        <v>0</v>
      </c>
      <c r="BH223">
        <v>0</v>
      </c>
      <c r="BI223">
        <v>0</v>
      </c>
      <c r="BJ223">
        <v>0</v>
      </c>
      <c r="BK223">
        <v>0</v>
      </c>
      <c r="BL223">
        <v>0</v>
      </c>
      <c r="BM223">
        <v>0</v>
      </c>
      <c r="BN223">
        <v>0</v>
      </c>
      <c r="BO223">
        <v>0</v>
      </c>
      <c r="BP223">
        <v>1</v>
      </c>
      <c r="BQ223">
        <v>1</v>
      </c>
      <c r="BR223">
        <v>0</v>
      </c>
      <c r="BS223">
        <v>2</v>
      </c>
    </row>
    <row r="224" spans="1:71" x14ac:dyDescent="0.3">
      <c r="A224" t="s">
        <v>1006</v>
      </c>
      <c r="B224" t="s">
        <v>1007</v>
      </c>
      <c r="C224" t="s">
        <v>29</v>
      </c>
      <c r="D224" t="s">
        <v>29</v>
      </c>
      <c r="E224" t="s">
        <v>29</v>
      </c>
      <c r="F224" t="s">
        <v>111</v>
      </c>
      <c r="G224" t="s">
        <v>127</v>
      </c>
      <c r="H224">
        <v>2019</v>
      </c>
      <c r="I224">
        <v>70</v>
      </c>
      <c r="J224" t="s">
        <v>29</v>
      </c>
      <c r="K224" t="s">
        <v>29</v>
      </c>
      <c r="L224" t="s">
        <v>29</v>
      </c>
      <c r="M224" t="s">
        <v>29</v>
      </c>
      <c r="N224">
        <v>173</v>
      </c>
      <c r="O224">
        <v>191</v>
      </c>
      <c r="P224" t="s">
        <v>29</v>
      </c>
      <c r="Q224" t="s">
        <v>1008</v>
      </c>
      <c r="R224" t="s">
        <v>29</v>
      </c>
      <c r="S224" t="s">
        <v>29</v>
      </c>
      <c r="T224">
        <v>4</v>
      </c>
      <c r="U224">
        <v>0.67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  <c r="AB224">
        <v>0</v>
      </c>
      <c r="AC224">
        <v>0</v>
      </c>
      <c r="AD224">
        <v>0</v>
      </c>
      <c r="AE224">
        <v>0</v>
      </c>
      <c r="AF224">
        <v>0</v>
      </c>
      <c r="AG224">
        <v>0</v>
      </c>
      <c r="AH224">
        <v>0</v>
      </c>
      <c r="AI224">
        <v>0</v>
      </c>
      <c r="AJ224">
        <v>0</v>
      </c>
      <c r="AK224">
        <v>0</v>
      </c>
      <c r="AL224">
        <v>0</v>
      </c>
      <c r="AM224">
        <v>0</v>
      </c>
      <c r="AN224">
        <v>0</v>
      </c>
      <c r="AO224">
        <v>0</v>
      </c>
      <c r="AP224">
        <v>0</v>
      </c>
      <c r="AQ224">
        <v>0</v>
      </c>
      <c r="AR224">
        <v>0</v>
      </c>
      <c r="AS224">
        <v>0</v>
      </c>
      <c r="AT224">
        <v>0</v>
      </c>
      <c r="AU224">
        <v>0</v>
      </c>
      <c r="AV224">
        <v>0</v>
      </c>
      <c r="AW224">
        <v>0</v>
      </c>
      <c r="AX224">
        <v>0</v>
      </c>
      <c r="AY224">
        <v>0</v>
      </c>
      <c r="AZ224">
        <v>0</v>
      </c>
      <c r="BA224">
        <v>0</v>
      </c>
      <c r="BB224">
        <v>0</v>
      </c>
      <c r="BC224">
        <v>0</v>
      </c>
      <c r="BD224">
        <v>0</v>
      </c>
      <c r="BE224">
        <v>0</v>
      </c>
      <c r="BF224">
        <v>0</v>
      </c>
      <c r="BG224">
        <v>0</v>
      </c>
      <c r="BH224">
        <v>0</v>
      </c>
      <c r="BI224">
        <v>0</v>
      </c>
      <c r="BJ224">
        <v>0</v>
      </c>
      <c r="BK224">
        <v>0</v>
      </c>
      <c r="BL224">
        <v>0</v>
      </c>
      <c r="BM224">
        <v>0</v>
      </c>
      <c r="BN224">
        <v>0</v>
      </c>
      <c r="BO224">
        <v>0</v>
      </c>
      <c r="BP224">
        <v>1</v>
      </c>
      <c r="BQ224">
        <v>0</v>
      </c>
      <c r="BR224">
        <v>1</v>
      </c>
      <c r="BS224">
        <v>2</v>
      </c>
    </row>
    <row r="225" spans="1:71" x14ac:dyDescent="0.3">
      <c r="A225" t="s">
        <v>1009</v>
      </c>
      <c r="B225" t="s">
        <v>1010</v>
      </c>
      <c r="C225" t="s">
        <v>29</v>
      </c>
      <c r="D225" t="s">
        <v>29</v>
      </c>
      <c r="E225" t="s">
        <v>29</v>
      </c>
      <c r="F225" t="s">
        <v>696</v>
      </c>
      <c r="G225">
        <v>2019</v>
      </c>
      <c r="H225">
        <v>2019</v>
      </c>
      <c r="I225">
        <v>11</v>
      </c>
      <c r="J225">
        <v>3</v>
      </c>
      <c r="K225" t="s">
        <v>29</v>
      </c>
      <c r="L225" t="s">
        <v>29</v>
      </c>
      <c r="M225" t="s">
        <v>32</v>
      </c>
      <c r="N225">
        <v>9</v>
      </c>
      <c r="O225">
        <v>14</v>
      </c>
      <c r="P225" t="s">
        <v>29</v>
      </c>
      <c r="Q225" t="s">
        <v>1011</v>
      </c>
      <c r="R225" t="s">
        <v>29</v>
      </c>
      <c r="S225" t="s">
        <v>29</v>
      </c>
      <c r="T225">
        <v>4</v>
      </c>
      <c r="U225">
        <v>0.67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  <c r="AB225">
        <v>0</v>
      </c>
      <c r="AC225">
        <v>0</v>
      </c>
      <c r="AD225">
        <v>0</v>
      </c>
      <c r="AE225">
        <v>0</v>
      </c>
      <c r="AF225">
        <v>0</v>
      </c>
      <c r="AG225">
        <v>0</v>
      </c>
      <c r="AH225">
        <v>0</v>
      </c>
      <c r="AI225">
        <v>0</v>
      </c>
      <c r="AJ225">
        <v>0</v>
      </c>
      <c r="AK225">
        <v>0</v>
      </c>
      <c r="AL225">
        <v>0</v>
      </c>
      <c r="AM225">
        <v>0</v>
      </c>
      <c r="AN225">
        <v>0</v>
      </c>
      <c r="AO225">
        <v>0</v>
      </c>
      <c r="AP225">
        <v>0</v>
      </c>
      <c r="AQ225">
        <v>0</v>
      </c>
      <c r="AR225">
        <v>0</v>
      </c>
      <c r="AS225">
        <v>0</v>
      </c>
      <c r="AT225">
        <v>0</v>
      </c>
      <c r="AU225">
        <v>0</v>
      </c>
      <c r="AV225">
        <v>0</v>
      </c>
      <c r="AW225">
        <v>0</v>
      </c>
      <c r="AX225">
        <v>0</v>
      </c>
      <c r="AY225">
        <v>0</v>
      </c>
      <c r="AZ225">
        <v>0</v>
      </c>
      <c r="BA225">
        <v>0</v>
      </c>
      <c r="BB225">
        <v>0</v>
      </c>
      <c r="BC225">
        <v>0</v>
      </c>
      <c r="BD225">
        <v>0</v>
      </c>
      <c r="BE225">
        <v>0</v>
      </c>
      <c r="BF225">
        <v>0</v>
      </c>
      <c r="BG225">
        <v>0</v>
      </c>
      <c r="BH225">
        <v>0</v>
      </c>
      <c r="BI225">
        <v>0</v>
      </c>
      <c r="BJ225">
        <v>0</v>
      </c>
      <c r="BK225">
        <v>0</v>
      </c>
      <c r="BL225">
        <v>0</v>
      </c>
      <c r="BM225">
        <v>0</v>
      </c>
      <c r="BN225">
        <v>0</v>
      </c>
      <c r="BO225">
        <v>1</v>
      </c>
      <c r="BP225">
        <v>0</v>
      </c>
      <c r="BQ225">
        <v>3</v>
      </c>
      <c r="BR225">
        <v>0</v>
      </c>
      <c r="BS225">
        <v>0</v>
      </c>
    </row>
    <row r="226" spans="1:71" x14ac:dyDescent="0.3">
      <c r="A226" t="s">
        <v>259</v>
      </c>
      <c r="B226" t="s">
        <v>1012</v>
      </c>
      <c r="C226" t="s">
        <v>29</v>
      </c>
      <c r="D226" t="s">
        <v>29</v>
      </c>
      <c r="E226" t="s">
        <v>29</v>
      </c>
      <c r="F226" t="s">
        <v>1013</v>
      </c>
      <c r="G226" t="s">
        <v>1014</v>
      </c>
      <c r="H226">
        <v>2018</v>
      </c>
      <c r="I226">
        <v>39</v>
      </c>
      <c r="J226">
        <v>1</v>
      </c>
      <c r="K226" t="s">
        <v>29</v>
      </c>
      <c r="L226" t="s">
        <v>29</v>
      </c>
      <c r="M226" t="s">
        <v>29</v>
      </c>
      <c r="N226">
        <v>5</v>
      </c>
      <c r="O226">
        <v>14</v>
      </c>
      <c r="P226" t="s">
        <v>29</v>
      </c>
      <c r="Q226" t="s">
        <v>1015</v>
      </c>
      <c r="R226" t="s">
        <v>29</v>
      </c>
      <c r="S226" t="s">
        <v>29</v>
      </c>
      <c r="T226">
        <v>4</v>
      </c>
      <c r="U226">
        <v>0.56999999999999995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  <c r="AB226">
        <v>0</v>
      </c>
      <c r="AC226">
        <v>0</v>
      </c>
      <c r="AD226">
        <v>0</v>
      </c>
      <c r="AE226">
        <v>0</v>
      </c>
      <c r="AF226">
        <v>0</v>
      </c>
      <c r="AG226">
        <v>0</v>
      </c>
      <c r="AH226">
        <v>0</v>
      </c>
      <c r="AI226">
        <v>0</v>
      </c>
      <c r="AJ226">
        <v>0</v>
      </c>
      <c r="AK226">
        <v>0</v>
      </c>
      <c r="AL226">
        <v>0</v>
      </c>
      <c r="AM226">
        <v>0</v>
      </c>
      <c r="AN226">
        <v>0</v>
      </c>
      <c r="AO226">
        <v>0</v>
      </c>
      <c r="AP226">
        <v>0</v>
      </c>
      <c r="AQ226">
        <v>0</v>
      </c>
      <c r="AR226">
        <v>0</v>
      </c>
      <c r="AS226">
        <v>0</v>
      </c>
      <c r="AT226">
        <v>0</v>
      </c>
      <c r="AU226">
        <v>0</v>
      </c>
      <c r="AV226">
        <v>0</v>
      </c>
      <c r="AW226">
        <v>0</v>
      </c>
      <c r="AX226">
        <v>0</v>
      </c>
      <c r="AY226">
        <v>0</v>
      </c>
      <c r="AZ226">
        <v>0</v>
      </c>
      <c r="BA226">
        <v>0</v>
      </c>
      <c r="BB226">
        <v>0</v>
      </c>
      <c r="BC226">
        <v>0</v>
      </c>
      <c r="BD226">
        <v>0</v>
      </c>
      <c r="BE226">
        <v>0</v>
      </c>
      <c r="BF226">
        <v>0</v>
      </c>
      <c r="BG226">
        <v>0</v>
      </c>
      <c r="BH226">
        <v>0</v>
      </c>
      <c r="BI226">
        <v>0</v>
      </c>
      <c r="BJ226">
        <v>0</v>
      </c>
      <c r="BK226">
        <v>0</v>
      </c>
      <c r="BL226">
        <v>0</v>
      </c>
      <c r="BM226">
        <v>0</v>
      </c>
      <c r="BN226">
        <v>0</v>
      </c>
      <c r="BO226">
        <v>0</v>
      </c>
      <c r="BP226">
        <v>0</v>
      </c>
      <c r="BQ226">
        <v>2</v>
      </c>
      <c r="BR226">
        <v>1</v>
      </c>
      <c r="BS226">
        <v>1</v>
      </c>
    </row>
    <row r="227" spans="1:71" x14ac:dyDescent="0.3">
      <c r="A227" t="s">
        <v>1016</v>
      </c>
      <c r="B227" t="s">
        <v>1017</v>
      </c>
      <c r="C227" t="s">
        <v>29</v>
      </c>
      <c r="D227" t="s">
        <v>29</v>
      </c>
      <c r="E227" t="s">
        <v>29</v>
      </c>
      <c r="F227" t="s">
        <v>365</v>
      </c>
      <c r="G227">
        <v>2018</v>
      </c>
      <c r="H227">
        <v>2018</v>
      </c>
      <c r="I227">
        <v>8</v>
      </c>
      <c r="J227">
        <v>4</v>
      </c>
      <c r="K227" t="s">
        <v>29</v>
      </c>
      <c r="L227" t="s">
        <v>29</v>
      </c>
      <c r="M227" t="s">
        <v>29</v>
      </c>
      <c r="N227">
        <v>365</v>
      </c>
      <c r="O227">
        <v>375</v>
      </c>
      <c r="P227" t="s">
        <v>29</v>
      </c>
      <c r="Q227" t="s">
        <v>1018</v>
      </c>
      <c r="R227" t="s">
        <v>29</v>
      </c>
      <c r="S227" t="s">
        <v>29</v>
      </c>
      <c r="T227">
        <v>4</v>
      </c>
      <c r="U227">
        <v>0.56999999999999995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  <c r="AB227">
        <v>0</v>
      </c>
      <c r="AC227">
        <v>0</v>
      </c>
      <c r="AD227">
        <v>0</v>
      </c>
      <c r="AE227">
        <v>0</v>
      </c>
      <c r="AF227">
        <v>0</v>
      </c>
      <c r="AG227">
        <v>0</v>
      </c>
      <c r="AH227">
        <v>0</v>
      </c>
      <c r="AI227">
        <v>0</v>
      </c>
      <c r="AJ227">
        <v>0</v>
      </c>
      <c r="AK227">
        <v>0</v>
      </c>
      <c r="AL227">
        <v>0</v>
      </c>
      <c r="AM227">
        <v>0</v>
      </c>
      <c r="AN227">
        <v>0</v>
      </c>
      <c r="AO227">
        <v>0</v>
      </c>
      <c r="AP227">
        <v>0</v>
      </c>
      <c r="AQ227">
        <v>0</v>
      </c>
      <c r="AR227">
        <v>0</v>
      </c>
      <c r="AS227">
        <v>0</v>
      </c>
      <c r="AT227">
        <v>0</v>
      </c>
      <c r="AU227">
        <v>0</v>
      </c>
      <c r="AV227">
        <v>0</v>
      </c>
      <c r="AW227">
        <v>0</v>
      </c>
      <c r="AX227">
        <v>0</v>
      </c>
      <c r="AY227">
        <v>0</v>
      </c>
      <c r="AZ227">
        <v>0</v>
      </c>
      <c r="BA227">
        <v>0</v>
      </c>
      <c r="BB227">
        <v>0</v>
      </c>
      <c r="BC227">
        <v>0</v>
      </c>
      <c r="BD227">
        <v>0</v>
      </c>
      <c r="BE227">
        <v>0</v>
      </c>
      <c r="BF227">
        <v>0</v>
      </c>
      <c r="BG227">
        <v>0</v>
      </c>
      <c r="BH227">
        <v>0</v>
      </c>
      <c r="BI227">
        <v>0</v>
      </c>
      <c r="BJ227">
        <v>0</v>
      </c>
      <c r="BK227">
        <v>0</v>
      </c>
      <c r="BL227">
        <v>0</v>
      </c>
      <c r="BM227">
        <v>0</v>
      </c>
      <c r="BN227">
        <v>0</v>
      </c>
      <c r="BO227">
        <v>1</v>
      </c>
      <c r="BP227">
        <v>0</v>
      </c>
      <c r="BQ227">
        <v>0</v>
      </c>
      <c r="BR227">
        <v>1</v>
      </c>
      <c r="BS227">
        <v>2</v>
      </c>
    </row>
    <row r="228" spans="1:71" x14ac:dyDescent="0.3">
      <c r="A228" t="s">
        <v>1019</v>
      </c>
      <c r="B228" t="s">
        <v>1020</v>
      </c>
      <c r="C228" t="s">
        <v>29</v>
      </c>
      <c r="D228" t="s">
        <v>29</v>
      </c>
      <c r="E228" t="s">
        <v>29</v>
      </c>
      <c r="F228" t="s">
        <v>1021</v>
      </c>
      <c r="G228">
        <v>2018</v>
      </c>
      <c r="H228">
        <v>2018</v>
      </c>
      <c r="I228">
        <v>4</v>
      </c>
      <c r="J228">
        <v>4</v>
      </c>
      <c r="K228" t="s">
        <v>29</v>
      </c>
      <c r="L228" t="s">
        <v>29</v>
      </c>
      <c r="M228" t="s">
        <v>29</v>
      </c>
      <c r="N228">
        <v>42</v>
      </c>
      <c r="O228">
        <v>53</v>
      </c>
      <c r="P228" t="s">
        <v>29</v>
      </c>
      <c r="Q228" t="s">
        <v>1022</v>
      </c>
      <c r="R228" t="s">
        <v>29</v>
      </c>
      <c r="S228" t="s">
        <v>29</v>
      </c>
      <c r="T228">
        <v>4</v>
      </c>
      <c r="U228">
        <v>0.56999999999999995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  <c r="AB228">
        <v>0</v>
      </c>
      <c r="AC228">
        <v>0</v>
      </c>
      <c r="AD228">
        <v>0</v>
      </c>
      <c r="AE228">
        <v>0</v>
      </c>
      <c r="AF228">
        <v>0</v>
      </c>
      <c r="AG228">
        <v>0</v>
      </c>
      <c r="AH228">
        <v>0</v>
      </c>
      <c r="AI228">
        <v>0</v>
      </c>
      <c r="AJ228">
        <v>0</v>
      </c>
      <c r="AK228">
        <v>0</v>
      </c>
      <c r="AL228">
        <v>0</v>
      </c>
      <c r="AM228">
        <v>0</v>
      </c>
      <c r="AN228">
        <v>0</v>
      </c>
      <c r="AO228">
        <v>0</v>
      </c>
      <c r="AP228">
        <v>0</v>
      </c>
      <c r="AQ228">
        <v>0</v>
      </c>
      <c r="AR228">
        <v>0</v>
      </c>
      <c r="AS228">
        <v>0</v>
      </c>
      <c r="AT228">
        <v>0</v>
      </c>
      <c r="AU228">
        <v>0</v>
      </c>
      <c r="AV228">
        <v>0</v>
      </c>
      <c r="AW228">
        <v>0</v>
      </c>
      <c r="AX228">
        <v>0</v>
      </c>
      <c r="AY228">
        <v>0</v>
      </c>
      <c r="AZ228">
        <v>0</v>
      </c>
      <c r="BA228">
        <v>0</v>
      </c>
      <c r="BB228">
        <v>0</v>
      </c>
      <c r="BC228">
        <v>0</v>
      </c>
      <c r="BD228">
        <v>0</v>
      </c>
      <c r="BE228">
        <v>0</v>
      </c>
      <c r="BF228">
        <v>0</v>
      </c>
      <c r="BG228">
        <v>0</v>
      </c>
      <c r="BH228">
        <v>0</v>
      </c>
      <c r="BI228">
        <v>0</v>
      </c>
      <c r="BJ228">
        <v>0</v>
      </c>
      <c r="BK228">
        <v>0</v>
      </c>
      <c r="BL228">
        <v>0</v>
      </c>
      <c r="BM228">
        <v>0</v>
      </c>
      <c r="BN228">
        <v>1</v>
      </c>
      <c r="BO228">
        <v>2</v>
      </c>
      <c r="BP228">
        <v>0</v>
      </c>
      <c r="BQ228">
        <v>1</v>
      </c>
      <c r="BR228">
        <v>0</v>
      </c>
      <c r="BS228">
        <v>0</v>
      </c>
    </row>
    <row r="229" spans="1:71" x14ac:dyDescent="0.3">
      <c r="A229" t="s">
        <v>1023</v>
      </c>
      <c r="B229" t="s">
        <v>1024</v>
      </c>
      <c r="C229" t="s">
        <v>29</v>
      </c>
      <c r="D229" t="s">
        <v>29</v>
      </c>
      <c r="E229" t="s">
        <v>29</v>
      </c>
      <c r="F229" t="s">
        <v>1025</v>
      </c>
      <c r="G229" t="s">
        <v>1026</v>
      </c>
      <c r="H229">
        <v>2017</v>
      </c>
      <c r="I229">
        <v>5</v>
      </c>
      <c r="J229">
        <v>1</v>
      </c>
      <c r="K229" t="s">
        <v>29</v>
      </c>
      <c r="L229" t="s">
        <v>29</v>
      </c>
      <c r="M229" t="s">
        <v>29</v>
      </c>
      <c r="N229">
        <v>121</v>
      </c>
      <c r="O229">
        <v>169</v>
      </c>
      <c r="P229" t="s">
        <v>29</v>
      </c>
      <c r="Q229" t="s">
        <v>1027</v>
      </c>
      <c r="R229" t="s">
        <v>29</v>
      </c>
      <c r="S229" t="s">
        <v>29</v>
      </c>
      <c r="T229">
        <v>4</v>
      </c>
      <c r="U229">
        <v>0.5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  <c r="AB229">
        <v>0</v>
      </c>
      <c r="AC229">
        <v>0</v>
      </c>
      <c r="AD229">
        <v>0</v>
      </c>
      <c r="AE229">
        <v>0</v>
      </c>
      <c r="AF229">
        <v>0</v>
      </c>
      <c r="AG229">
        <v>0</v>
      </c>
      <c r="AH229">
        <v>0</v>
      </c>
      <c r="AI229">
        <v>0</v>
      </c>
      <c r="AJ229">
        <v>0</v>
      </c>
      <c r="AK229">
        <v>0</v>
      </c>
      <c r="AL229">
        <v>0</v>
      </c>
      <c r="AM229">
        <v>0</v>
      </c>
      <c r="AN229">
        <v>0</v>
      </c>
      <c r="AO229">
        <v>0</v>
      </c>
      <c r="AP229">
        <v>0</v>
      </c>
      <c r="AQ229">
        <v>0</v>
      </c>
      <c r="AR229">
        <v>0</v>
      </c>
      <c r="AS229">
        <v>0</v>
      </c>
      <c r="AT229">
        <v>0</v>
      </c>
      <c r="AU229">
        <v>0</v>
      </c>
      <c r="AV229">
        <v>0</v>
      </c>
      <c r="AW229">
        <v>0</v>
      </c>
      <c r="AX229">
        <v>0</v>
      </c>
      <c r="AY229">
        <v>0</v>
      </c>
      <c r="AZ229">
        <v>0</v>
      </c>
      <c r="BA229">
        <v>0</v>
      </c>
      <c r="BB229">
        <v>0</v>
      </c>
      <c r="BC229">
        <v>0</v>
      </c>
      <c r="BD229">
        <v>0</v>
      </c>
      <c r="BE229">
        <v>0</v>
      </c>
      <c r="BF229">
        <v>0</v>
      </c>
      <c r="BG229">
        <v>0</v>
      </c>
      <c r="BH229">
        <v>0</v>
      </c>
      <c r="BI229">
        <v>0</v>
      </c>
      <c r="BJ229">
        <v>0</v>
      </c>
      <c r="BK229">
        <v>0</v>
      </c>
      <c r="BL229">
        <v>0</v>
      </c>
      <c r="BM229">
        <v>0</v>
      </c>
      <c r="BN229">
        <v>0</v>
      </c>
      <c r="BO229">
        <v>1</v>
      </c>
      <c r="BP229">
        <v>1</v>
      </c>
      <c r="BQ229">
        <v>0</v>
      </c>
      <c r="BR229">
        <v>1</v>
      </c>
      <c r="BS229">
        <v>1</v>
      </c>
    </row>
    <row r="230" spans="1:71" x14ac:dyDescent="0.3">
      <c r="A230" t="s">
        <v>1028</v>
      </c>
      <c r="B230" t="s">
        <v>1029</v>
      </c>
      <c r="C230" t="s">
        <v>29</v>
      </c>
      <c r="D230" t="s">
        <v>29</v>
      </c>
      <c r="E230" t="s">
        <v>29</v>
      </c>
      <c r="F230" t="s">
        <v>1030</v>
      </c>
      <c r="G230">
        <v>2014</v>
      </c>
      <c r="H230">
        <v>2014</v>
      </c>
      <c r="I230">
        <v>38</v>
      </c>
      <c r="J230" t="s">
        <v>1031</v>
      </c>
      <c r="K230" t="s">
        <v>29</v>
      </c>
      <c r="L230" t="s">
        <v>29</v>
      </c>
      <c r="M230" t="s">
        <v>29</v>
      </c>
      <c r="N230">
        <v>232</v>
      </c>
      <c r="O230">
        <v>249</v>
      </c>
      <c r="P230" t="s">
        <v>29</v>
      </c>
      <c r="Q230" t="s">
        <v>1032</v>
      </c>
      <c r="R230" t="s">
        <v>29</v>
      </c>
      <c r="S230" t="s">
        <v>29</v>
      </c>
      <c r="T230">
        <v>4</v>
      </c>
      <c r="U230">
        <v>0.36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  <c r="AB230">
        <v>0</v>
      </c>
      <c r="AC230">
        <v>0</v>
      </c>
      <c r="AD230">
        <v>0</v>
      </c>
      <c r="AE230">
        <v>0</v>
      </c>
      <c r="AF230">
        <v>0</v>
      </c>
      <c r="AG230">
        <v>0</v>
      </c>
      <c r="AH230">
        <v>0</v>
      </c>
      <c r="AI230">
        <v>0</v>
      </c>
      <c r="AJ230">
        <v>0</v>
      </c>
      <c r="AK230">
        <v>0</v>
      </c>
      <c r="AL230">
        <v>0</v>
      </c>
      <c r="AM230">
        <v>0</v>
      </c>
      <c r="AN230">
        <v>0</v>
      </c>
      <c r="AO230">
        <v>0</v>
      </c>
      <c r="AP230">
        <v>0</v>
      </c>
      <c r="AQ230">
        <v>0</v>
      </c>
      <c r="AR230">
        <v>0</v>
      </c>
      <c r="AS230">
        <v>0</v>
      </c>
      <c r="AT230">
        <v>0</v>
      </c>
      <c r="AU230">
        <v>0</v>
      </c>
      <c r="AV230">
        <v>0</v>
      </c>
      <c r="AW230">
        <v>0</v>
      </c>
      <c r="AX230">
        <v>0</v>
      </c>
      <c r="AY230">
        <v>0</v>
      </c>
      <c r="AZ230">
        <v>0</v>
      </c>
      <c r="BA230">
        <v>0</v>
      </c>
      <c r="BB230">
        <v>0</v>
      </c>
      <c r="BC230">
        <v>0</v>
      </c>
      <c r="BD230">
        <v>0</v>
      </c>
      <c r="BE230">
        <v>0</v>
      </c>
      <c r="BF230">
        <v>0</v>
      </c>
      <c r="BG230">
        <v>0</v>
      </c>
      <c r="BH230">
        <v>0</v>
      </c>
      <c r="BI230">
        <v>0</v>
      </c>
      <c r="BJ230">
        <v>0</v>
      </c>
      <c r="BK230">
        <v>0</v>
      </c>
      <c r="BL230">
        <v>1</v>
      </c>
      <c r="BM230">
        <v>1</v>
      </c>
      <c r="BN230">
        <v>0</v>
      </c>
      <c r="BO230">
        <v>0</v>
      </c>
      <c r="BP230">
        <v>1</v>
      </c>
      <c r="BQ230">
        <v>1</v>
      </c>
      <c r="BR230">
        <v>0</v>
      </c>
      <c r="BS230">
        <v>0</v>
      </c>
    </row>
    <row r="231" spans="1:71" x14ac:dyDescent="0.3">
      <c r="A231" t="s">
        <v>1033</v>
      </c>
      <c r="B231" t="s">
        <v>1034</v>
      </c>
      <c r="C231" t="s">
        <v>29</v>
      </c>
      <c r="D231" t="s">
        <v>29</v>
      </c>
      <c r="E231" t="s">
        <v>29</v>
      </c>
      <c r="F231" t="s">
        <v>328</v>
      </c>
      <c r="G231">
        <v>2013</v>
      </c>
      <c r="H231">
        <v>2013</v>
      </c>
      <c r="I231">
        <v>29</v>
      </c>
      <c r="J231">
        <v>2</v>
      </c>
      <c r="K231" t="s">
        <v>29</v>
      </c>
      <c r="L231" t="s">
        <v>29</v>
      </c>
      <c r="M231" t="s">
        <v>32</v>
      </c>
      <c r="N231">
        <v>426</v>
      </c>
      <c r="O231">
        <v>438</v>
      </c>
      <c r="P231" t="s">
        <v>29</v>
      </c>
      <c r="Q231" t="s">
        <v>29</v>
      </c>
      <c r="R231" t="s">
        <v>29</v>
      </c>
      <c r="S231" t="s">
        <v>29</v>
      </c>
      <c r="T231">
        <v>4</v>
      </c>
      <c r="U231">
        <v>0.33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  <c r="AB231">
        <v>0</v>
      </c>
      <c r="AC231">
        <v>0</v>
      </c>
      <c r="AD231">
        <v>0</v>
      </c>
      <c r="AE231">
        <v>0</v>
      </c>
      <c r="AF231">
        <v>0</v>
      </c>
      <c r="AG231">
        <v>0</v>
      </c>
      <c r="AH231">
        <v>0</v>
      </c>
      <c r="AI231">
        <v>0</v>
      </c>
      <c r="AJ231">
        <v>0</v>
      </c>
      <c r="AK231">
        <v>0</v>
      </c>
      <c r="AL231">
        <v>0</v>
      </c>
      <c r="AM231">
        <v>0</v>
      </c>
      <c r="AN231">
        <v>0</v>
      </c>
      <c r="AO231">
        <v>0</v>
      </c>
      <c r="AP231">
        <v>0</v>
      </c>
      <c r="AQ231">
        <v>0</v>
      </c>
      <c r="AR231">
        <v>0</v>
      </c>
      <c r="AS231">
        <v>0</v>
      </c>
      <c r="AT231">
        <v>0</v>
      </c>
      <c r="AU231">
        <v>0</v>
      </c>
      <c r="AV231">
        <v>0</v>
      </c>
      <c r="AW231">
        <v>0</v>
      </c>
      <c r="AX231">
        <v>0</v>
      </c>
      <c r="AY231">
        <v>0</v>
      </c>
      <c r="AZ231">
        <v>0</v>
      </c>
      <c r="BA231">
        <v>0</v>
      </c>
      <c r="BB231">
        <v>0</v>
      </c>
      <c r="BC231">
        <v>0</v>
      </c>
      <c r="BD231">
        <v>0</v>
      </c>
      <c r="BE231">
        <v>0</v>
      </c>
      <c r="BF231">
        <v>0</v>
      </c>
      <c r="BG231">
        <v>0</v>
      </c>
      <c r="BH231">
        <v>0</v>
      </c>
      <c r="BI231">
        <v>1</v>
      </c>
      <c r="BJ231">
        <v>0</v>
      </c>
      <c r="BK231">
        <v>0</v>
      </c>
      <c r="BL231">
        <v>0</v>
      </c>
      <c r="BM231">
        <v>1</v>
      </c>
      <c r="BN231">
        <v>0</v>
      </c>
      <c r="BO231">
        <v>0</v>
      </c>
      <c r="BP231">
        <v>1</v>
      </c>
      <c r="BQ231">
        <v>1</v>
      </c>
      <c r="BR231">
        <v>0</v>
      </c>
      <c r="BS231">
        <v>0</v>
      </c>
    </row>
    <row r="232" spans="1:71" x14ac:dyDescent="0.3">
      <c r="A232" t="s">
        <v>1035</v>
      </c>
      <c r="B232" t="s">
        <v>1036</v>
      </c>
      <c r="C232" t="s">
        <v>29</v>
      </c>
      <c r="D232" t="s">
        <v>29</v>
      </c>
      <c r="E232" t="s">
        <v>29</v>
      </c>
      <c r="F232" t="s">
        <v>546</v>
      </c>
      <c r="G232">
        <v>2008</v>
      </c>
      <c r="H232">
        <v>2008</v>
      </c>
      <c r="I232">
        <v>7</v>
      </c>
      <c r="J232" t="s">
        <v>29</v>
      </c>
      <c r="K232" t="s">
        <v>29</v>
      </c>
      <c r="L232" t="s">
        <v>29</v>
      </c>
      <c r="M232" t="s">
        <v>29</v>
      </c>
      <c r="N232">
        <v>299</v>
      </c>
      <c r="O232">
        <v>314</v>
      </c>
      <c r="P232" t="s">
        <v>29</v>
      </c>
      <c r="Q232" t="s">
        <v>29</v>
      </c>
      <c r="R232" t="s">
        <v>29</v>
      </c>
      <c r="S232" t="s">
        <v>29</v>
      </c>
      <c r="T232">
        <v>4</v>
      </c>
      <c r="U232">
        <v>0.24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  <c r="AB232">
        <v>0</v>
      </c>
      <c r="AC232">
        <v>0</v>
      </c>
      <c r="AD232">
        <v>0</v>
      </c>
      <c r="AE232">
        <v>0</v>
      </c>
      <c r="AF232">
        <v>0</v>
      </c>
      <c r="AG232">
        <v>0</v>
      </c>
      <c r="AH232">
        <v>0</v>
      </c>
      <c r="AI232">
        <v>0</v>
      </c>
      <c r="AJ232">
        <v>0</v>
      </c>
      <c r="AK232">
        <v>0</v>
      </c>
      <c r="AL232">
        <v>0</v>
      </c>
      <c r="AM232">
        <v>0</v>
      </c>
      <c r="AN232">
        <v>0</v>
      </c>
      <c r="AO232">
        <v>0</v>
      </c>
      <c r="AP232">
        <v>0</v>
      </c>
      <c r="AQ232">
        <v>0</v>
      </c>
      <c r="AR232">
        <v>0</v>
      </c>
      <c r="AS232">
        <v>0</v>
      </c>
      <c r="AT232">
        <v>0</v>
      </c>
      <c r="AU232">
        <v>0</v>
      </c>
      <c r="AV232">
        <v>0</v>
      </c>
      <c r="AW232">
        <v>0</v>
      </c>
      <c r="AX232">
        <v>0</v>
      </c>
      <c r="AY232">
        <v>0</v>
      </c>
      <c r="AZ232">
        <v>0</v>
      </c>
      <c r="BA232">
        <v>0</v>
      </c>
      <c r="BB232">
        <v>0</v>
      </c>
      <c r="BC232">
        <v>0</v>
      </c>
      <c r="BD232">
        <v>0</v>
      </c>
      <c r="BE232">
        <v>0</v>
      </c>
      <c r="BF232">
        <v>0</v>
      </c>
      <c r="BG232">
        <v>0</v>
      </c>
      <c r="BH232">
        <v>0</v>
      </c>
      <c r="BI232">
        <v>0</v>
      </c>
      <c r="BJ232">
        <v>0</v>
      </c>
      <c r="BK232">
        <v>2</v>
      </c>
      <c r="BL232">
        <v>0</v>
      </c>
      <c r="BM232">
        <v>0</v>
      </c>
      <c r="BN232">
        <v>1</v>
      </c>
      <c r="BO232">
        <v>0</v>
      </c>
      <c r="BP232">
        <v>0</v>
      </c>
      <c r="BQ232">
        <v>0</v>
      </c>
      <c r="BR232">
        <v>1</v>
      </c>
      <c r="BS232">
        <v>0</v>
      </c>
    </row>
    <row r="233" spans="1:71" x14ac:dyDescent="0.3">
      <c r="A233" t="s">
        <v>1037</v>
      </c>
      <c r="B233" t="s">
        <v>1038</v>
      </c>
      <c r="C233" t="s">
        <v>29</v>
      </c>
      <c r="D233" t="s">
        <v>29</v>
      </c>
      <c r="E233" t="s">
        <v>29</v>
      </c>
      <c r="F233" t="s">
        <v>190</v>
      </c>
      <c r="G233" t="s">
        <v>1039</v>
      </c>
      <c r="H233">
        <v>2024</v>
      </c>
      <c r="I233">
        <v>201</v>
      </c>
      <c r="J233" t="s">
        <v>29</v>
      </c>
      <c r="K233" t="s">
        <v>29</v>
      </c>
      <c r="L233" t="s">
        <v>29</v>
      </c>
      <c r="M233" t="s">
        <v>29</v>
      </c>
      <c r="N233" t="s">
        <v>29</v>
      </c>
      <c r="O233" t="s">
        <v>29</v>
      </c>
      <c r="P233">
        <v>123260</v>
      </c>
      <c r="Q233" t="s">
        <v>1040</v>
      </c>
      <c r="R233" t="s">
        <v>29</v>
      </c>
      <c r="S233" t="s">
        <v>29</v>
      </c>
      <c r="T233">
        <v>3</v>
      </c>
      <c r="U233">
        <v>3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  <c r="AB233">
        <v>0</v>
      </c>
      <c r="AC233">
        <v>0</v>
      </c>
      <c r="AD233">
        <v>0</v>
      </c>
      <c r="AE233">
        <v>0</v>
      </c>
      <c r="AF233">
        <v>0</v>
      </c>
      <c r="AG233">
        <v>0</v>
      </c>
      <c r="AH233">
        <v>0</v>
      </c>
      <c r="AI233">
        <v>0</v>
      </c>
      <c r="AJ233">
        <v>0</v>
      </c>
      <c r="AK233">
        <v>0</v>
      </c>
      <c r="AL233">
        <v>0</v>
      </c>
      <c r="AM233">
        <v>0</v>
      </c>
      <c r="AN233">
        <v>0</v>
      </c>
      <c r="AO233">
        <v>0</v>
      </c>
      <c r="AP233">
        <v>0</v>
      </c>
      <c r="AQ233">
        <v>0</v>
      </c>
      <c r="AR233">
        <v>0</v>
      </c>
      <c r="AS233">
        <v>0</v>
      </c>
      <c r="AT233">
        <v>0</v>
      </c>
      <c r="AU233">
        <v>0</v>
      </c>
      <c r="AV233">
        <v>0</v>
      </c>
      <c r="AW233">
        <v>0</v>
      </c>
      <c r="AX233">
        <v>0</v>
      </c>
      <c r="AY233">
        <v>0</v>
      </c>
      <c r="AZ233">
        <v>0</v>
      </c>
      <c r="BA233">
        <v>0</v>
      </c>
      <c r="BB233">
        <v>0</v>
      </c>
      <c r="BC233">
        <v>0</v>
      </c>
      <c r="BD233">
        <v>0</v>
      </c>
      <c r="BE233">
        <v>0</v>
      </c>
      <c r="BF233">
        <v>0</v>
      </c>
      <c r="BG233">
        <v>0</v>
      </c>
      <c r="BH233">
        <v>0</v>
      </c>
      <c r="BI233">
        <v>0</v>
      </c>
      <c r="BJ233">
        <v>0</v>
      </c>
      <c r="BK233">
        <v>0</v>
      </c>
      <c r="BL233">
        <v>0</v>
      </c>
      <c r="BM233">
        <v>0</v>
      </c>
      <c r="BN233">
        <v>0</v>
      </c>
      <c r="BO233">
        <v>0</v>
      </c>
      <c r="BP233">
        <v>0</v>
      </c>
      <c r="BQ233">
        <v>0</v>
      </c>
      <c r="BR233">
        <v>0</v>
      </c>
      <c r="BS233">
        <v>3</v>
      </c>
    </row>
    <row r="234" spans="1:71" x14ac:dyDescent="0.3">
      <c r="A234" t="s">
        <v>1041</v>
      </c>
      <c r="B234" t="s">
        <v>1042</v>
      </c>
      <c r="C234" t="s">
        <v>29</v>
      </c>
      <c r="D234" t="s">
        <v>29</v>
      </c>
      <c r="E234" t="s">
        <v>29</v>
      </c>
      <c r="F234" t="s">
        <v>200</v>
      </c>
      <c r="G234" t="s">
        <v>1043</v>
      </c>
      <c r="H234">
        <v>2024</v>
      </c>
      <c r="I234">
        <v>14</v>
      </c>
      <c r="J234">
        <v>2</v>
      </c>
      <c r="K234" t="s">
        <v>29</v>
      </c>
      <c r="L234" t="s">
        <v>29</v>
      </c>
      <c r="M234" t="s">
        <v>29</v>
      </c>
      <c r="N234" t="s">
        <v>29</v>
      </c>
      <c r="O234" t="s">
        <v>29</v>
      </c>
      <c r="P234">
        <v>198</v>
      </c>
      <c r="Q234" t="s">
        <v>1044</v>
      </c>
      <c r="R234" t="s">
        <v>29</v>
      </c>
      <c r="S234" t="s">
        <v>29</v>
      </c>
      <c r="T234">
        <v>3</v>
      </c>
      <c r="U234">
        <v>3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  <c r="AB234">
        <v>0</v>
      </c>
      <c r="AC234">
        <v>0</v>
      </c>
      <c r="AD234">
        <v>0</v>
      </c>
      <c r="AE234">
        <v>0</v>
      </c>
      <c r="AF234">
        <v>0</v>
      </c>
      <c r="AG234">
        <v>0</v>
      </c>
      <c r="AH234">
        <v>0</v>
      </c>
      <c r="AI234">
        <v>0</v>
      </c>
      <c r="AJ234">
        <v>0</v>
      </c>
      <c r="AK234">
        <v>0</v>
      </c>
      <c r="AL234">
        <v>0</v>
      </c>
      <c r="AM234">
        <v>0</v>
      </c>
      <c r="AN234">
        <v>0</v>
      </c>
      <c r="AO234">
        <v>0</v>
      </c>
      <c r="AP234">
        <v>0</v>
      </c>
      <c r="AQ234">
        <v>0</v>
      </c>
      <c r="AR234">
        <v>0</v>
      </c>
      <c r="AS234">
        <v>0</v>
      </c>
      <c r="AT234">
        <v>0</v>
      </c>
      <c r="AU234">
        <v>0</v>
      </c>
      <c r="AV234">
        <v>0</v>
      </c>
      <c r="AW234">
        <v>0</v>
      </c>
      <c r="AX234">
        <v>0</v>
      </c>
      <c r="AY234">
        <v>0</v>
      </c>
      <c r="AZ234">
        <v>0</v>
      </c>
      <c r="BA234">
        <v>0</v>
      </c>
      <c r="BB234">
        <v>0</v>
      </c>
      <c r="BC234">
        <v>0</v>
      </c>
      <c r="BD234">
        <v>0</v>
      </c>
      <c r="BE234">
        <v>0</v>
      </c>
      <c r="BF234">
        <v>0</v>
      </c>
      <c r="BG234">
        <v>0</v>
      </c>
      <c r="BH234">
        <v>0</v>
      </c>
      <c r="BI234">
        <v>0</v>
      </c>
      <c r="BJ234">
        <v>0</v>
      </c>
      <c r="BK234">
        <v>0</v>
      </c>
      <c r="BL234">
        <v>0</v>
      </c>
      <c r="BM234">
        <v>0</v>
      </c>
      <c r="BN234">
        <v>0</v>
      </c>
      <c r="BO234">
        <v>0</v>
      </c>
      <c r="BP234">
        <v>0</v>
      </c>
      <c r="BQ234">
        <v>0</v>
      </c>
      <c r="BR234">
        <v>0</v>
      </c>
      <c r="BS234">
        <v>3</v>
      </c>
    </row>
    <row r="235" spans="1:71" x14ac:dyDescent="0.3">
      <c r="A235" t="s">
        <v>1045</v>
      </c>
      <c r="B235" t="s">
        <v>1046</v>
      </c>
      <c r="C235" t="s">
        <v>29</v>
      </c>
      <c r="D235" t="s">
        <v>29</v>
      </c>
      <c r="E235" t="s">
        <v>29</v>
      </c>
      <c r="F235" t="s">
        <v>1047</v>
      </c>
      <c r="G235" t="s">
        <v>1048</v>
      </c>
      <c r="H235">
        <v>2023</v>
      </c>
      <c r="I235">
        <v>11</v>
      </c>
      <c r="J235">
        <v>1</v>
      </c>
      <c r="K235" t="s">
        <v>29</v>
      </c>
      <c r="L235" t="s">
        <v>29</v>
      </c>
      <c r="M235" t="s">
        <v>29</v>
      </c>
      <c r="N235" t="s">
        <v>29</v>
      </c>
      <c r="O235" t="s">
        <v>29</v>
      </c>
      <c r="P235">
        <v>2236684</v>
      </c>
      <c r="Q235" t="s">
        <v>1049</v>
      </c>
      <c r="R235" t="s">
        <v>29</v>
      </c>
      <c r="S235" t="s">
        <v>29</v>
      </c>
      <c r="T235">
        <v>3</v>
      </c>
      <c r="U235">
        <v>1.5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  <c r="AB235">
        <v>0</v>
      </c>
      <c r="AC235">
        <v>0</v>
      </c>
      <c r="AD235">
        <v>0</v>
      </c>
      <c r="AE235">
        <v>0</v>
      </c>
      <c r="AF235">
        <v>0</v>
      </c>
      <c r="AG235">
        <v>0</v>
      </c>
      <c r="AH235">
        <v>0</v>
      </c>
      <c r="AI235">
        <v>0</v>
      </c>
      <c r="AJ235">
        <v>0</v>
      </c>
      <c r="AK235">
        <v>0</v>
      </c>
      <c r="AL235">
        <v>0</v>
      </c>
      <c r="AM235">
        <v>0</v>
      </c>
      <c r="AN235">
        <v>0</v>
      </c>
      <c r="AO235">
        <v>0</v>
      </c>
      <c r="AP235">
        <v>0</v>
      </c>
      <c r="AQ235">
        <v>0</v>
      </c>
      <c r="AR235">
        <v>0</v>
      </c>
      <c r="AS235">
        <v>0</v>
      </c>
      <c r="AT235">
        <v>0</v>
      </c>
      <c r="AU235">
        <v>0</v>
      </c>
      <c r="AV235">
        <v>0</v>
      </c>
      <c r="AW235">
        <v>0</v>
      </c>
      <c r="AX235">
        <v>0</v>
      </c>
      <c r="AY235">
        <v>0</v>
      </c>
      <c r="AZ235">
        <v>0</v>
      </c>
      <c r="BA235">
        <v>0</v>
      </c>
      <c r="BB235">
        <v>0</v>
      </c>
      <c r="BC235">
        <v>0</v>
      </c>
      <c r="BD235">
        <v>0</v>
      </c>
      <c r="BE235">
        <v>0</v>
      </c>
      <c r="BF235">
        <v>0</v>
      </c>
      <c r="BG235">
        <v>0</v>
      </c>
      <c r="BH235">
        <v>0</v>
      </c>
      <c r="BI235">
        <v>0</v>
      </c>
      <c r="BJ235">
        <v>0</v>
      </c>
      <c r="BK235">
        <v>0</v>
      </c>
      <c r="BL235">
        <v>0</v>
      </c>
      <c r="BM235">
        <v>0</v>
      </c>
      <c r="BN235">
        <v>0</v>
      </c>
      <c r="BO235">
        <v>0</v>
      </c>
      <c r="BP235">
        <v>0</v>
      </c>
      <c r="BQ235">
        <v>0</v>
      </c>
      <c r="BR235">
        <v>0</v>
      </c>
      <c r="BS235">
        <v>3</v>
      </c>
    </row>
    <row r="236" spans="1:71" x14ac:dyDescent="0.3">
      <c r="A236" t="s">
        <v>1050</v>
      </c>
      <c r="B236" t="s">
        <v>1051</v>
      </c>
      <c r="C236" t="s">
        <v>29</v>
      </c>
      <c r="D236" t="s">
        <v>29</v>
      </c>
      <c r="E236" t="s">
        <v>29</v>
      </c>
      <c r="F236" t="s">
        <v>1052</v>
      </c>
      <c r="G236" t="s">
        <v>949</v>
      </c>
      <c r="H236">
        <v>2023</v>
      </c>
      <c r="I236">
        <v>21</v>
      </c>
      <c r="J236">
        <v>3</v>
      </c>
      <c r="K236" t="s">
        <v>29</v>
      </c>
      <c r="L236" t="s">
        <v>29</v>
      </c>
      <c r="M236" t="s">
        <v>29</v>
      </c>
      <c r="N236" t="s">
        <v>29</v>
      </c>
      <c r="O236" t="s">
        <v>29</v>
      </c>
      <c r="P236">
        <v>100887</v>
      </c>
      <c r="Q236" t="s">
        <v>1053</v>
      </c>
      <c r="R236" t="s">
        <v>29</v>
      </c>
      <c r="S236" t="s">
        <v>29</v>
      </c>
      <c r="T236">
        <v>3</v>
      </c>
      <c r="U236">
        <v>1.5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  <c r="AB236">
        <v>0</v>
      </c>
      <c r="AC236">
        <v>0</v>
      </c>
      <c r="AD236">
        <v>0</v>
      </c>
      <c r="AE236">
        <v>0</v>
      </c>
      <c r="AF236">
        <v>0</v>
      </c>
      <c r="AG236">
        <v>0</v>
      </c>
      <c r="AH236">
        <v>0</v>
      </c>
      <c r="AI236">
        <v>0</v>
      </c>
      <c r="AJ236">
        <v>0</v>
      </c>
      <c r="AK236">
        <v>0</v>
      </c>
      <c r="AL236">
        <v>0</v>
      </c>
      <c r="AM236">
        <v>0</v>
      </c>
      <c r="AN236">
        <v>0</v>
      </c>
      <c r="AO236">
        <v>0</v>
      </c>
      <c r="AP236">
        <v>0</v>
      </c>
      <c r="AQ236">
        <v>0</v>
      </c>
      <c r="AR236">
        <v>0</v>
      </c>
      <c r="AS236">
        <v>0</v>
      </c>
      <c r="AT236">
        <v>0</v>
      </c>
      <c r="AU236">
        <v>0</v>
      </c>
      <c r="AV236">
        <v>0</v>
      </c>
      <c r="AW236">
        <v>0</v>
      </c>
      <c r="AX236">
        <v>0</v>
      </c>
      <c r="AY236">
        <v>0</v>
      </c>
      <c r="AZ236">
        <v>0</v>
      </c>
      <c r="BA236">
        <v>0</v>
      </c>
      <c r="BB236">
        <v>0</v>
      </c>
      <c r="BC236">
        <v>0</v>
      </c>
      <c r="BD236">
        <v>0</v>
      </c>
      <c r="BE236">
        <v>0</v>
      </c>
      <c r="BF236">
        <v>0</v>
      </c>
      <c r="BG236">
        <v>0</v>
      </c>
      <c r="BH236">
        <v>0</v>
      </c>
      <c r="BI236">
        <v>0</v>
      </c>
      <c r="BJ236">
        <v>0</v>
      </c>
      <c r="BK236">
        <v>0</v>
      </c>
      <c r="BL236">
        <v>0</v>
      </c>
      <c r="BM236">
        <v>0</v>
      </c>
      <c r="BN236">
        <v>0</v>
      </c>
      <c r="BO236">
        <v>0</v>
      </c>
      <c r="BP236">
        <v>0</v>
      </c>
      <c r="BQ236">
        <v>0</v>
      </c>
      <c r="BR236">
        <v>0</v>
      </c>
      <c r="BS236">
        <v>3</v>
      </c>
    </row>
    <row r="237" spans="1:71" x14ac:dyDescent="0.3">
      <c r="A237" t="s">
        <v>1054</v>
      </c>
      <c r="B237" t="s">
        <v>1055</v>
      </c>
      <c r="C237" t="s">
        <v>29</v>
      </c>
      <c r="D237" t="s">
        <v>29</v>
      </c>
      <c r="E237" t="s">
        <v>29</v>
      </c>
      <c r="F237" t="s">
        <v>1056</v>
      </c>
      <c r="G237" t="s">
        <v>29</v>
      </c>
      <c r="H237">
        <v>2023</v>
      </c>
      <c r="I237" t="s">
        <v>29</v>
      </c>
      <c r="J237" t="s">
        <v>29</v>
      </c>
      <c r="K237" t="s">
        <v>29</v>
      </c>
      <c r="L237" t="s">
        <v>29</v>
      </c>
      <c r="M237" t="s">
        <v>29</v>
      </c>
      <c r="N237" t="s">
        <v>29</v>
      </c>
      <c r="O237" t="s">
        <v>29</v>
      </c>
      <c r="P237" t="s">
        <v>29</v>
      </c>
      <c r="Q237" t="s">
        <v>1057</v>
      </c>
      <c r="R237" t="s">
        <v>29</v>
      </c>
      <c r="S237" t="s">
        <v>29</v>
      </c>
      <c r="T237">
        <v>3</v>
      </c>
      <c r="U237">
        <v>1.5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  <c r="AB237">
        <v>0</v>
      </c>
      <c r="AC237">
        <v>0</v>
      </c>
      <c r="AD237">
        <v>0</v>
      </c>
      <c r="AE237">
        <v>0</v>
      </c>
      <c r="AF237">
        <v>0</v>
      </c>
      <c r="AG237">
        <v>0</v>
      </c>
      <c r="AH237">
        <v>0</v>
      </c>
      <c r="AI237">
        <v>0</v>
      </c>
      <c r="AJ237">
        <v>0</v>
      </c>
      <c r="AK237">
        <v>0</v>
      </c>
      <c r="AL237">
        <v>0</v>
      </c>
      <c r="AM237">
        <v>0</v>
      </c>
      <c r="AN237">
        <v>0</v>
      </c>
      <c r="AO237">
        <v>0</v>
      </c>
      <c r="AP237">
        <v>0</v>
      </c>
      <c r="AQ237">
        <v>0</v>
      </c>
      <c r="AR237">
        <v>0</v>
      </c>
      <c r="AS237">
        <v>0</v>
      </c>
      <c r="AT237">
        <v>0</v>
      </c>
      <c r="AU237">
        <v>0</v>
      </c>
      <c r="AV237">
        <v>0</v>
      </c>
      <c r="AW237">
        <v>0</v>
      </c>
      <c r="AX237">
        <v>0</v>
      </c>
      <c r="AY237">
        <v>0</v>
      </c>
      <c r="AZ237">
        <v>0</v>
      </c>
      <c r="BA237">
        <v>0</v>
      </c>
      <c r="BB237">
        <v>0</v>
      </c>
      <c r="BC237">
        <v>0</v>
      </c>
      <c r="BD237">
        <v>0</v>
      </c>
      <c r="BE237">
        <v>0</v>
      </c>
      <c r="BF237">
        <v>0</v>
      </c>
      <c r="BG237">
        <v>0</v>
      </c>
      <c r="BH237">
        <v>0</v>
      </c>
      <c r="BI237">
        <v>0</v>
      </c>
      <c r="BJ237">
        <v>0</v>
      </c>
      <c r="BK237">
        <v>0</v>
      </c>
      <c r="BL237">
        <v>0</v>
      </c>
      <c r="BM237">
        <v>0</v>
      </c>
      <c r="BN237">
        <v>0</v>
      </c>
      <c r="BO237">
        <v>0</v>
      </c>
      <c r="BP237">
        <v>0</v>
      </c>
      <c r="BQ237">
        <v>0</v>
      </c>
      <c r="BR237">
        <v>0</v>
      </c>
      <c r="BS237">
        <v>3</v>
      </c>
    </row>
    <row r="238" spans="1:71" x14ac:dyDescent="0.3">
      <c r="A238" t="s">
        <v>1058</v>
      </c>
      <c r="B238" t="s">
        <v>1059</v>
      </c>
      <c r="C238" t="s">
        <v>29</v>
      </c>
      <c r="D238" t="s">
        <v>29</v>
      </c>
      <c r="E238" t="s">
        <v>29</v>
      </c>
      <c r="F238" t="s">
        <v>586</v>
      </c>
      <c r="G238" t="s">
        <v>1060</v>
      </c>
      <c r="H238">
        <v>2023</v>
      </c>
      <c r="I238">
        <v>37</v>
      </c>
      <c r="J238">
        <v>3</v>
      </c>
      <c r="K238" t="s">
        <v>29</v>
      </c>
      <c r="L238" t="s">
        <v>29</v>
      </c>
      <c r="M238" t="s">
        <v>29</v>
      </c>
      <c r="N238">
        <v>409</v>
      </c>
      <c r="O238">
        <v>436</v>
      </c>
      <c r="P238" t="s">
        <v>29</v>
      </c>
      <c r="Q238" t="s">
        <v>1061</v>
      </c>
      <c r="R238" t="s">
        <v>29</v>
      </c>
      <c r="S238" t="s">
        <v>29</v>
      </c>
      <c r="T238">
        <v>3</v>
      </c>
      <c r="U238">
        <v>1.5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  <c r="AB238">
        <v>0</v>
      </c>
      <c r="AC238">
        <v>0</v>
      </c>
      <c r="AD238">
        <v>0</v>
      </c>
      <c r="AE238">
        <v>0</v>
      </c>
      <c r="AF238">
        <v>0</v>
      </c>
      <c r="AG238">
        <v>0</v>
      </c>
      <c r="AH238">
        <v>0</v>
      </c>
      <c r="AI238">
        <v>0</v>
      </c>
      <c r="AJ238">
        <v>0</v>
      </c>
      <c r="AK238">
        <v>0</v>
      </c>
      <c r="AL238">
        <v>0</v>
      </c>
      <c r="AM238">
        <v>0</v>
      </c>
      <c r="AN238">
        <v>0</v>
      </c>
      <c r="AO238">
        <v>0</v>
      </c>
      <c r="AP238">
        <v>0</v>
      </c>
      <c r="AQ238">
        <v>0</v>
      </c>
      <c r="AR238">
        <v>0</v>
      </c>
      <c r="AS238">
        <v>0</v>
      </c>
      <c r="AT238">
        <v>0</v>
      </c>
      <c r="AU238">
        <v>0</v>
      </c>
      <c r="AV238">
        <v>0</v>
      </c>
      <c r="AW238">
        <v>0</v>
      </c>
      <c r="AX238">
        <v>0</v>
      </c>
      <c r="AY238">
        <v>0</v>
      </c>
      <c r="AZ238">
        <v>0</v>
      </c>
      <c r="BA238">
        <v>0</v>
      </c>
      <c r="BB238">
        <v>0</v>
      </c>
      <c r="BC238">
        <v>0</v>
      </c>
      <c r="BD238">
        <v>0</v>
      </c>
      <c r="BE238">
        <v>0</v>
      </c>
      <c r="BF238">
        <v>0</v>
      </c>
      <c r="BG238">
        <v>0</v>
      </c>
      <c r="BH238">
        <v>0</v>
      </c>
      <c r="BI238">
        <v>0</v>
      </c>
      <c r="BJ238">
        <v>0</v>
      </c>
      <c r="BK238">
        <v>0</v>
      </c>
      <c r="BL238">
        <v>0</v>
      </c>
      <c r="BM238">
        <v>0</v>
      </c>
      <c r="BN238">
        <v>0</v>
      </c>
      <c r="BO238">
        <v>0</v>
      </c>
      <c r="BP238">
        <v>0</v>
      </c>
      <c r="BQ238">
        <v>0</v>
      </c>
      <c r="BR238">
        <v>1</v>
      </c>
      <c r="BS238">
        <v>2</v>
      </c>
    </row>
    <row r="239" spans="1:71" x14ac:dyDescent="0.3">
      <c r="A239" t="s">
        <v>1062</v>
      </c>
      <c r="B239" t="s">
        <v>1063</v>
      </c>
      <c r="C239" t="s">
        <v>29</v>
      </c>
      <c r="D239" t="s">
        <v>29</v>
      </c>
      <c r="E239" t="s">
        <v>29</v>
      </c>
      <c r="F239" t="s">
        <v>1064</v>
      </c>
      <c r="G239" t="s">
        <v>1065</v>
      </c>
      <c r="H239">
        <v>2023</v>
      </c>
      <c r="I239">
        <v>13</v>
      </c>
      <c r="J239" t="s">
        <v>29</v>
      </c>
      <c r="K239" t="s">
        <v>29</v>
      </c>
      <c r="L239" t="s">
        <v>29</v>
      </c>
      <c r="M239" t="s">
        <v>29</v>
      </c>
      <c r="N239" t="s">
        <v>29</v>
      </c>
      <c r="O239" t="s">
        <v>29</v>
      </c>
      <c r="P239">
        <v>1070267</v>
      </c>
      <c r="Q239" t="s">
        <v>1066</v>
      </c>
      <c r="R239" t="s">
        <v>29</v>
      </c>
      <c r="S239" t="s">
        <v>29</v>
      </c>
      <c r="T239">
        <v>3</v>
      </c>
      <c r="U239">
        <v>1.5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  <c r="AB239">
        <v>0</v>
      </c>
      <c r="AC239">
        <v>0</v>
      </c>
      <c r="AD239">
        <v>0</v>
      </c>
      <c r="AE239">
        <v>0</v>
      </c>
      <c r="AF239">
        <v>0</v>
      </c>
      <c r="AG239">
        <v>0</v>
      </c>
      <c r="AH239">
        <v>0</v>
      </c>
      <c r="AI239">
        <v>0</v>
      </c>
      <c r="AJ239">
        <v>0</v>
      </c>
      <c r="AK239">
        <v>0</v>
      </c>
      <c r="AL239">
        <v>0</v>
      </c>
      <c r="AM239">
        <v>0</v>
      </c>
      <c r="AN239">
        <v>0</v>
      </c>
      <c r="AO239">
        <v>0</v>
      </c>
      <c r="AP239">
        <v>0</v>
      </c>
      <c r="AQ239">
        <v>0</v>
      </c>
      <c r="AR239">
        <v>0</v>
      </c>
      <c r="AS239">
        <v>0</v>
      </c>
      <c r="AT239">
        <v>0</v>
      </c>
      <c r="AU239">
        <v>0</v>
      </c>
      <c r="AV239">
        <v>0</v>
      </c>
      <c r="AW239">
        <v>0</v>
      </c>
      <c r="AX239">
        <v>0</v>
      </c>
      <c r="AY239">
        <v>0</v>
      </c>
      <c r="AZ239">
        <v>0</v>
      </c>
      <c r="BA239">
        <v>0</v>
      </c>
      <c r="BB239">
        <v>0</v>
      </c>
      <c r="BC239">
        <v>0</v>
      </c>
      <c r="BD239">
        <v>0</v>
      </c>
      <c r="BE239">
        <v>0</v>
      </c>
      <c r="BF239">
        <v>0</v>
      </c>
      <c r="BG239">
        <v>0</v>
      </c>
      <c r="BH239">
        <v>0</v>
      </c>
      <c r="BI239">
        <v>0</v>
      </c>
      <c r="BJ239">
        <v>0</v>
      </c>
      <c r="BK239">
        <v>0</v>
      </c>
      <c r="BL239">
        <v>0</v>
      </c>
      <c r="BM239">
        <v>0</v>
      </c>
      <c r="BN239">
        <v>0</v>
      </c>
      <c r="BO239">
        <v>0</v>
      </c>
      <c r="BP239">
        <v>0</v>
      </c>
      <c r="BQ239">
        <v>0</v>
      </c>
      <c r="BR239">
        <v>2</v>
      </c>
      <c r="BS239">
        <v>1</v>
      </c>
    </row>
    <row r="240" spans="1:71" x14ac:dyDescent="0.3">
      <c r="A240" t="s">
        <v>1067</v>
      </c>
      <c r="B240" t="s">
        <v>1068</v>
      </c>
      <c r="C240" t="s">
        <v>29</v>
      </c>
      <c r="D240" t="s">
        <v>29</v>
      </c>
      <c r="E240" t="s">
        <v>29</v>
      </c>
      <c r="F240" t="s">
        <v>1069</v>
      </c>
      <c r="G240" t="s">
        <v>1070</v>
      </c>
      <c r="H240">
        <v>2023</v>
      </c>
      <c r="I240">
        <v>51</v>
      </c>
      <c r="J240">
        <v>1</v>
      </c>
      <c r="K240" t="s">
        <v>29</v>
      </c>
      <c r="L240" t="s">
        <v>29</v>
      </c>
      <c r="M240" t="s">
        <v>32</v>
      </c>
      <c r="N240">
        <v>23</v>
      </c>
      <c r="O240">
        <v>46</v>
      </c>
      <c r="P240" t="s">
        <v>29</v>
      </c>
      <c r="Q240" t="s">
        <v>1071</v>
      </c>
      <c r="R240" t="s">
        <v>29</v>
      </c>
      <c r="S240" t="s">
        <v>29</v>
      </c>
      <c r="T240">
        <v>3</v>
      </c>
      <c r="U240">
        <v>1.5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  <c r="AB240">
        <v>0</v>
      </c>
      <c r="AC240">
        <v>0</v>
      </c>
      <c r="AD240">
        <v>0</v>
      </c>
      <c r="AE240">
        <v>0</v>
      </c>
      <c r="AF240">
        <v>0</v>
      </c>
      <c r="AG240">
        <v>0</v>
      </c>
      <c r="AH240">
        <v>0</v>
      </c>
      <c r="AI240">
        <v>0</v>
      </c>
      <c r="AJ240">
        <v>0</v>
      </c>
      <c r="AK240">
        <v>0</v>
      </c>
      <c r="AL240">
        <v>0</v>
      </c>
      <c r="AM240">
        <v>0</v>
      </c>
      <c r="AN240">
        <v>0</v>
      </c>
      <c r="AO240">
        <v>0</v>
      </c>
      <c r="AP240">
        <v>0</v>
      </c>
      <c r="AQ240">
        <v>0</v>
      </c>
      <c r="AR240">
        <v>0</v>
      </c>
      <c r="AS240">
        <v>0</v>
      </c>
      <c r="AT240">
        <v>0</v>
      </c>
      <c r="AU240">
        <v>0</v>
      </c>
      <c r="AV240">
        <v>0</v>
      </c>
      <c r="AW240">
        <v>0</v>
      </c>
      <c r="AX240">
        <v>0</v>
      </c>
      <c r="AY240">
        <v>0</v>
      </c>
      <c r="AZ240">
        <v>0</v>
      </c>
      <c r="BA240">
        <v>0</v>
      </c>
      <c r="BB240">
        <v>0</v>
      </c>
      <c r="BC240">
        <v>0</v>
      </c>
      <c r="BD240">
        <v>0</v>
      </c>
      <c r="BE240">
        <v>0</v>
      </c>
      <c r="BF240">
        <v>0</v>
      </c>
      <c r="BG240">
        <v>0</v>
      </c>
      <c r="BH240">
        <v>0</v>
      </c>
      <c r="BI240">
        <v>0</v>
      </c>
      <c r="BJ240">
        <v>0</v>
      </c>
      <c r="BK240">
        <v>0</v>
      </c>
      <c r="BL240">
        <v>0</v>
      </c>
      <c r="BM240">
        <v>0</v>
      </c>
      <c r="BN240">
        <v>0</v>
      </c>
      <c r="BO240">
        <v>0</v>
      </c>
      <c r="BP240">
        <v>0</v>
      </c>
      <c r="BQ240">
        <v>0</v>
      </c>
      <c r="BR240">
        <v>1</v>
      </c>
      <c r="BS240">
        <v>2</v>
      </c>
    </row>
    <row r="241" spans="1:71" x14ac:dyDescent="0.3">
      <c r="A241" t="s">
        <v>1072</v>
      </c>
      <c r="B241" t="s">
        <v>1073</v>
      </c>
      <c r="C241" t="s">
        <v>29</v>
      </c>
      <c r="D241" t="s">
        <v>29</v>
      </c>
      <c r="E241" t="s">
        <v>29</v>
      </c>
      <c r="F241" t="s">
        <v>696</v>
      </c>
      <c r="G241">
        <v>2023</v>
      </c>
      <c r="H241">
        <v>2023</v>
      </c>
      <c r="I241">
        <v>15</v>
      </c>
      <c r="J241">
        <v>2</v>
      </c>
      <c r="K241" t="s">
        <v>29</v>
      </c>
      <c r="L241" t="s">
        <v>29</v>
      </c>
      <c r="M241" t="s">
        <v>29</v>
      </c>
      <c r="N241">
        <v>106</v>
      </c>
      <c r="O241">
        <v>118</v>
      </c>
      <c r="P241" t="s">
        <v>29</v>
      </c>
      <c r="Q241" t="s">
        <v>1074</v>
      </c>
      <c r="R241" t="s">
        <v>29</v>
      </c>
      <c r="S241" t="s">
        <v>29</v>
      </c>
      <c r="T241">
        <v>3</v>
      </c>
      <c r="U241">
        <v>1.5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  <c r="AB241">
        <v>0</v>
      </c>
      <c r="AC241">
        <v>0</v>
      </c>
      <c r="AD241">
        <v>0</v>
      </c>
      <c r="AE241">
        <v>0</v>
      </c>
      <c r="AF241">
        <v>0</v>
      </c>
      <c r="AG241">
        <v>0</v>
      </c>
      <c r="AH241">
        <v>0</v>
      </c>
      <c r="AI241">
        <v>0</v>
      </c>
      <c r="AJ241">
        <v>0</v>
      </c>
      <c r="AK241">
        <v>0</v>
      </c>
      <c r="AL241">
        <v>0</v>
      </c>
      <c r="AM241">
        <v>0</v>
      </c>
      <c r="AN241">
        <v>0</v>
      </c>
      <c r="AO241">
        <v>0</v>
      </c>
      <c r="AP241">
        <v>0</v>
      </c>
      <c r="AQ241">
        <v>0</v>
      </c>
      <c r="AR241">
        <v>0</v>
      </c>
      <c r="AS241">
        <v>0</v>
      </c>
      <c r="AT241">
        <v>0</v>
      </c>
      <c r="AU241">
        <v>0</v>
      </c>
      <c r="AV241">
        <v>0</v>
      </c>
      <c r="AW241">
        <v>0</v>
      </c>
      <c r="AX241">
        <v>0</v>
      </c>
      <c r="AY241">
        <v>0</v>
      </c>
      <c r="AZ241">
        <v>0</v>
      </c>
      <c r="BA241">
        <v>0</v>
      </c>
      <c r="BB241">
        <v>0</v>
      </c>
      <c r="BC241">
        <v>0</v>
      </c>
      <c r="BD241">
        <v>0</v>
      </c>
      <c r="BE241">
        <v>0</v>
      </c>
      <c r="BF241">
        <v>0</v>
      </c>
      <c r="BG241">
        <v>0</v>
      </c>
      <c r="BH241">
        <v>0</v>
      </c>
      <c r="BI241">
        <v>0</v>
      </c>
      <c r="BJ241">
        <v>0</v>
      </c>
      <c r="BK241">
        <v>0</v>
      </c>
      <c r="BL241">
        <v>0</v>
      </c>
      <c r="BM241">
        <v>0</v>
      </c>
      <c r="BN241">
        <v>0</v>
      </c>
      <c r="BO241">
        <v>0</v>
      </c>
      <c r="BP241">
        <v>0</v>
      </c>
      <c r="BQ241">
        <v>0</v>
      </c>
      <c r="BR241">
        <v>2</v>
      </c>
      <c r="BS241">
        <v>1</v>
      </c>
    </row>
    <row r="242" spans="1:71" x14ac:dyDescent="0.3">
      <c r="A242" t="s">
        <v>1075</v>
      </c>
      <c r="B242" t="s">
        <v>1076</v>
      </c>
      <c r="C242" t="s">
        <v>29</v>
      </c>
      <c r="D242" t="s">
        <v>29</v>
      </c>
      <c r="E242" t="s">
        <v>29</v>
      </c>
      <c r="F242" t="s">
        <v>1077</v>
      </c>
      <c r="G242">
        <v>2023</v>
      </c>
      <c r="H242">
        <v>2023</v>
      </c>
      <c r="I242">
        <v>19</v>
      </c>
      <c r="J242">
        <v>1</v>
      </c>
      <c r="K242" t="s">
        <v>29</v>
      </c>
      <c r="L242" t="s">
        <v>29</v>
      </c>
      <c r="M242" t="s">
        <v>29</v>
      </c>
      <c r="N242">
        <v>25</v>
      </c>
      <c r="O242">
        <v>41</v>
      </c>
      <c r="P242" t="s">
        <v>29</v>
      </c>
      <c r="Q242" t="s">
        <v>1078</v>
      </c>
      <c r="R242" t="s">
        <v>29</v>
      </c>
      <c r="S242" t="s">
        <v>29</v>
      </c>
      <c r="T242">
        <v>3</v>
      </c>
      <c r="U242">
        <v>1.5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  <c r="AB242">
        <v>0</v>
      </c>
      <c r="AC242">
        <v>0</v>
      </c>
      <c r="AD242">
        <v>0</v>
      </c>
      <c r="AE242">
        <v>0</v>
      </c>
      <c r="AF242">
        <v>0</v>
      </c>
      <c r="AG242">
        <v>0</v>
      </c>
      <c r="AH242">
        <v>0</v>
      </c>
      <c r="AI242">
        <v>0</v>
      </c>
      <c r="AJ242">
        <v>0</v>
      </c>
      <c r="AK242">
        <v>0</v>
      </c>
      <c r="AL242">
        <v>0</v>
      </c>
      <c r="AM242">
        <v>0</v>
      </c>
      <c r="AN242">
        <v>0</v>
      </c>
      <c r="AO242">
        <v>0</v>
      </c>
      <c r="AP242">
        <v>0</v>
      </c>
      <c r="AQ242">
        <v>0</v>
      </c>
      <c r="AR242">
        <v>0</v>
      </c>
      <c r="AS242">
        <v>0</v>
      </c>
      <c r="AT242">
        <v>0</v>
      </c>
      <c r="AU242">
        <v>0</v>
      </c>
      <c r="AV242">
        <v>0</v>
      </c>
      <c r="AW242">
        <v>0</v>
      </c>
      <c r="AX242">
        <v>0</v>
      </c>
      <c r="AY242">
        <v>0</v>
      </c>
      <c r="AZ242">
        <v>0</v>
      </c>
      <c r="BA242">
        <v>0</v>
      </c>
      <c r="BB242">
        <v>0</v>
      </c>
      <c r="BC242">
        <v>0</v>
      </c>
      <c r="BD242">
        <v>0</v>
      </c>
      <c r="BE242">
        <v>0</v>
      </c>
      <c r="BF242">
        <v>0</v>
      </c>
      <c r="BG242">
        <v>0</v>
      </c>
      <c r="BH242">
        <v>0</v>
      </c>
      <c r="BI242">
        <v>0</v>
      </c>
      <c r="BJ242">
        <v>0</v>
      </c>
      <c r="BK242">
        <v>0</v>
      </c>
      <c r="BL242">
        <v>0</v>
      </c>
      <c r="BM242">
        <v>0</v>
      </c>
      <c r="BN242">
        <v>0</v>
      </c>
      <c r="BO242">
        <v>0</v>
      </c>
      <c r="BP242">
        <v>0</v>
      </c>
      <c r="BQ242">
        <v>0</v>
      </c>
      <c r="BR242">
        <v>1</v>
      </c>
      <c r="BS242">
        <v>2</v>
      </c>
    </row>
    <row r="243" spans="1:71" x14ac:dyDescent="0.3">
      <c r="A243" t="s">
        <v>1079</v>
      </c>
      <c r="B243" t="s">
        <v>1080</v>
      </c>
      <c r="C243" t="s">
        <v>1081</v>
      </c>
      <c r="D243" t="s">
        <v>29</v>
      </c>
      <c r="E243" t="s">
        <v>29</v>
      </c>
      <c r="F243" t="s">
        <v>1082</v>
      </c>
      <c r="G243" t="s">
        <v>804</v>
      </c>
      <c r="H243">
        <v>2022</v>
      </c>
      <c r="I243">
        <v>24</v>
      </c>
      <c r="J243">
        <v>12</v>
      </c>
      <c r="K243" t="s">
        <v>29</v>
      </c>
      <c r="L243" t="s">
        <v>29</v>
      </c>
      <c r="M243" t="s">
        <v>29</v>
      </c>
      <c r="N243">
        <v>2072</v>
      </c>
      <c r="O243">
        <v>2081</v>
      </c>
      <c r="P243" t="s">
        <v>29</v>
      </c>
      <c r="Q243" t="s">
        <v>1083</v>
      </c>
      <c r="R243" t="s">
        <v>29</v>
      </c>
      <c r="S243" t="s">
        <v>29</v>
      </c>
      <c r="T243">
        <v>3</v>
      </c>
      <c r="U243">
        <v>1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0</v>
      </c>
      <c r="AB243">
        <v>0</v>
      </c>
      <c r="AC243">
        <v>0</v>
      </c>
      <c r="AD243">
        <v>0</v>
      </c>
      <c r="AE243">
        <v>0</v>
      </c>
      <c r="AF243">
        <v>0</v>
      </c>
      <c r="AG243">
        <v>0</v>
      </c>
      <c r="AH243">
        <v>0</v>
      </c>
      <c r="AI243">
        <v>0</v>
      </c>
      <c r="AJ243">
        <v>0</v>
      </c>
      <c r="AK243">
        <v>0</v>
      </c>
      <c r="AL243">
        <v>0</v>
      </c>
      <c r="AM243">
        <v>0</v>
      </c>
      <c r="AN243">
        <v>0</v>
      </c>
      <c r="AO243">
        <v>0</v>
      </c>
      <c r="AP243">
        <v>0</v>
      </c>
      <c r="AQ243">
        <v>0</v>
      </c>
      <c r="AR243">
        <v>0</v>
      </c>
      <c r="AS243">
        <v>0</v>
      </c>
      <c r="AT243">
        <v>0</v>
      </c>
      <c r="AU243">
        <v>0</v>
      </c>
      <c r="AV243">
        <v>0</v>
      </c>
      <c r="AW243">
        <v>0</v>
      </c>
      <c r="AX243">
        <v>0</v>
      </c>
      <c r="AY243">
        <v>0</v>
      </c>
      <c r="AZ243">
        <v>0</v>
      </c>
      <c r="BA243">
        <v>0</v>
      </c>
      <c r="BB243">
        <v>0</v>
      </c>
      <c r="BC243">
        <v>0</v>
      </c>
      <c r="BD243">
        <v>0</v>
      </c>
      <c r="BE243">
        <v>0</v>
      </c>
      <c r="BF243">
        <v>0</v>
      </c>
      <c r="BG243">
        <v>0</v>
      </c>
      <c r="BH243">
        <v>0</v>
      </c>
      <c r="BI243">
        <v>0</v>
      </c>
      <c r="BJ243">
        <v>0</v>
      </c>
      <c r="BK243">
        <v>0</v>
      </c>
      <c r="BL243">
        <v>0</v>
      </c>
      <c r="BM243">
        <v>0</v>
      </c>
      <c r="BN243">
        <v>0</v>
      </c>
      <c r="BO243">
        <v>0</v>
      </c>
      <c r="BP243">
        <v>0</v>
      </c>
      <c r="BQ243">
        <v>0</v>
      </c>
      <c r="BR243">
        <v>1</v>
      </c>
      <c r="BS243">
        <v>2</v>
      </c>
    </row>
    <row r="244" spans="1:71" x14ac:dyDescent="0.3">
      <c r="A244" t="s">
        <v>1084</v>
      </c>
      <c r="B244" t="s">
        <v>1085</v>
      </c>
      <c r="C244" t="s">
        <v>29</v>
      </c>
      <c r="D244" t="s">
        <v>29</v>
      </c>
      <c r="E244" t="s">
        <v>29</v>
      </c>
      <c r="F244" t="s">
        <v>1086</v>
      </c>
      <c r="G244" t="s">
        <v>1087</v>
      </c>
      <c r="H244">
        <v>2023</v>
      </c>
      <c r="I244">
        <v>33</v>
      </c>
      <c r="J244">
        <v>6</v>
      </c>
      <c r="K244" t="s">
        <v>29</v>
      </c>
      <c r="L244" t="s">
        <v>29</v>
      </c>
      <c r="M244" t="s">
        <v>29</v>
      </c>
      <c r="N244">
        <v>1179</v>
      </c>
      <c r="O244">
        <v>1204</v>
      </c>
      <c r="P244" t="s">
        <v>29</v>
      </c>
      <c r="Q244" t="s">
        <v>1088</v>
      </c>
      <c r="R244" t="s">
        <v>29</v>
      </c>
      <c r="S244" t="s">
        <v>29</v>
      </c>
      <c r="T244">
        <v>3</v>
      </c>
      <c r="U244">
        <v>1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0</v>
      </c>
      <c r="AB244">
        <v>0</v>
      </c>
      <c r="AC244">
        <v>0</v>
      </c>
      <c r="AD244">
        <v>0</v>
      </c>
      <c r="AE244">
        <v>0</v>
      </c>
      <c r="AF244">
        <v>0</v>
      </c>
      <c r="AG244">
        <v>0</v>
      </c>
      <c r="AH244">
        <v>0</v>
      </c>
      <c r="AI244">
        <v>0</v>
      </c>
      <c r="AJ244">
        <v>0</v>
      </c>
      <c r="AK244">
        <v>0</v>
      </c>
      <c r="AL244">
        <v>0</v>
      </c>
      <c r="AM244">
        <v>0</v>
      </c>
      <c r="AN244">
        <v>0</v>
      </c>
      <c r="AO244">
        <v>0</v>
      </c>
      <c r="AP244">
        <v>0</v>
      </c>
      <c r="AQ244">
        <v>0</v>
      </c>
      <c r="AR244">
        <v>0</v>
      </c>
      <c r="AS244">
        <v>0</v>
      </c>
      <c r="AT244">
        <v>0</v>
      </c>
      <c r="AU244">
        <v>0</v>
      </c>
      <c r="AV244">
        <v>0</v>
      </c>
      <c r="AW244">
        <v>0</v>
      </c>
      <c r="AX244">
        <v>0</v>
      </c>
      <c r="AY244">
        <v>0</v>
      </c>
      <c r="AZ244">
        <v>0</v>
      </c>
      <c r="BA244">
        <v>0</v>
      </c>
      <c r="BB244">
        <v>0</v>
      </c>
      <c r="BC244">
        <v>0</v>
      </c>
      <c r="BD244">
        <v>0</v>
      </c>
      <c r="BE244">
        <v>0</v>
      </c>
      <c r="BF244">
        <v>0</v>
      </c>
      <c r="BG244">
        <v>0</v>
      </c>
      <c r="BH244">
        <v>0</v>
      </c>
      <c r="BI244">
        <v>0</v>
      </c>
      <c r="BJ244">
        <v>0</v>
      </c>
      <c r="BK244">
        <v>0</v>
      </c>
      <c r="BL244">
        <v>0</v>
      </c>
      <c r="BM244">
        <v>0</v>
      </c>
      <c r="BN244">
        <v>0</v>
      </c>
      <c r="BO244">
        <v>0</v>
      </c>
      <c r="BP244">
        <v>0</v>
      </c>
      <c r="BQ244">
        <v>0</v>
      </c>
      <c r="BR244">
        <v>1</v>
      </c>
      <c r="BS244">
        <v>2</v>
      </c>
    </row>
    <row r="245" spans="1:71" x14ac:dyDescent="0.3">
      <c r="A245" t="s">
        <v>1089</v>
      </c>
      <c r="B245" t="s">
        <v>1090</v>
      </c>
      <c r="C245" t="s">
        <v>29</v>
      </c>
      <c r="D245" t="s">
        <v>29</v>
      </c>
      <c r="E245" t="s">
        <v>29</v>
      </c>
      <c r="F245" t="s">
        <v>1091</v>
      </c>
      <c r="G245" t="s">
        <v>1092</v>
      </c>
      <c r="H245">
        <v>2023</v>
      </c>
      <c r="I245">
        <v>19</v>
      </c>
      <c r="J245">
        <v>1</v>
      </c>
      <c r="K245" t="s">
        <v>29</v>
      </c>
      <c r="L245" t="s">
        <v>29</v>
      </c>
      <c r="M245" t="s">
        <v>29</v>
      </c>
      <c r="N245">
        <v>134</v>
      </c>
      <c r="O245">
        <v>153</v>
      </c>
      <c r="P245" t="s">
        <v>29</v>
      </c>
      <c r="Q245" t="s">
        <v>1093</v>
      </c>
      <c r="R245" t="s">
        <v>29</v>
      </c>
      <c r="S245" t="s">
        <v>29</v>
      </c>
      <c r="T245">
        <v>3</v>
      </c>
      <c r="U245">
        <v>1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  <c r="AB245">
        <v>0</v>
      </c>
      <c r="AC245">
        <v>0</v>
      </c>
      <c r="AD245">
        <v>0</v>
      </c>
      <c r="AE245">
        <v>0</v>
      </c>
      <c r="AF245">
        <v>0</v>
      </c>
      <c r="AG245">
        <v>0</v>
      </c>
      <c r="AH245">
        <v>0</v>
      </c>
      <c r="AI245">
        <v>0</v>
      </c>
      <c r="AJ245">
        <v>0</v>
      </c>
      <c r="AK245">
        <v>0</v>
      </c>
      <c r="AL245">
        <v>0</v>
      </c>
      <c r="AM245">
        <v>0</v>
      </c>
      <c r="AN245">
        <v>0</v>
      </c>
      <c r="AO245">
        <v>0</v>
      </c>
      <c r="AP245">
        <v>0</v>
      </c>
      <c r="AQ245">
        <v>0</v>
      </c>
      <c r="AR245">
        <v>0</v>
      </c>
      <c r="AS245">
        <v>0</v>
      </c>
      <c r="AT245">
        <v>0</v>
      </c>
      <c r="AU245">
        <v>0</v>
      </c>
      <c r="AV245">
        <v>0</v>
      </c>
      <c r="AW245">
        <v>0</v>
      </c>
      <c r="AX245">
        <v>0</v>
      </c>
      <c r="AY245">
        <v>0</v>
      </c>
      <c r="AZ245">
        <v>0</v>
      </c>
      <c r="BA245">
        <v>0</v>
      </c>
      <c r="BB245">
        <v>0</v>
      </c>
      <c r="BC245">
        <v>0</v>
      </c>
      <c r="BD245">
        <v>0</v>
      </c>
      <c r="BE245">
        <v>0</v>
      </c>
      <c r="BF245">
        <v>0</v>
      </c>
      <c r="BG245">
        <v>0</v>
      </c>
      <c r="BH245">
        <v>0</v>
      </c>
      <c r="BI245">
        <v>0</v>
      </c>
      <c r="BJ245">
        <v>0</v>
      </c>
      <c r="BK245">
        <v>0</v>
      </c>
      <c r="BL245">
        <v>0</v>
      </c>
      <c r="BM245">
        <v>0</v>
      </c>
      <c r="BN245">
        <v>0</v>
      </c>
      <c r="BO245">
        <v>0</v>
      </c>
      <c r="BP245">
        <v>0</v>
      </c>
      <c r="BQ245">
        <v>0</v>
      </c>
      <c r="BR245">
        <v>2</v>
      </c>
      <c r="BS245">
        <v>1</v>
      </c>
    </row>
    <row r="246" spans="1:71" x14ac:dyDescent="0.3">
      <c r="A246" t="s">
        <v>1094</v>
      </c>
      <c r="B246" t="s">
        <v>1095</v>
      </c>
      <c r="C246" t="s">
        <v>29</v>
      </c>
      <c r="D246" t="s">
        <v>29</v>
      </c>
      <c r="E246" t="s">
        <v>29</v>
      </c>
      <c r="F246" t="s">
        <v>1096</v>
      </c>
      <c r="G246" t="s">
        <v>1097</v>
      </c>
      <c r="H246">
        <v>2022</v>
      </c>
      <c r="I246">
        <v>41</v>
      </c>
      <c r="J246" t="s">
        <v>29</v>
      </c>
      <c r="K246" t="s">
        <v>29</v>
      </c>
      <c r="L246" t="s">
        <v>29</v>
      </c>
      <c r="M246" t="s">
        <v>29</v>
      </c>
      <c r="N246" t="s">
        <v>29</v>
      </c>
      <c r="O246" t="s">
        <v>29</v>
      </c>
      <c r="P246">
        <v>100255</v>
      </c>
      <c r="Q246" t="s">
        <v>1098</v>
      </c>
      <c r="R246" t="s">
        <v>29</v>
      </c>
      <c r="S246" t="s">
        <v>29</v>
      </c>
      <c r="T246">
        <v>3</v>
      </c>
      <c r="U246">
        <v>1</v>
      </c>
      <c r="V246">
        <v>0</v>
      </c>
      <c r="W246">
        <v>0</v>
      </c>
      <c r="X246">
        <v>0</v>
      </c>
      <c r="Y246">
        <v>0</v>
      </c>
      <c r="Z246">
        <v>0</v>
      </c>
      <c r="AA246">
        <v>0</v>
      </c>
      <c r="AB246">
        <v>0</v>
      </c>
      <c r="AC246">
        <v>0</v>
      </c>
      <c r="AD246">
        <v>0</v>
      </c>
      <c r="AE246">
        <v>0</v>
      </c>
      <c r="AF246">
        <v>0</v>
      </c>
      <c r="AG246">
        <v>0</v>
      </c>
      <c r="AH246">
        <v>0</v>
      </c>
      <c r="AI246">
        <v>0</v>
      </c>
      <c r="AJ246">
        <v>0</v>
      </c>
      <c r="AK246">
        <v>0</v>
      </c>
      <c r="AL246">
        <v>0</v>
      </c>
      <c r="AM246">
        <v>0</v>
      </c>
      <c r="AN246">
        <v>0</v>
      </c>
      <c r="AO246">
        <v>0</v>
      </c>
      <c r="AP246">
        <v>0</v>
      </c>
      <c r="AQ246">
        <v>0</v>
      </c>
      <c r="AR246">
        <v>0</v>
      </c>
      <c r="AS246">
        <v>0</v>
      </c>
      <c r="AT246">
        <v>0</v>
      </c>
      <c r="AU246">
        <v>0</v>
      </c>
      <c r="AV246">
        <v>0</v>
      </c>
      <c r="AW246">
        <v>0</v>
      </c>
      <c r="AX246">
        <v>0</v>
      </c>
      <c r="AY246">
        <v>0</v>
      </c>
      <c r="AZ246">
        <v>0</v>
      </c>
      <c r="BA246">
        <v>0</v>
      </c>
      <c r="BB246">
        <v>0</v>
      </c>
      <c r="BC246">
        <v>0</v>
      </c>
      <c r="BD246">
        <v>0</v>
      </c>
      <c r="BE246">
        <v>0</v>
      </c>
      <c r="BF246">
        <v>0</v>
      </c>
      <c r="BG246">
        <v>0</v>
      </c>
      <c r="BH246">
        <v>0</v>
      </c>
      <c r="BI246">
        <v>0</v>
      </c>
      <c r="BJ246">
        <v>0</v>
      </c>
      <c r="BK246">
        <v>0</v>
      </c>
      <c r="BL246">
        <v>0</v>
      </c>
      <c r="BM246">
        <v>0</v>
      </c>
      <c r="BN246">
        <v>0</v>
      </c>
      <c r="BO246">
        <v>0</v>
      </c>
      <c r="BP246">
        <v>0</v>
      </c>
      <c r="BQ246">
        <v>0</v>
      </c>
      <c r="BR246">
        <v>1</v>
      </c>
      <c r="BS246">
        <v>1</v>
      </c>
    </row>
    <row r="247" spans="1:71" x14ac:dyDescent="0.3">
      <c r="A247" t="s">
        <v>1099</v>
      </c>
      <c r="B247" t="s">
        <v>1100</v>
      </c>
      <c r="C247" t="s">
        <v>29</v>
      </c>
      <c r="D247" t="s">
        <v>29</v>
      </c>
      <c r="E247" t="s">
        <v>29</v>
      </c>
      <c r="F247" t="s">
        <v>1101</v>
      </c>
      <c r="G247" t="s">
        <v>1092</v>
      </c>
      <c r="H247">
        <v>2023</v>
      </c>
      <c r="I247">
        <v>21</v>
      </c>
      <c r="J247">
        <v>1</v>
      </c>
      <c r="K247" t="s">
        <v>29</v>
      </c>
      <c r="L247" t="s">
        <v>29</v>
      </c>
      <c r="M247" t="s">
        <v>32</v>
      </c>
      <c r="N247">
        <v>104</v>
      </c>
      <c r="O247">
        <v>118</v>
      </c>
      <c r="P247" t="s">
        <v>29</v>
      </c>
      <c r="Q247" t="s">
        <v>1102</v>
      </c>
      <c r="R247" t="s">
        <v>29</v>
      </c>
      <c r="S247" t="s">
        <v>29</v>
      </c>
      <c r="T247">
        <v>3</v>
      </c>
      <c r="U247">
        <v>1</v>
      </c>
      <c r="V247">
        <v>0</v>
      </c>
      <c r="W247">
        <v>0</v>
      </c>
      <c r="X247">
        <v>0</v>
      </c>
      <c r="Y247">
        <v>0</v>
      </c>
      <c r="Z247">
        <v>0</v>
      </c>
      <c r="AA247">
        <v>0</v>
      </c>
      <c r="AB247">
        <v>0</v>
      </c>
      <c r="AC247">
        <v>0</v>
      </c>
      <c r="AD247">
        <v>0</v>
      </c>
      <c r="AE247">
        <v>0</v>
      </c>
      <c r="AF247">
        <v>0</v>
      </c>
      <c r="AG247">
        <v>0</v>
      </c>
      <c r="AH247">
        <v>0</v>
      </c>
      <c r="AI247">
        <v>0</v>
      </c>
      <c r="AJ247">
        <v>0</v>
      </c>
      <c r="AK247">
        <v>0</v>
      </c>
      <c r="AL247">
        <v>0</v>
      </c>
      <c r="AM247">
        <v>0</v>
      </c>
      <c r="AN247">
        <v>0</v>
      </c>
      <c r="AO247">
        <v>0</v>
      </c>
      <c r="AP247">
        <v>0</v>
      </c>
      <c r="AQ247">
        <v>0</v>
      </c>
      <c r="AR247">
        <v>0</v>
      </c>
      <c r="AS247">
        <v>0</v>
      </c>
      <c r="AT247">
        <v>0</v>
      </c>
      <c r="AU247">
        <v>0</v>
      </c>
      <c r="AV247">
        <v>0</v>
      </c>
      <c r="AW247">
        <v>0</v>
      </c>
      <c r="AX247">
        <v>0</v>
      </c>
      <c r="AY247">
        <v>0</v>
      </c>
      <c r="AZ247">
        <v>0</v>
      </c>
      <c r="BA247">
        <v>0</v>
      </c>
      <c r="BB247">
        <v>0</v>
      </c>
      <c r="BC247">
        <v>0</v>
      </c>
      <c r="BD247">
        <v>0</v>
      </c>
      <c r="BE247">
        <v>0</v>
      </c>
      <c r="BF247">
        <v>0</v>
      </c>
      <c r="BG247">
        <v>0</v>
      </c>
      <c r="BH247">
        <v>0</v>
      </c>
      <c r="BI247">
        <v>0</v>
      </c>
      <c r="BJ247">
        <v>0</v>
      </c>
      <c r="BK247">
        <v>0</v>
      </c>
      <c r="BL247">
        <v>0</v>
      </c>
      <c r="BM247">
        <v>0</v>
      </c>
      <c r="BN247">
        <v>0</v>
      </c>
      <c r="BO247">
        <v>0</v>
      </c>
      <c r="BP247">
        <v>0</v>
      </c>
      <c r="BQ247">
        <v>0</v>
      </c>
      <c r="BR247">
        <v>1</v>
      </c>
      <c r="BS247">
        <v>2</v>
      </c>
    </row>
    <row r="248" spans="1:71" x14ac:dyDescent="0.3">
      <c r="A248" t="s">
        <v>1103</v>
      </c>
      <c r="B248" t="s">
        <v>1104</v>
      </c>
      <c r="C248" t="s">
        <v>29</v>
      </c>
      <c r="D248" t="s">
        <v>29</v>
      </c>
      <c r="E248" t="s">
        <v>29</v>
      </c>
      <c r="F248" t="s">
        <v>1105</v>
      </c>
      <c r="G248" t="s">
        <v>381</v>
      </c>
      <c r="H248">
        <v>2022</v>
      </c>
      <c r="I248">
        <v>112</v>
      </c>
      <c r="J248" t="s">
        <v>29</v>
      </c>
      <c r="K248" t="s">
        <v>29</v>
      </c>
      <c r="L248" t="s">
        <v>29</v>
      </c>
      <c r="M248" t="s">
        <v>29</v>
      </c>
      <c r="N248">
        <v>121</v>
      </c>
      <c r="O248">
        <v>125</v>
      </c>
      <c r="P248" t="s">
        <v>29</v>
      </c>
      <c r="Q248" t="s">
        <v>1106</v>
      </c>
      <c r="R248" t="s">
        <v>1107</v>
      </c>
      <c r="S248" t="s">
        <v>1108</v>
      </c>
      <c r="T248">
        <v>3</v>
      </c>
      <c r="U248">
        <v>1</v>
      </c>
      <c r="V248">
        <v>0</v>
      </c>
      <c r="W248">
        <v>0</v>
      </c>
      <c r="X248">
        <v>0</v>
      </c>
      <c r="Y248">
        <v>0</v>
      </c>
      <c r="Z248">
        <v>0</v>
      </c>
      <c r="AA248">
        <v>0</v>
      </c>
      <c r="AB248">
        <v>0</v>
      </c>
      <c r="AC248">
        <v>0</v>
      </c>
      <c r="AD248">
        <v>0</v>
      </c>
      <c r="AE248">
        <v>0</v>
      </c>
      <c r="AF248">
        <v>0</v>
      </c>
      <c r="AG248">
        <v>0</v>
      </c>
      <c r="AH248">
        <v>0</v>
      </c>
      <c r="AI248">
        <v>0</v>
      </c>
      <c r="AJ248">
        <v>0</v>
      </c>
      <c r="AK248">
        <v>0</v>
      </c>
      <c r="AL248">
        <v>0</v>
      </c>
      <c r="AM248">
        <v>0</v>
      </c>
      <c r="AN248">
        <v>0</v>
      </c>
      <c r="AO248">
        <v>0</v>
      </c>
      <c r="AP248">
        <v>0</v>
      </c>
      <c r="AQ248">
        <v>0</v>
      </c>
      <c r="AR248">
        <v>0</v>
      </c>
      <c r="AS248">
        <v>0</v>
      </c>
      <c r="AT248">
        <v>0</v>
      </c>
      <c r="AU248">
        <v>0</v>
      </c>
      <c r="AV248">
        <v>0</v>
      </c>
      <c r="AW248">
        <v>0</v>
      </c>
      <c r="AX248">
        <v>0</v>
      </c>
      <c r="AY248">
        <v>0</v>
      </c>
      <c r="AZ248">
        <v>0</v>
      </c>
      <c r="BA248">
        <v>0</v>
      </c>
      <c r="BB248">
        <v>0</v>
      </c>
      <c r="BC248">
        <v>0</v>
      </c>
      <c r="BD248">
        <v>0</v>
      </c>
      <c r="BE248">
        <v>0</v>
      </c>
      <c r="BF248">
        <v>0</v>
      </c>
      <c r="BG248">
        <v>0</v>
      </c>
      <c r="BH248">
        <v>0</v>
      </c>
      <c r="BI248">
        <v>0</v>
      </c>
      <c r="BJ248">
        <v>0</v>
      </c>
      <c r="BK248">
        <v>0</v>
      </c>
      <c r="BL248">
        <v>0</v>
      </c>
      <c r="BM248">
        <v>0</v>
      </c>
      <c r="BN248">
        <v>0</v>
      </c>
      <c r="BO248">
        <v>0</v>
      </c>
      <c r="BP248">
        <v>0</v>
      </c>
      <c r="BQ248">
        <v>1</v>
      </c>
      <c r="BR248">
        <v>1</v>
      </c>
      <c r="BS248">
        <v>1</v>
      </c>
    </row>
    <row r="249" spans="1:71" x14ac:dyDescent="0.3">
      <c r="A249" t="s">
        <v>1109</v>
      </c>
      <c r="B249" t="s">
        <v>1110</v>
      </c>
      <c r="C249" t="s">
        <v>29</v>
      </c>
      <c r="D249" t="s">
        <v>29</v>
      </c>
      <c r="E249" t="s">
        <v>29</v>
      </c>
      <c r="F249" t="s">
        <v>1111</v>
      </c>
      <c r="G249" t="s">
        <v>743</v>
      </c>
      <c r="H249">
        <v>2023</v>
      </c>
      <c r="I249">
        <v>10</v>
      </c>
      <c r="J249">
        <v>2</v>
      </c>
      <c r="K249" t="s">
        <v>29</v>
      </c>
      <c r="L249" t="s">
        <v>29</v>
      </c>
      <c r="M249" t="s">
        <v>29</v>
      </c>
      <c r="N249">
        <v>795</v>
      </c>
      <c r="O249">
        <v>806</v>
      </c>
      <c r="P249" t="s">
        <v>29</v>
      </c>
      <c r="Q249" t="s">
        <v>1112</v>
      </c>
      <c r="R249" t="s">
        <v>29</v>
      </c>
      <c r="S249" t="s">
        <v>29</v>
      </c>
      <c r="T249">
        <v>3</v>
      </c>
      <c r="U249">
        <v>1</v>
      </c>
      <c r="V249">
        <v>0</v>
      </c>
      <c r="W249">
        <v>0</v>
      </c>
      <c r="X249">
        <v>0</v>
      </c>
      <c r="Y249">
        <v>0</v>
      </c>
      <c r="Z249">
        <v>0</v>
      </c>
      <c r="AA249">
        <v>0</v>
      </c>
      <c r="AB249">
        <v>0</v>
      </c>
      <c r="AC249">
        <v>0</v>
      </c>
      <c r="AD249">
        <v>0</v>
      </c>
      <c r="AE249">
        <v>0</v>
      </c>
      <c r="AF249">
        <v>0</v>
      </c>
      <c r="AG249">
        <v>0</v>
      </c>
      <c r="AH249">
        <v>0</v>
      </c>
      <c r="AI249">
        <v>0</v>
      </c>
      <c r="AJ249">
        <v>0</v>
      </c>
      <c r="AK249">
        <v>0</v>
      </c>
      <c r="AL249">
        <v>0</v>
      </c>
      <c r="AM249">
        <v>0</v>
      </c>
      <c r="AN249">
        <v>0</v>
      </c>
      <c r="AO249">
        <v>0</v>
      </c>
      <c r="AP249">
        <v>0</v>
      </c>
      <c r="AQ249">
        <v>0</v>
      </c>
      <c r="AR249">
        <v>0</v>
      </c>
      <c r="AS249">
        <v>0</v>
      </c>
      <c r="AT249">
        <v>0</v>
      </c>
      <c r="AU249">
        <v>0</v>
      </c>
      <c r="AV249">
        <v>0</v>
      </c>
      <c r="AW249">
        <v>0</v>
      </c>
      <c r="AX249">
        <v>0</v>
      </c>
      <c r="AY249">
        <v>0</v>
      </c>
      <c r="AZ249">
        <v>0</v>
      </c>
      <c r="BA249">
        <v>0</v>
      </c>
      <c r="BB249">
        <v>0</v>
      </c>
      <c r="BC249">
        <v>0</v>
      </c>
      <c r="BD249">
        <v>0</v>
      </c>
      <c r="BE249">
        <v>0</v>
      </c>
      <c r="BF249">
        <v>0</v>
      </c>
      <c r="BG249">
        <v>0</v>
      </c>
      <c r="BH249">
        <v>0</v>
      </c>
      <c r="BI249">
        <v>0</v>
      </c>
      <c r="BJ249">
        <v>0</v>
      </c>
      <c r="BK249">
        <v>0</v>
      </c>
      <c r="BL249">
        <v>0</v>
      </c>
      <c r="BM249">
        <v>0</v>
      </c>
      <c r="BN249">
        <v>0</v>
      </c>
      <c r="BO249">
        <v>0</v>
      </c>
      <c r="BP249">
        <v>0</v>
      </c>
      <c r="BQ249">
        <v>0</v>
      </c>
      <c r="BR249">
        <v>1</v>
      </c>
      <c r="BS249">
        <v>2</v>
      </c>
    </row>
    <row r="250" spans="1:71" x14ac:dyDescent="0.3">
      <c r="A250" t="s">
        <v>1113</v>
      </c>
      <c r="B250" t="s">
        <v>1114</v>
      </c>
      <c r="C250" t="s">
        <v>29</v>
      </c>
      <c r="D250" t="s">
        <v>29</v>
      </c>
      <c r="E250" t="s">
        <v>29</v>
      </c>
      <c r="F250" t="s">
        <v>1115</v>
      </c>
      <c r="G250" t="s">
        <v>1092</v>
      </c>
      <c r="H250">
        <v>2023</v>
      </c>
      <c r="I250">
        <v>34</v>
      </c>
      <c r="J250" t="s">
        <v>966</v>
      </c>
      <c r="K250" t="s">
        <v>29</v>
      </c>
      <c r="L250" t="s">
        <v>29</v>
      </c>
      <c r="M250" t="s">
        <v>29</v>
      </c>
      <c r="N250">
        <v>57</v>
      </c>
      <c r="O250">
        <v>70</v>
      </c>
      <c r="P250" t="s">
        <v>29</v>
      </c>
      <c r="Q250" t="s">
        <v>1116</v>
      </c>
      <c r="R250" t="s">
        <v>29</v>
      </c>
      <c r="S250" t="s">
        <v>29</v>
      </c>
      <c r="T250">
        <v>3</v>
      </c>
      <c r="U250">
        <v>1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0</v>
      </c>
      <c r="AB250">
        <v>0</v>
      </c>
      <c r="AC250">
        <v>0</v>
      </c>
      <c r="AD250">
        <v>0</v>
      </c>
      <c r="AE250">
        <v>0</v>
      </c>
      <c r="AF250">
        <v>0</v>
      </c>
      <c r="AG250">
        <v>0</v>
      </c>
      <c r="AH250">
        <v>0</v>
      </c>
      <c r="AI250">
        <v>0</v>
      </c>
      <c r="AJ250">
        <v>0</v>
      </c>
      <c r="AK250">
        <v>0</v>
      </c>
      <c r="AL250">
        <v>0</v>
      </c>
      <c r="AM250">
        <v>0</v>
      </c>
      <c r="AN250">
        <v>0</v>
      </c>
      <c r="AO250">
        <v>0</v>
      </c>
      <c r="AP250">
        <v>0</v>
      </c>
      <c r="AQ250">
        <v>0</v>
      </c>
      <c r="AR250">
        <v>0</v>
      </c>
      <c r="AS250">
        <v>0</v>
      </c>
      <c r="AT250">
        <v>0</v>
      </c>
      <c r="AU250">
        <v>0</v>
      </c>
      <c r="AV250">
        <v>0</v>
      </c>
      <c r="AW250">
        <v>0</v>
      </c>
      <c r="AX250">
        <v>0</v>
      </c>
      <c r="AY250">
        <v>0</v>
      </c>
      <c r="AZ250">
        <v>0</v>
      </c>
      <c r="BA250">
        <v>0</v>
      </c>
      <c r="BB250">
        <v>0</v>
      </c>
      <c r="BC250">
        <v>0</v>
      </c>
      <c r="BD250">
        <v>0</v>
      </c>
      <c r="BE250">
        <v>0</v>
      </c>
      <c r="BF250">
        <v>0</v>
      </c>
      <c r="BG250">
        <v>0</v>
      </c>
      <c r="BH250">
        <v>0</v>
      </c>
      <c r="BI250">
        <v>0</v>
      </c>
      <c r="BJ250">
        <v>0</v>
      </c>
      <c r="BK250">
        <v>0</v>
      </c>
      <c r="BL250">
        <v>0</v>
      </c>
      <c r="BM250">
        <v>0</v>
      </c>
      <c r="BN250">
        <v>0</v>
      </c>
      <c r="BO250">
        <v>0</v>
      </c>
      <c r="BP250">
        <v>0</v>
      </c>
      <c r="BQ250">
        <v>1</v>
      </c>
      <c r="BR250">
        <v>0</v>
      </c>
      <c r="BS250">
        <v>2</v>
      </c>
    </row>
    <row r="251" spans="1:71" x14ac:dyDescent="0.3">
      <c r="A251" t="s">
        <v>1117</v>
      </c>
      <c r="B251" t="s">
        <v>1118</v>
      </c>
      <c r="C251" t="s">
        <v>29</v>
      </c>
      <c r="D251" t="s">
        <v>29</v>
      </c>
      <c r="E251" t="s">
        <v>1119</v>
      </c>
      <c r="F251" t="s">
        <v>1120</v>
      </c>
      <c r="G251">
        <v>2022</v>
      </c>
      <c r="H251">
        <v>2022</v>
      </c>
      <c r="I251" t="s">
        <v>29</v>
      </c>
      <c r="J251" t="s">
        <v>29</v>
      </c>
      <c r="K251" t="s">
        <v>29</v>
      </c>
      <c r="L251" t="s">
        <v>29</v>
      </c>
      <c r="M251" t="s">
        <v>29</v>
      </c>
      <c r="N251">
        <v>445</v>
      </c>
      <c r="O251">
        <v>450</v>
      </c>
      <c r="P251" t="s">
        <v>29</v>
      </c>
      <c r="Q251" t="s">
        <v>1121</v>
      </c>
      <c r="R251" t="s">
        <v>1122</v>
      </c>
      <c r="S251" t="s">
        <v>1123</v>
      </c>
      <c r="T251">
        <v>3</v>
      </c>
      <c r="U251">
        <v>1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0</v>
      </c>
      <c r="AB251">
        <v>0</v>
      </c>
      <c r="AC251">
        <v>0</v>
      </c>
      <c r="AD251">
        <v>0</v>
      </c>
      <c r="AE251">
        <v>0</v>
      </c>
      <c r="AF251">
        <v>0</v>
      </c>
      <c r="AG251">
        <v>0</v>
      </c>
      <c r="AH251">
        <v>0</v>
      </c>
      <c r="AI251">
        <v>0</v>
      </c>
      <c r="AJ251">
        <v>0</v>
      </c>
      <c r="AK251">
        <v>0</v>
      </c>
      <c r="AL251">
        <v>0</v>
      </c>
      <c r="AM251">
        <v>0</v>
      </c>
      <c r="AN251">
        <v>0</v>
      </c>
      <c r="AO251">
        <v>0</v>
      </c>
      <c r="AP251">
        <v>0</v>
      </c>
      <c r="AQ251">
        <v>0</v>
      </c>
      <c r="AR251">
        <v>0</v>
      </c>
      <c r="AS251">
        <v>0</v>
      </c>
      <c r="AT251">
        <v>0</v>
      </c>
      <c r="AU251">
        <v>0</v>
      </c>
      <c r="AV251">
        <v>0</v>
      </c>
      <c r="AW251">
        <v>0</v>
      </c>
      <c r="AX251">
        <v>0</v>
      </c>
      <c r="AY251">
        <v>0</v>
      </c>
      <c r="AZ251">
        <v>0</v>
      </c>
      <c r="BA251">
        <v>0</v>
      </c>
      <c r="BB251">
        <v>0</v>
      </c>
      <c r="BC251">
        <v>0</v>
      </c>
      <c r="BD251">
        <v>0</v>
      </c>
      <c r="BE251">
        <v>0</v>
      </c>
      <c r="BF251">
        <v>0</v>
      </c>
      <c r="BG251">
        <v>0</v>
      </c>
      <c r="BH251">
        <v>0</v>
      </c>
      <c r="BI251">
        <v>0</v>
      </c>
      <c r="BJ251">
        <v>0</v>
      </c>
      <c r="BK251">
        <v>0</v>
      </c>
      <c r="BL251">
        <v>0</v>
      </c>
      <c r="BM251">
        <v>0</v>
      </c>
      <c r="BN251">
        <v>0</v>
      </c>
      <c r="BO251">
        <v>0</v>
      </c>
      <c r="BP251">
        <v>0</v>
      </c>
      <c r="BQ251">
        <v>0</v>
      </c>
      <c r="BR251">
        <v>1</v>
      </c>
      <c r="BS251">
        <v>2</v>
      </c>
    </row>
    <row r="252" spans="1:71" x14ac:dyDescent="0.3">
      <c r="A252" t="s">
        <v>1124</v>
      </c>
      <c r="B252" t="s">
        <v>1125</v>
      </c>
      <c r="C252" t="s">
        <v>29</v>
      </c>
      <c r="D252" t="s">
        <v>29</v>
      </c>
      <c r="E252" t="s">
        <v>29</v>
      </c>
      <c r="F252" t="s">
        <v>996</v>
      </c>
      <c r="G252">
        <v>2022</v>
      </c>
      <c r="H252">
        <v>2022</v>
      </c>
      <c r="I252">
        <v>10</v>
      </c>
      <c r="J252" t="s">
        <v>29</v>
      </c>
      <c r="K252" t="s">
        <v>29</v>
      </c>
      <c r="L252" t="s">
        <v>29</v>
      </c>
      <c r="M252" t="s">
        <v>29</v>
      </c>
      <c r="N252">
        <v>24556</v>
      </c>
      <c r="O252">
        <v>24565</v>
      </c>
      <c r="P252" t="s">
        <v>29</v>
      </c>
      <c r="Q252" t="s">
        <v>1126</v>
      </c>
      <c r="R252" t="s">
        <v>29</v>
      </c>
      <c r="S252" t="s">
        <v>29</v>
      </c>
      <c r="T252">
        <v>3</v>
      </c>
      <c r="U252">
        <v>1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0</v>
      </c>
      <c r="AB252">
        <v>0</v>
      </c>
      <c r="AC252">
        <v>0</v>
      </c>
      <c r="AD252">
        <v>0</v>
      </c>
      <c r="AE252">
        <v>0</v>
      </c>
      <c r="AF252">
        <v>0</v>
      </c>
      <c r="AG252">
        <v>0</v>
      </c>
      <c r="AH252">
        <v>0</v>
      </c>
      <c r="AI252">
        <v>0</v>
      </c>
      <c r="AJ252">
        <v>0</v>
      </c>
      <c r="AK252">
        <v>0</v>
      </c>
      <c r="AL252">
        <v>0</v>
      </c>
      <c r="AM252">
        <v>0</v>
      </c>
      <c r="AN252">
        <v>0</v>
      </c>
      <c r="AO252">
        <v>0</v>
      </c>
      <c r="AP252">
        <v>0</v>
      </c>
      <c r="AQ252">
        <v>0</v>
      </c>
      <c r="AR252">
        <v>0</v>
      </c>
      <c r="AS252">
        <v>0</v>
      </c>
      <c r="AT252">
        <v>0</v>
      </c>
      <c r="AU252">
        <v>0</v>
      </c>
      <c r="AV252">
        <v>0</v>
      </c>
      <c r="AW252">
        <v>0</v>
      </c>
      <c r="AX252">
        <v>0</v>
      </c>
      <c r="AY252">
        <v>0</v>
      </c>
      <c r="AZ252">
        <v>0</v>
      </c>
      <c r="BA252">
        <v>0</v>
      </c>
      <c r="BB252">
        <v>0</v>
      </c>
      <c r="BC252">
        <v>0</v>
      </c>
      <c r="BD252">
        <v>0</v>
      </c>
      <c r="BE252">
        <v>0</v>
      </c>
      <c r="BF252">
        <v>0</v>
      </c>
      <c r="BG252">
        <v>0</v>
      </c>
      <c r="BH252">
        <v>0</v>
      </c>
      <c r="BI252">
        <v>0</v>
      </c>
      <c r="BJ252">
        <v>0</v>
      </c>
      <c r="BK252">
        <v>0</v>
      </c>
      <c r="BL252">
        <v>0</v>
      </c>
      <c r="BM252">
        <v>0</v>
      </c>
      <c r="BN252">
        <v>0</v>
      </c>
      <c r="BO252">
        <v>0</v>
      </c>
      <c r="BP252">
        <v>0</v>
      </c>
      <c r="BQ252">
        <v>0</v>
      </c>
      <c r="BR252">
        <v>2</v>
      </c>
      <c r="BS252">
        <v>1</v>
      </c>
    </row>
    <row r="253" spans="1:71" x14ac:dyDescent="0.3">
      <c r="A253" t="s">
        <v>1127</v>
      </c>
      <c r="B253" t="s">
        <v>1128</v>
      </c>
      <c r="C253" t="s">
        <v>29</v>
      </c>
      <c r="D253" t="s">
        <v>29</v>
      </c>
      <c r="E253" t="s">
        <v>29</v>
      </c>
      <c r="F253" t="s">
        <v>594</v>
      </c>
      <c r="G253" t="s">
        <v>441</v>
      </c>
      <c r="H253">
        <v>2021</v>
      </c>
      <c r="I253">
        <v>14</v>
      </c>
      <c r="J253">
        <v>21</v>
      </c>
      <c r="K253" t="s">
        <v>29</v>
      </c>
      <c r="L253" t="s">
        <v>29</v>
      </c>
      <c r="M253" t="s">
        <v>29</v>
      </c>
      <c r="N253" t="s">
        <v>29</v>
      </c>
      <c r="O253" t="s">
        <v>29</v>
      </c>
      <c r="P253">
        <v>7233</v>
      </c>
      <c r="Q253" t="s">
        <v>1129</v>
      </c>
      <c r="R253" t="s">
        <v>29</v>
      </c>
      <c r="S253" t="s">
        <v>29</v>
      </c>
      <c r="T253">
        <v>3</v>
      </c>
      <c r="U253">
        <v>0.75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0</v>
      </c>
      <c r="AB253">
        <v>0</v>
      </c>
      <c r="AC253">
        <v>0</v>
      </c>
      <c r="AD253">
        <v>0</v>
      </c>
      <c r="AE253">
        <v>0</v>
      </c>
      <c r="AF253">
        <v>0</v>
      </c>
      <c r="AG253">
        <v>0</v>
      </c>
      <c r="AH253">
        <v>0</v>
      </c>
      <c r="AI253">
        <v>0</v>
      </c>
      <c r="AJ253">
        <v>0</v>
      </c>
      <c r="AK253">
        <v>0</v>
      </c>
      <c r="AL253">
        <v>0</v>
      </c>
      <c r="AM253">
        <v>0</v>
      </c>
      <c r="AN253">
        <v>0</v>
      </c>
      <c r="AO253">
        <v>0</v>
      </c>
      <c r="AP253">
        <v>0</v>
      </c>
      <c r="AQ253">
        <v>0</v>
      </c>
      <c r="AR253">
        <v>0</v>
      </c>
      <c r="AS253">
        <v>0</v>
      </c>
      <c r="AT253">
        <v>0</v>
      </c>
      <c r="AU253">
        <v>0</v>
      </c>
      <c r="AV253">
        <v>0</v>
      </c>
      <c r="AW253">
        <v>0</v>
      </c>
      <c r="AX253">
        <v>0</v>
      </c>
      <c r="AY253">
        <v>0</v>
      </c>
      <c r="AZ253">
        <v>0</v>
      </c>
      <c r="BA253">
        <v>0</v>
      </c>
      <c r="BB253">
        <v>0</v>
      </c>
      <c r="BC253">
        <v>0</v>
      </c>
      <c r="BD253">
        <v>0</v>
      </c>
      <c r="BE253">
        <v>0</v>
      </c>
      <c r="BF253">
        <v>0</v>
      </c>
      <c r="BG253">
        <v>0</v>
      </c>
      <c r="BH253">
        <v>0</v>
      </c>
      <c r="BI253">
        <v>0</v>
      </c>
      <c r="BJ253">
        <v>0</v>
      </c>
      <c r="BK253">
        <v>0</v>
      </c>
      <c r="BL253">
        <v>0</v>
      </c>
      <c r="BM253">
        <v>0</v>
      </c>
      <c r="BN253">
        <v>0</v>
      </c>
      <c r="BO253">
        <v>0</v>
      </c>
      <c r="BP253">
        <v>0</v>
      </c>
      <c r="BQ253">
        <v>2</v>
      </c>
      <c r="BR253">
        <v>0</v>
      </c>
      <c r="BS253">
        <v>1</v>
      </c>
    </row>
    <row r="254" spans="1:71" x14ac:dyDescent="0.3">
      <c r="A254" t="s">
        <v>1130</v>
      </c>
      <c r="B254" t="s">
        <v>1131</v>
      </c>
      <c r="C254" t="s">
        <v>29</v>
      </c>
      <c r="D254" t="s">
        <v>29</v>
      </c>
      <c r="E254" t="s">
        <v>29</v>
      </c>
      <c r="F254" t="s">
        <v>1132</v>
      </c>
      <c r="G254" t="s">
        <v>1133</v>
      </c>
      <c r="H254">
        <v>2021</v>
      </c>
      <c r="I254">
        <v>12</v>
      </c>
      <c r="J254">
        <v>4</v>
      </c>
      <c r="K254" t="s">
        <v>29</v>
      </c>
      <c r="L254" t="s">
        <v>29</v>
      </c>
      <c r="M254" t="s">
        <v>32</v>
      </c>
      <c r="N254">
        <v>33</v>
      </c>
      <c r="O254">
        <v>44</v>
      </c>
      <c r="P254" t="s">
        <v>29</v>
      </c>
      <c r="Q254" t="s">
        <v>1134</v>
      </c>
      <c r="R254" t="s">
        <v>29</v>
      </c>
      <c r="S254" t="s">
        <v>29</v>
      </c>
      <c r="T254">
        <v>3</v>
      </c>
      <c r="U254">
        <v>0.75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0</v>
      </c>
      <c r="AB254">
        <v>0</v>
      </c>
      <c r="AC254">
        <v>0</v>
      </c>
      <c r="AD254">
        <v>0</v>
      </c>
      <c r="AE254">
        <v>0</v>
      </c>
      <c r="AF254">
        <v>0</v>
      </c>
      <c r="AG254">
        <v>0</v>
      </c>
      <c r="AH254">
        <v>0</v>
      </c>
      <c r="AI254">
        <v>0</v>
      </c>
      <c r="AJ254">
        <v>0</v>
      </c>
      <c r="AK254">
        <v>0</v>
      </c>
      <c r="AL254">
        <v>0</v>
      </c>
      <c r="AM254">
        <v>0</v>
      </c>
      <c r="AN254">
        <v>0</v>
      </c>
      <c r="AO254">
        <v>0</v>
      </c>
      <c r="AP254">
        <v>0</v>
      </c>
      <c r="AQ254">
        <v>0</v>
      </c>
      <c r="AR254">
        <v>0</v>
      </c>
      <c r="AS254">
        <v>0</v>
      </c>
      <c r="AT254">
        <v>0</v>
      </c>
      <c r="AU254">
        <v>0</v>
      </c>
      <c r="AV254">
        <v>0</v>
      </c>
      <c r="AW254">
        <v>0</v>
      </c>
      <c r="AX254">
        <v>0</v>
      </c>
      <c r="AY254">
        <v>0</v>
      </c>
      <c r="AZ254">
        <v>0</v>
      </c>
      <c r="BA254">
        <v>0</v>
      </c>
      <c r="BB254">
        <v>0</v>
      </c>
      <c r="BC254">
        <v>0</v>
      </c>
      <c r="BD254">
        <v>0</v>
      </c>
      <c r="BE254">
        <v>0</v>
      </c>
      <c r="BF254">
        <v>0</v>
      </c>
      <c r="BG254">
        <v>0</v>
      </c>
      <c r="BH254">
        <v>0</v>
      </c>
      <c r="BI254">
        <v>0</v>
      </c>
      <c r="BJ254">
        <v>0</v>
      </c>
      <c r="BK254">
        <v>0</v>
      </c>
      <c r="BL254">
        <v>0</v>
      </c>
      <c r="BM254">
        <v>0</v>
      </c>
      <c r="BN254">
        <v>0</v>
      </c>
      <c r="BO254">
        <v>0</v>
      </c>
      <c r="BP254">
        <v>0</v>
      </c>
      <c r="BQ254">
        <v>2</v>
      </c>
      <c r="BR254">
        <v>1</v>
      </c>
      <c r="BS254">
        <v>0</v>
      </c>
    </row>
    <row r="255" spans="1:71" x14ac:dyDescent="0.3">
      <c r="A255" t="s">
        <v>1135</v>
      </c>
      <c r="B255" t="s">
        <v>1136</v>
      </c>
      <c r="C255" t="s">
        <v>29</v>
      </c>
      <c r="D255" t="s">
        <v>29</v>
      </c>
      <c r="E255" t="s">
        <v>29</v>
      </c>
      <c r="F255" t="s">
        <v>1137</v>
      </c>
      <c r="G255" t="s">
        <v>441</v>
      </c>
      <c r="H255">
        <v>2021</v>
      </c>
      <c r="I255">
        <v>191</v>
      </c>
      <c r="J255" t="s">
        <v>29</v>
      </c>
      <c r="K255" t="s">
        <v>29</v>
      </c>
      <c r="L255" t="s">
        <v>29</v>
      </c>
      <c r="M255" t="s">
        <v>29</v>
      </c>
      <c r="N255">
        <v>367</v>
      </c>
      <c r="O255">
        <v>386</v>
      </c>
      <c r="P255" t="s">
        <v>29</v>
      </c>
      <c r="Q255" t="s">
        <v>1138</v>
      </c>
      <c r="R255" t="s">
        <v>29</v>
      </c>
      <c r="S255" t="s">
        <v>29</v>
      </c>
      <c r="T255">
        <v>3</v>
      </c>
      <c r="U255">
        <v>0.75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  <c r="AB255">
        <v>0</v>
      </c>
      <c r="AC255">
        <v>0</v>
      </c>
      <c r="AD255">
        <v>0</v>
      </c>
      <c r="AE255">
        <v>0</v>
      </c>
      <c r="AF255">
        <v>0</v>
      </c>
      <c r="AG255">
        <v>0</v>
      </c>
      <c r="AH255">
        <v>0</v>
      </c>
      <c r="AI255">
        <v>0</v>
      </c>
      <c r="AJ255">
        <v>0</v>
      </c>
      <c r="AK255">
        <v>0</v>
      </c>
      <c r="AL255">
        <v>0</v>
      </c>
      <c r="AM255">
        <v>0</v>
      </c>
      <c r="AN255">
        <v>0</v>
      </c>
      <c r="AO255">
        <v>0</v>
      </c>
      <c r="AP255">
        <v>0</v>
      </c>
      <c r="AQ255">
        <v>0</v>
      </c>
      <c r="AR255">
        <v>0</v>
      </c>
      <c r="AS255">
        <v>0</v>
      </c>
      <c r="AT255">
        <v>0</v>
      </c>
      <c r="AU255">
        <v>0</v>
      </c>
      <c r="AV255">
        <v>0</v>
      </c>
      <c r="AW255">
        <v>0</v>
      </c>
      <c r="AX255">
        <v>0</v>
      </c>
      <c r="AY255">
        <v>0</v>
      </c>
      <c r="AZ255">
        <v>0</v>
      </c>
      <c r="BA255">
        <v>0</v>
      </c>
      <c r="BB255">
        <v>0</v>
      </c>
      <c r="BC255">
        <v>0</v>
      </c>
      <c r="BD255">
        <v>0</v>
      </c>
      <c r="BE255">
        <v>0</v>
      </c>
      <c r="BF255">
        <v>0</v>
      </c>
      <c r="BG255">
        <v>0</v>
      </c>
      <c r="BH255">
        <v>0</v>
      </c>
      <c r="BI255">
        <v>0</v>
      </c>
      <c r="BJ255">
        <v>0</v>
      </c>
      <c r="BK255">
        <v>0</v>
      </c>
      <c r="BL255">
        <v>0</v>
      </c>
      <c r="BM255">
        <v>0</v>
      </c>
      <c r="BN255">
        <v>0</v>
      </c>
      <c r="BO255">
        <v>0</v>
      </c>
      <c r="BP255">
        <v>0</v>
      </c>
      <c r="BQ255">
        <v>1</v>
      </c>
      <c r="BR255">
        <v>2</v>
      </c>
      <c r="BS255">
        <v>0</v>
      </c>
    </row>
    <row r="256" spans="1:71" x14ac:dyDescent="0.3">
      <c r="A256" t="s">
        <v>1139</v>
      </c>
      <c r="B256" t="s">
        <v>1140</v>
      </c>
      <c r="C256" t="s">
        <v>29</v>
      </c>
      <c r="D256" t="s">
        <v>29</v>
      </c>
      <c r="E256" t="s">
        <v>29</v>
      </c>
      <c r="F256" t="s">
        <v>486</v>
      </c>
      <c r="G256" t="s">
        <v>277</v>
      </c>
      <c r="H256">
        <v>2021</v>
      </c>
      <c r="I256">
        <v>13</v>
      </c>
      <c r="J256">
        <v>8</v>
      </c>
      <c r="K256" t="s">
        <v>29</v>
      </c>
      <c r="L256" t="s">
        <v>29</v>
      </c>
      <c r="M256" t="s">
        <v>29</v>
      </c>
      <c r="N256" t="s">
        <v>29</v>
      </c>
      <c r="O256" t="s">
        <v>29</v>
      </c>
      <c r="P256">
        <v>4532</v>
      </c>
      <c r="Q256" t="s">
        <v>1141</v>
      </c>
      <c r="R256" t="s">
        <v>29</v>
      </c>
      <c r="S256" t="s">
        <v>29</v>
      </c>
      <c r="T256">
        <v>3</v>
      </c>
      <c r="U256">
        <v>0.75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  <c r="AB256">
        <v>0</v>
      </c>
      <c r="AC256">
        <v>0</v>
      </c>
      <c r="AD256">
        <v>0</v>
      </c>
      <c r="AE256">
        <v>0</v>
      </c>
      <c r="AF256">
        <v>0</v>
      </c>
      <c r="AG256">
        <v>0</v>
      </c>
      <c r="AH256">
        <v>0</v>
      </c>
      <c r="AI256">
        <v>0</v>
      </c>
      <c r="AJ256">
        <v>0</v>
      </c>
      <c r="AK256">
        <v>0</v>
      </c>
      <c r="AL256">
        <v>0</v>
      </c>
      <c r="AM256">
        <v>0</v>
      </c>
      <c r="AN256">
        <v>0</v>
      </c>
      <c r="AO256">
        <v>0</v>
      </c>
      <c r="AP256">
        <v>0</v>
      </c>
      <c r="AQ256">
        <v>0</v>
      </c>
      <c r="AR256">
        <v>0</v>
      </c>
      <c r="AS256">
        <v>0</v>
      </c>
      <c r="AT256">
        <v>0</v>
      </c>
      <c r="AU256">
        <v>0</v>
      </c>
      <c r="AV256">
        <v>0</v>
      </c>
      <c r="AW256">
        <v>0</v>
      </c>
      <c r="AX256">
        <v>0</v>
      </c>
      <c r="AY256">
        <v>0</v>
      </c>
      <c r="AZ256">
        <v>0</v>
      </c>
      <c r="BA256">
        <v>0</v>
      </c>
      <c r="BB256">
        <v>0</v>
      </c>
      <c r="BC256">
        <v>0</v>
      </c>
      <c r="BD256">
        <v>0</v>
      </c>
      <c r="BE256">
        <v>0</v>
      </c>
      <c r="BF256">
        <v>0</v>
      </c>
      <c r="BG256">
        <v>0</v>
      </c>
      <c r="BH256">
        <v>0</v>
      </c>
      <c r="BI256">
        <v>0</v>
      </c>
      <c r="BJ256">
        <v>0</v>
      </c>
      <c r="BK256">
        <v>0</v>
      </c>
      <c r="BL256">
        <v>0</v>
      </c>
      <c r="BM256">
        <v>0</v>
      </c>
      <c r="BN256">
        <v>0</v>
      </c>
      <c r="BO256">
        <v>0</v>
      </c>
      <c r="BP256">
        <v>0</v>
      </c>
      <c r="BQ256">
        <v>2</v>
      </c>
      <c r="BR256">
        <v>0</v>
      </c>
      <c r="BS256">
        <v>1</v>
      </c>
    </row>
    <row r="257" spans="1:71" x14ac:dyDescent="0.3">
      <c r="A257" t="s">
        <v>1142</v>
      </c>
      <c r="B257" t="s">
        <v>1143</v>
      </c>
      <c r="C257" t="s">
        <v>29</v>
      </c>
      <c r="D257" t="s">
        <v>29</v>
      </c>
      <c r="E257" t="s">
        <v>29</v>
      </c>
      <c r="F257" t="s">
        <v>1144</v>
      </c>
      <c r="G257" t="s">
        <v>377</v>
      </c>
      <c r="H257">
        <v>2021</v>
      </c>
      <c r="I257">
        <v>7</v>
      </c>
      <c r="J257">
        <v>4</v>
      </c>
      <c r="K257" t="s">
        <v>29</v>
      </c>
      <c r="L257" t="s">
        <v>29</v>
      </c>
      <c r="M257" t="s">
        <v>29</v>
      </c>
      <c r="N257">
        <v>288</v>
      </c>
      <c r="O257">
        <v>302</v>
      </c>
      <c r="P257" t="s">
        <v>29</v>
      </c>
      <c r="Q257" t="s">
        <v>1145</v>
      </c>
      <c r="R257" t="s">
        <v>29</v>
      </c>
      <c r="S257" t="s">
        <v>29</v>
      </c>
      <c r="T257">
        <v>3</v>
      </c>
      <c r="U257">
        <v>0.75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  <c r="AB257">
        <v>0</v>
      </c>
      <c r="AC257">
        <v>0</v>
      </c>
      <c r="AD257">
        <v>0</v>
      </c>
      <c r="AE257">
        <v>0</v>
      </c>
      <c r="AF257">
        <v>0</v>
      </c>
      <c r="AG257">
        <v>0</v>
      </c>
      <c r="AH257">
        <v>0</v>
      </c>
      <c r="AI257">
        <v>0</v>
      </c>
      <c r="AJ257">
        <v>0</v>
      </c>
      <c r="AK257">
        <v>0</v>
      </c>
      <c r="AL257">
        <v>0</v>
      </c>
      <c r="AM257">
        <v>0</v>
      </c>
      <c r="AN257">
        <v>0</v>
      </c>
      <c r="AO257">
        <v>0</v>
      </c>
      <c r="AP257">
        <v>0</v>
      </c>
      <c r="AQ257">
        <v>0</v>
      </c>
      <c r="AR257">
        <v>0</v>
      </c>
      <c r="AS257">
        <v>0</v>
      </c>
      <c r="AT257">
        <v>0</v>
      </c>
      <c r="AU257">
        <v>0</v>
      </c>
      <c r="AV257">
        <v>0</v>
      </c>
      <c r="AW257">
        <v>0</v>
      </c>
      <c r="AX257">
        <v>0</v>
      </c>
      <c r="AY257">
        <v>0</v>
      </c>
      <c r="AZ257">
        <v>0</v>
      </c>
      <c r="BA257">
        <v>0</v>
      </c>
      <c r="BB257">
        <v>0</v>
      </c>
      <c r="BC257">
        <v>0</v>
      </c>
      <c r="BD257">
        <v>0</v>
      </c>
      <c r="BE257">
        <v>0</v>
      </c>
      <c r="BF257">
        <v>0</v>
      </c>
      <c r="BG257">
        <v>0</v>
      </c>
      <c r="BH257">
        <v>0</v>
      </c>
      <c r="BI257">
        <v>0</v>
      </c>
      <c r="BJ257">
        <v>0</v>
      </c>
      <c r="BK257">
        <v>0</v>
      </c>
      <c r="BL257">
        <v>0</v>
      </c>
      <c r="BM257">
        <v>0</v>
      </c>
      <c r="BN257">
        <v>0</v>
      </c>
      <c r="BO257">
        <v>0</v>
      </c>
      <c r="BP257">
        <v>1</v>
      </c>
      <c r="BQ257">
        <v>1</v>
      </c>
      <c r="BR257">
        <v>0</v>
      </c>
      <c r="BS257">
        <v>1</v>
      </c>
    </row>
    <row r="258" spans="1:71" x14ac:dyDescent="0.3">
      <c r="A258" t="s">
        <v>1146</v>
      </c>
      <c r="B258" t="s">
        <v>1147</v>
      </c>
      <c r="C258" t="s">
        <v>29</v>
      </c>
      <c r="D258" t="s">
        <v>29</v>
      </c>
      <c r="E258" t="s">
        <v>29</v>
      </c>
      <c r="F258" t="s">
        <v>1148</v>
      </c>
      <c r="G258">
        <v>2021</v>
      </c>
      <c r="H258">
        <v>2021</v>
      </c>
      <c r="I258">
        <v>3</v>
      </c>
      <c r="J258">
        <v>38</v>
      </c>
      <c r="K258" t="s">
        <v>29</v>
      </c>
      <c r="L258" t="s">
        <v>29</v>
      </c>
      <c r="M258" t="s">
        <v>29</v>
      </c>
      <c r="N258">
        <v>499</v>
      </c>
      <c r="O258">
        <v>508</v>
      </c>
      <c r="P258" t="s">
        <v>29</v>
      </c>
      <c r="Q258" t="s">
        <v>29</v>
      </c>
      <c r="R258" t="s">
        <v>29</v>
      </c>
      <c r="S258" t="s">
        <v>29</v>
      </c>
      <c r="T258">
        <v>3</v>
      </c>
      <c r="U258">
        <v>0.75</v>
      </c>
      <c r="V258">
        <v>0</v>
      </c>
      <c r="W258">
        <v>0</v>
      </c>
      <c r="X258">
        <v>0</v>
      </c>
      <c r="Y258">
        <v>0</v>
      </c>
      <c r="Z258">
        <v>0</v>
      </c>
      <c r="AA258">
        <v>0</v>
      </c>
      <c r="AB258">
        <v>0</v>
      </c>
      <c r="AC258">
        <v>0</v>
      </c>
      <c r="AD258">
        <v>0</v>
      </c>
      <c r="AE258">
        <v>0</v>
      </c>
      <c r="AF258">
        <v>0</v>
      </c>
      <c r="AG258">
        <v>0</v>
      </c>
      <c r="AH258">
        <v>0</v>
      </c>
      <c r="AI258">
        <v>0</v>
      </c>
      <c r="AJ258">
        <v>0</v>
      </c>
      <c r="AK258">
        <v>0</v>
      </c>
      <c r="AL258">
        <v>0</v>
      </c>
      <c r="AM258">
        <v>0</v>
      </c>
      <c r="AN258">
        <v>0</v>
      </c>
      <c r="AO258">
        <v>0</v>
      </c>
      <c r="AP258">
        <v>0</v>
      </c>
      <c r="AQ258">
        <v>0</v>
      </c>
      <c r="AR258">
        <v>0</v>
      </c>
      <c r="AS258">
        <v>0</v>
      </c>
      <c r="AT258">
        <v>0</v>
      </c>
      <c r="AU258">
        <v>0</v>
      </c>
      <c r="AV258">
        <v>0</v>
      </c>
      <c r="AW258">
        <v>0</v>
      </c>
      <c r="AX258">
        <v>0</v>
      </c>
      <c r="AY258">
        <v>0</v>
      </c>
      <c r="AZ258">
        <v>0</v>
      </c>
      <c r="BA258">
        <v>0</v>
      </c>
      <c r="BB258">
        <v>0</v>
      </c>
      <c r="BC258">
        <v>0</v>
      </c>
      <c r="BD258">
        <v>0</v>
      </c>
      <c r="BE258">
        <v>0</v>
      </c>
      <c r="BF258">
        <v>0</v>
      </c>
      <c r="BG258">
        <v>0</v>
      </c>
      <c r="BH258">
        <v>0</v>
      </c>
      <c r="BI258">
        <v>0</v>
      </c>
      <c r="BJ258">
        <v>0</v>
      </c>
      <c r="BK258">
        <v>0</v>
      </c>
      <c r="BL258">
        <v>0</v>
      </c>
      <c r="BM258">
        <v>0</v>
      </c>
      <c r="BN258">
        <v>0</v>
      </c>
      <c r="BO258">
        <v>0</v>
      </c>
      <c r="BP258">
        <v>1</v>
      </c>
      <c r="BQ258">
        <v>1</v>
      </c>
      <c r="BR258">
        <v>0</v>
      </c>
      <c r="BS258">
        <v>1</v>
      </c>
    </row>
    <row r="259" spans="1:71" x14ac:dyDescent="0.3">
      <c r="A259" t="s">
        <v>1149</v>
      </c>
      <c r="B259" t="s">
        <v>1150</v>
      </c>
      <c r="C259" t="s">
        <v>29</v>
      </c>
      <c r="D259" t="s">
        <v>29</v>
      </c>
      <c r="E259" t="s">
        <v>29</v>
      </c>
      <c r="F259" t="s">
        <v>1151</v>
      </c>
      <c r="G259">
        <v>2021</v>
      </c>
      <c r="H259">
        <v>2021</v>
      </c>
      <c r="I259" t="s">
        <v>29</v>
      </c>
      <c r="J259" t="s">
        <v>29</v>
      </c>
      <c r="K259" t="s">
        <v>29</v>
      </c>
      <c r="L259" t="s">
        <v>29</v>
      </c>
      <c r="M259" t="s">
        <v>29</v>
      </c>
      <c r="N259">
        <v>449</v>
      </c>
      <c r="O259">
        <v>465</v>
      </c>
      <c r="P259" t="s">
        <v>29</v>
      </c>
      <c r="Q259" t="s">
        <v>1152</v>
      </c>
      <c r="R259" t="s">
        <v>1153</v>
      </c>
      <c r="S259" t="s">
        <v>1154</v>
      </c>
      <c r="T259">
        <v>3</v>
      </c>
      <c r="U259">
        <v>0.75</v>
      </c>
      <c r="V259">
        <v>0</v>
      </c>
      <c r="W259">
        <v>0</v>
      </c>
      <c r="X259">
        <v>0</v>
      </c>
      <c r="Y259">
        <v>0</v>
      </c>
      <c r="Z259">
        <v>0</v>
      </c>
      <c r="AA259">
        <v>0</v>
      </c>
      <c r="AB259">
        <v>0</v>
      </c>
      <c r="AC259">
        <v>0</v>
      </c>
      <c r="AD259">
        <v>0</v>
      </c>
      <c r="AE259">
        <v>0</v>
      </c>
      <c r="AF259">
        <v>0</v>
      </c>
      <c r="AG259">
        <v>0</v>
      </c>
      <c r="AH259">
        <v>0</v>
      </c>
      <c r="AI259">
        <v>0</v>
      </c>
      <c r="AJ259">
        <v>0</v>
      </c>
      <c r="AK259">
        <v>0</v>
      </c>
      <c r="AL259">
        <v>0</v>
      </c>
      <c r="AM259">
        <v>0</v>
      </c>
      <c r="AN259">
        <v>0</v>
      </c>
      <c r="AO259">
        <v>0</v>
      </c>
      <c r="AP259">
        <v>0</v>
      </c>
      <c r="AQ259">
        <v>0</v>
      </c>
      <c r="AR259">
        <v>0</v>
      </c>
      <c r="AS259">
        <v>0</v>
      </c>
      <c r="AT259">
        <v>0</v>
      </c>
      <c r="AU259">
        <v>0</v>
      </c>
      <c r="AV259">
        <v>0</v>
      </c>
      <c r="AW259">
        <v>0</v>
      </c>
      <c r="AX259">
        <v>0</v>
      </c>
      <c r="AY259">
        <v>0</v>
      </c>
      <c r="AZ259">
        <v>0</v>
      </c>
      <c r="BA259">
        <v>0</v>
      </c>
      <c r="BB259">
        <v>0</v>
      </c>
      <c r="BC259">
        <v>0</v>
      </c>
      <c r="BD259">
        <v>0</v>
      </c>
      <c r="BE259">
        <v>0</v>
      </c>
      <c r="BF259">
        <v>0</v>
      </c>
      <c r="BG259">
        <v>0</v>
      </c>
      <c r="BH259">
        <v>0</v>
      </c>
      <c r="BI259">
        <v>0</v>
      </c>
      <c r="BJ259">
        <v>0</v>
      </c>
      <c r="BK259">
        <v>0</v>
      </c>
      <c r="BL259">
        <v>0</v>
      </c>
      <c r="BM259">
        <v>0</v>
      </c>
      <c r="BN259">
        <v>0</v>
      </c>
      <c r="BO259">
        <v>0</v>
      </c>
      <c r="BP259">
        <v>0</v>
      </c>
      <c r="BQ259">
        <v>1</v>
      </c>
      <c r="BR259">
        <v>0</v>
      </c>
      <c r="BS259">
        <v>2</v>
      </c>
    </row>
    <row r="260" spans="1:71" x14ac:dyDescent="0.3">
      <c r="A260" t="s">
        <v>1155</v>
      </c>
      <c r="B260" t="s">
        <v>1156</v>
      </c>
      <c r="C260" t="s">
        <v>29</v>
      </c>
      <c r="D260" t="s">
        <v>29</v>
      </c>
      <c r="E260" t="s">
        <v>29</v>
      </c>
      <c r="F260" t="s">
        <v>1157</v>
      </c>
      <c r="G260">
        <v>2021</v>
      </c>
      <c r="H260">
        <v>2021</v>
      </c>
      <c r="I260">
        <v>25</v>
      </c>
      <c r="J260">
        <v>7</v>
      </c>
      <c r="K260" t="s">
        <v>29</v>
      </c>
      <c r="L260" t="s">
        <v>29</v>
      </c>
      <c r="M260" t="s">
        <v>29</v>
      </c>
      <c r="N260">
        <v>147</v>
      </c>
      <c r="O260">
        <v>156</v>
      </c>
      <c r="P260" t="s">
        <v>29</v>
      </c>
      <c r="Q260" t="s">
        <v>1158</v>
      </c>
      <c r="R260" t="s">
        <v>29</v>
      </c>
      <c r="S260" t="s">
        <v>29</v>
      </c>
      <c r="T260">
        <v>3</v>
      </c>
      <c r="U260">
        <v>0.75</v>
      </c>
      <c r="V260">
        <v>0</v>
      </c>
      <c r="W260">
        <v>0</v>
      </c>
      <c r="X260">
        <v>0</v>
      </c>
      <c r="Y260">
        <v>0</v>
      </c>
      <c r="Z260">
        <v>0</v>
      </c>
      <c r="AA260">
        <v>0</v>
      </c>
      <c r="AB260">
        <v>0</v>
      </c>
      <c r="AC260">
        <v>0</v>
      </c>
      <c r="AD260">
        <v>0</v>
      </c>
      <c r="AE260">
        <v>0</v>
      </c>
      <c r="AF260">
        <v>0</v>
      </c>
      <c r="AG260">
        <v>0</v>
      </c>
      <c r="AH260">
        <v>0</v>
      </c>
      <c r="AI260">
        <v>0</v>
      </c>
      <c r="AJ260">
        <v>0</v>
      </c>
      <c r="AK260">
        <v>0</v>
      </c>
      <c r="AL260">
        <v>0</v>
      </c>
      <c r="AM260">
        <v>0</v>
      </c>
      <c r="AN260">
        <v>0</v>
      </c>
      <c r="AO260">
        <v>0</v>
      </c>
      <c r="AP260">
        <v>0</v>
      </c>
      <c r="AQ260">
        <v>0</v>
      </c>
      <c r="AR260">
        <v>0</v>
      </c>
      <c r="AS260">
        <v>0</v>
      </c>
      <c r="AT260">
        <v>0</v>
      </c>
      <c r="AU260">
        <v>0</v>
      </c>
      <c r="AV260">
        <v>0</v>
      </c>
      <c r="AW260">
        <v>0</v>
      </c>
      <c r="AX260">
        <v>0</v>
      </c>
      <c r="AY260">
        <v>0</v>
      </c>
      <c r="AZ260">
        <v>0</v>
      </c>
      <c r="BA260">
        <v>0</v>
      </c>
      <c r="BB260">
        <v>0</v>
      </c>
      <c r="BC260">
        <v>0</v>
      </c>
      <c r="BD260">
        <v>0</v>
      </c>
      <c r="BE260">
        <v>0</v>
      </c>
      <c r="BF260">
        <v>0</v>
      </c>
      <c r="BG260">
        <v>0</v>
      </c>
      <c r="BH260">
        <v>0</v>
      </c>
      <c r="BI260">
        <v>0</v>
      </c>
      <c r="BJ260">
        <v>0</v>
      </c>
      <c r="BK260">
        <v>0</v>
      </c>
      <c r="BL260">
        <v>0</v>
      </c>
      <c r="BM260">
        <v>0</v>
      </c>
      <c r="BN260">
        <v>0</v>
      </c>
      <c r="BO260">
        <v>0</v>
      </c>
      <c r="BP260">
        <v>1</v>
      </c>
      <c r="BQ260">
        <v>0</v>
      </c>
      <c r="BR260">
        <v>2</v>
      </c>
      <c r="BS260">
        <v>0</v>
      </c>
    </row>
    <row r="261" spans="1:71" x14ac:dyDescent="0.3">
      <c r="A261" t="s">
        <v>1159</v>
      </c>
      <c r="B261" t="s">
        <v>1160</v>
      </c>
      <c r="C261" t="s">
        <v>29</v>
      </c>
      <c r="D261" t="s">
        <v>29</v>
      </c>
      <c r="E261" t="s">
        <v>29</v>
      </c>
      <c r="F261" t="s">
        <v>1161</v>
      </c>
      <c r="G261">
        <v>2020</v>
      </c>
      <c r="H261">
        <v>2020</v>
      </c>
      <c r="I261" t="s">
        <v>29</v>
      </c>
      <c r="J261" t="s">
        <v>29</v>
      </c>
      <c r="K261" t="s">
        <v>29</v>
      </c>
      <c r="L261" t="s">
        <v>29</v>
      </c>
      <c r="M261" t="s">
        <v>29</v>
      </c>
      <c r="N261">
        <v>41</v>
      </c>
      <c r="O261">
        <v>62</v>
      </c>
      <c r="P261" t="s">
        <v>29</v>
      </c>
      <c r="Q261" t="s">
        <v>1162</v>
      </c>
      <c r="R261" t="s">
        <v>29</v>
      </c>
      <c r="S261" t="s">
        <v>29</v>
      </c>
      <c r="T261">
        <v>3</v>
      </c>
      <c r="U261">
        <v>0.6</v>
      </c>
      <c r="V261">
        <v>0</v>
      </c>
      <c r="W261">
        <v>0</v>
      </c>
      <c r="X261">
        <v>0</v>
      </c>
      <c r="Y261">
        <v>0</v>
      </c>
      <c r="Z261">
        <v>0</v>
      </c>
      <c r="AA261">
        <v>0</v>
      </c>
      <c r="AB261">
        <v>0</v>
      </c>
      <c r="AC261">
        <v>0</v>
      </c>
      <c r="AD261">
        <v>0</v>
      </c>
      <c r="AE261">
        <v>0</v>
      </c>
      <c r="AF261">
        <v>0</v>
      </c>
      <c r="AG261">
        <v>0</v>
      </c>
      <c r="AH261">
        <v>0</v>
      </c>
      <c r="AI261">
        <v>0</v>
      </c>
      <c r="AJ261">
        <v>0</v>
      </c>
      <c r="AK261">
        <v>0</v>
      </c>
      <c r="AL261">
        <v>0</v>
      </c>
      <c r="AM261">
        <v>0</v>
      </c>
      <c r="AN261">
        <v>0</v>
      </c>
      <c r="AO261">
        <v>0</v>
      </c>
      <c r="AP261">
        <v>0</v>
      </c>
      <c r="AQ261">
        <v>0</v>
      </c>
      <c r="AR261">
        <v>0</v>
      </c>
      <c r="AS261">
        <v>0</v>
      </c>
      <c r="AT261">
        <v>0</v>
      </c>
      <c r="AU261">
        <v>0</v>
      </c>
      <c r="AV261">
        <v>0</v>
      </c>
      <c r="AW261">
        <v>0</v>
      </c>
      <c r="AX261">
        <v>0</v>
      </c>
      <c r="AY261">
        <v>0</v>
      </c>
      <c r="AZ261">
        <v>0</v>
      </c>
      <c r="BA261">
        <v>0</v>
      </c>
      <c r="BB261">
        <v>0</v>
      </c>
      <c r="BC261">
        <v>0</v>
      </c>
      <c r="BD261">
        <v>0</v>
      </c>
      <c r="BE261">
        <v>0</v>
      </c>
      <c r="BF261">
        <v>0</v>
      </c>
      <c r="BG261">
        <v>0</v>
      </c>
      <c r="BH261">
        <v>0</v>
      </c>
      <c r="BI261">
        <v>0</v>
      </c>
      <c r="BJ261">
        <v>0</v>
      </c>
      <c r="BK261">
        <v>0</v>
      </c>
      <c r="BL261">
        <v>0</v>
      </c>
      <c r="BM261">
        <v>0</v>
      </c>
      <c r="BN261">
        <v>0</v>
      </c>
      <c r="BO261">
        <v>0</v>
      </c>
      <c r="BP261">
        <v>2</v>
      </c>
      <c r="BQ261">
        <v>0</v>
      </c>
      <c r="BR261">
        <v>1</v>
      </c>
      <c r="BS261">
        <v>0</v>
      </c>
    </row>
    <row r="262" spans="1:71" x14ac:dyDescent="0.3">
      <c r="A262" t="s">
        <v>1163</v>
      </c>
      <c r="B262" t="s">
        <v>1164</v>
      </c>
      <c r="C262" t="s">
        <v>29</v>
      </c>
      <c r="D262" t="s">
        <v>29</v>
      </c>
      <c r="E262" t="s">
        <v>1165</v>
      </c>
      <c r="F262" t="s">
        <v>1166</v>
      </c>
      <c r="G262">
        <v>2020</v>
      </c>
      <c r="H262">
        <v>2020</v>
      </c>
      <c r="I262" t="s">
        <v>29</v>
      </c>
      <c r="J262" t="s">
        <v>29</v>
      </c>
      <c r="K262" t="s">
        <v>29</v>
      </c>
      <c r="L262" t="s">
        <v>29</v>
      </c>
      <c r="M262" t="s">
        <v>29</v>
      </c>
      <c r="N262">
        <v>1156</v>
      </c>
      <c r="O262">
        <v>1165</v>
      </c>
      <c r="P262" t="s">
        <v>29</v>
      </c>
      <c r="Q262" t="s">
        <v>1167</v>
      </c>
      <c r="R262" t="s">
        <v>1168</v>
      </c>
      <c r="S262" t="s">
        <v>1169</v>
      </c>
      <c r="T262">
        <v>3</v>
      </c>
      <c r="U262">
        <v>0.6</v>
      </c>
      <c r="V262">
        <v>0</v>
      </c>
      <c r="W262">
        <v>0</v>
      </c>
      <c r="X262">
        <v>0</v>
      </c>
      <c r="Y262">
        <v>0</v>
      </c>
      <c r="Z262">
        <v>0</v>
      </c>
      <c r="AA262">
        <v>0</v>
      </c>
      <c r="AB262">
        <v>0</v>
      </c>
      <c r="AC262">
        <v>0</v>
      </c>
      <c r="AD262">
        <v>0</v>
      </c>
      <c r="AE262">
        <v>0</v>
      </c>
      <c r="AF262">
        <v>0</v>
      </c>
      <c r="AG262">
        <v>0</v>
      </c>
      <c r="AH262">
        <v>0</v>
      </c>
      <c r="AI262">
        <v>0</v>
      </c>
      <c r="AJ262">
        <v>0</v>
      </c>
      <c r="AK262">
        <v>0</v>
      </c>
      <c r="AL262">
        <v>0</v>
      </c>
      <c r="AM262">
        <v>0</v>
      </c>
      <c r="AN262">
        <v>0</v>
      </c>
      <c r="AO262">
        <v>0</v>
      </c>
      <c r="AP262">
        <v>0</v>
      </c>
      <c r="AQ262">
        <v>0</v>
      </c>
      <c r="AR262">
        <v>0</v>
      </c>
      <c r="AS262">
        <v>0</v>
      </c>
      <c r="AT262">
        <v>0</v>
      </c>
      <c r="AU262">
        <v>0</v>
      </c>
      <c r="AV262">
        <v>0</v>
      </c>
      <c r="AW262">
        <v>0</v>
      </c>
      <c r="AX262">
        <v>0</v>
      </c>
      <c r="AY262">
        <v>0</v>
      </c>
      <c r="AZ262">
        <v>0</v>
      </c>
      <c r="BA262">
        <v>0</v>
      </c>
      <c r="BB262">
        <v>0</v>
      </c>
      <c r="BC262">
        <v>0</v>
      </c>
      <c r="BD262">
        <v>0</v>
      </c>
      <c r="BE262">
        <v>0</v>
      </c>
      <c r="BF262">
        <v>0</v>
      </c>
      <c r="BG262">
        <v>0</v>
      </c>
      <c r="BH262">
        <v>0</v>
      </c>
      <c r="BI262">
        <v>0</v>
      </c>
      <c r="BJ262">
        <v>0</v>
      </c>
      <c r="BK262">
        <v>0</v>
      </c>
      <c r="BL262">
        <v>0</v>
      </c>
      <c r="BM262">
        <v>0</v>
      </c>
      <c r="BN262">
        <v>0</v>
      </c>
      <c r="BO262">
        <v>0</v>
      </c>
      <c r="BP262">
        <v>0</v>
      </c>
      <c r="BQ262">
        <v>1</v>
      </c>
      <c r="BR262">
        <v>0</v>
      </c>
      <c r="BS262">
        <v>2</v>
      </c>
    </row>
    <row r="263" spans="1:71" x14ac:dyDescent="0.3">
      <c r="A263" t="s">
        <v>1170</v>
      </c>
      <c r="B263" t="s">
        <v>1171</v>
      </c>
      <c r="C263" t="s">
        <v>29</v>
      </c>
      <c r="D263" t="s">
        <v>29</v>
      </c>
      <c r="E263" t="s">
        <v>1172</v>
      </c>
      <c r="F263" t="s">
        <v>1173</v>
      </c>
      <c r="G263">
        <v>2020</v>
      </c>
      <c r="H263">
        <v>2020</v>
      </c>
      <c r="I263" t="s">
        <v>29</v>
      </c>
      <c r="J263" t="s">
        <v>29</v>
      </c>
      <c r="K263" t="s">
        <v>29</v>
      </c>
      <c r="L263" t="s">
        <v>29</v>
      </c>
      <c r="M263" t="s">
        <v>29</v>
      </c>
      <c r="N263">
        <v>309</v>
      </c>
      <c r="O263">
        <v>316</v>
      </c>
      <c r="P263" t="s">
        <v>29</v>
      </c>
      <c r="Q263" t="s">
        <v>1174</v>
      </c>
      <c r="R263" t="s">
        <v>1175</v>
      </c>
      <c r="S263" t="s">
        <v>1176</v>
      </c>
      <c r="T263">
        <v>3</v>
      </c>
      <c r="U263">
        <v>0.6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0</v>
      </c>
      <c r="AB263">
        <v>0</v>
      </c>
      <c r="AC263">
        <v>0</v>
      </c>
      <c r="AD263">
        <v>0</v>
      </c>
      <c r="AE263">
        <v>0</v>
      </c>
      <c r="AF263">
        <v>0</v>
      </c>
      <c r="AG263">
        <v>0</v>
      </c>
      <c r="AH263">
        <v>0</v>
      </c>
      <c r="AI263">
        <v>0</v>
      </c>
      <c r="AJ263">
        <v>0</v>
      </c>
      <c r="AK263">
        <v>0</v>
      </c>
      <c r="AL263">
        <v>0</v>
      </c>
      <c r="AM263">
        <v>0</v>
      </c>
      <c r="AN263">
        <v>0</v>
      </c>
      <c r="AO263">
        <v>0</v>
      </c>
      <c r="AP263">
        <v>0</v>
      </c>
      <c r="AQ263">
        <v>0</v>
      </c>
      <c r="AR263">
        <v>0</v>
      </c>
      <c r="AS263">
        <v>0</v>
      </c>
      <c r="AT263">
        <v>0</v>
      </c>
      <c r="AU263">
        <v>0</v>
      </c>
      <c r="AV263">
        <v>0</v>
      </c>
      <c r="AW263">
        <v>0</v>
      </c>
      <c r="AX263">
        <v>0</v>
      </c>
      <c r="AY263">
        <v>0</v>
      </c>
      <c r="AZ263">
        <v>0</v>
      </c>
      <c r="BA263">
        <v>0</v>
      </c>
      <c r="BB263">
        <v>0</v>
      </c>
      <c r="BC263">
        <v>0</v>
      </c>
      <c r="BD263">
        <v>0</v>
      </c>
      <c r="BE263">
        <v>0</v>
      </c>
      <c r="BF263">
        <v>0</v>
      </c>
      <c r="BG263">
        <v>0</v>
      </c>
      <c r="BH263">
        <v>0</v>
      </c>
      <c r="BI263">
        <v>0</v>
      </c>
      <c r="BJ263">
        <v>0</v>
      </c>
      <c r="BK263">
        <v>0</v>
      </c>
      <c r="BL263">
        <v>0</v>
      </c>
      <c r="BM263">
        <v>0</v>
      </c>
      <c r="BN263">
        <v>0</v>
      </c>
      <c r="BO263">
        <v>0</v>
      </c>
      <c r="BP263">
        <v>0</v>
      </c>
      <c r="BQ263">
        <v>1</v>
      </c>
      <c r="BR263">
        <v>2</v>
      </c>
      <c r="BS263">
        <v>0</v>
      </c>
    </row>
    <row r="264" spans="1:71" x14ac:dyDescent="0.3">
      <c r="A264" t="s">
        <v>1177</v>
      </c>
      <c r="B264" t="s">
        <v>1178</v>
      </c>
      <c r="C264" t="s">
        <v>29</v>
      </c>
      <c r="D264" t="s">
        <v>29</v>
      </c>
      <c r="E264" t="s">
        <v>29</v>
      </c>
      <c r="F264" t="s">
        <v>495</v>
      </c>
      <c r="G264" t="s">
        <v>1179</v>
      </c>
      <c r="H264">
        <v>2020</v>
      </c>
      <c r="I264">
        <v>97</v>
      </c>
      <c r="J264">
        <v>1</v>
      </c>
      <c r="K264" t="s">
        <v>29</v>
      </c>
      <c r="L264" t="s">
        <v>29</v>
      </c>
      <c r="M264" t="s">
        <v>29</v>
      </c>
      <c r="N264">
        <v>72</v>
      </c>
      <c r="O264">
        <v>79</v>
      </c>
      <c r="P264" t="s">
        <v>29</v>
      </c>
      <c r="Q264" t="s">
        <v>1180</v>
      </c>
      <c r="R264" t="s">
        <v>29</v>
      </c>
      <c r="S264" t="s">
        <v>29</v>
      </c>
      <c r="T264">
        <v>3</v>
      </c>
      <c r="U264">
        <v>0.6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v>0</v>
      </c>
      <c r="AB264">
        <v>0</v>
      </c>
      <c r="AC264">
        <v>0</v>
      </c>
      <c r="AD264">
        <v>0</v>
      </c>
      <c r="AE264">
        <v>0</v>
      </c>
      <c r="AF264">
        <v>0</v>
      </c>
      <c r="AG264">
        <v>0</v>
      </c>
      <c r="AH264">
        <v>0</v>
      </c>
      <c r="AI264">
        <v>0</v>
      </c>
      <c r="AJ264">
        <v>0</v>
      </c>
      <c r="AK264">
        <v>0</v>
      </c>
      <c r="AL264">
        <v>0</v>
      </c>
      <c r="AM264">
        <v>0</v>
      </c>
      <c r="AN264">
        <v>0</v>
      </c>
      <c r="AO264">
        <v>0</v>
      </c>
      <c r="AP264">
        <v>0</v>
      </c>
      <c r="AQ264">
        <v>0</v>
      </c>
      <c r="AR264">
        <v>0</v>
      </c>
      <c r="AS264">
        <v>0</v>
      </c>
      <c r="AT264">
        <v>0</v>
      </c>
      <c r="AU264">
        <v>0</v>
      </c>
      <c r="AV264">
        <v>0</v>
      </c>
      <c r="AW264">
        <v>0</v>
      </c>
      <c r="AX264">
        <v>0</v>
      </c>
      <c r="AY264">
        <v>0</v>
      </c>
      <c r="AZ264">
        <v>0</v>
      </c>
      <c r="BA264">
        <v>0</v>
      </c>
      <c r="BB264">
        <v>0</v>
      </c>
      <c r="BC264">
        <v>0</v>
      </c>
      <c r="BD264">
        <v>0</v>
      </c>
      <c r="BE264">
        <v>0</v>
      </c>
      <c r="BF264">
        <v>0</v>
      </c>
      <c r="BG264">
        <v>0</v>
      </c>
      <c r="BH264">
        <v>0</v>
      </c>
      <c r="BI264">
        <v>0</v>
      </c>
      <c r="BJ264">
        <v>0</v>
      </c>
      <c r="BK264">
        <v>0</v>
      </c>
      <c r="BL264">
        <v>0</v>
      </c>
      <c r="BM264">
        <v>0</v>
      </c>
      <c r="BN264">
        <v>0</v>
      </c>
      <c r="BO264">
        <v>1</v>
      </c>
      <c r="BP264">
        <v>1</v>
      </c>
      <c r="BQ264">
        <v>1</v>
      </c>
      <c r="BR264">
        <v>0</v>
      </c>
      <c r="BS264">
        <v>0</v>
      </c>
    </row>
    <row r="265" spans="1:71" x14ac:dyDescent="0.3">
      <c r="A265" t="s">
        <v>1181</v>
      </c>
      <c r="B265" t="s">
        <v>1182</v>
      </c>
      <c r="C265" t="s">
        <v>29</v>
      </c>
      <c r="D265" t="s">
        <v>29</v>
      </c>
      <c r="E265" t="s">
        <v>29</v>
      </c>
      <c r="F265" t="s">
        <v>1183</v>
      </c>
      <c r="G265" t="s">
        <v>127</v>
      </c>
      <c r="H265">
        <v>2019</v>
      </c>
      <c r="I265">
        <v>16</v>
      </c>
      <c r="J265">
        <v>1</v>
      </c>
      <c r="K265" t="s">
        <v>29</v>
      </c>
      <c r="L265" t="s">
        <v>29</v>
      </c>
      <c r="M265" t="s">
        <v>29</v>
      </c>
      <c r="N265">
        <v>49</v>
      </c>
      <c r="O265">
        <v>79</v>
      </c>
      <c r="P265" t="s">
        <v>29</v>
      </c>
      <c r="Q265" t="s">
        <v>29</v>
      </c>
      <c r="R265" t="s">
        <v>29</v>
      </c>
      <c r="S265" t="s">
        <v>29</v>
      </c>
      <c r="T265">
        <v>3</v>
      </c>
      <c r="U265">
        <v>0.5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0</v>
      </c>
      <c r="AB265">
        <v>0</v>
      </c>
      <c r="AC265">
        <v>0</v>
      </c>
      <c r="AD265">
        <v>0</v>
      </c>
      <c r="AE265">
        <v>0</v>
      </c>
      <c r="AF265">
        <v>0</v>
      </c>
      <c r="AG265">
        <v>0</v>
      </c>
      <c r="AH265">
        <v>0</v>
      </c>
      <c r="AI265">
        <v>0</v>
      </c>
      <c r="AJ265">
        <v>0</v>
      </c>
      <c r="AK265">
        <v>0</v>
      </c>
      <c r="AL265">
        <v>0</v>
      </c>
      <c r="AM265">
        <v>0</v>
      </c>
      <c r="AN265">
        <v>0</v>
      </c>
      <c r="AO265">
        <v>0</v>
      </c>
      <c r="AP265">
        <v>0</v>
      </c>
      <c r="AQ265">
        <v>0</v>
      </c>
      <c r="AR265">
        <v>0</v>
      </c>
      <c r="AS265">
        <v>0</v>
      </c>
      <c r="AT265">
        <v>0</v>
      </c>
      <c r="AU265">
        <v>0</v>
      </c>
      <c r="AV265">
        <v>0</v>
      </c>
      <c r="AW265">
        <v>0</v>
      </c>
      <c r="AX265">
        <v>0</v>
      </c>
      <c r="AY265">
        <v>0</v>
      </c>
      <c r="AZ265">
        <v>0</v>
      </c>
      <c r="BA265">
        <v>0</v>
      </c>
      <c r="BB265">
        <v>0</v>
      </c>
      <c r="BC265">
        <v>0</v>
      </c>
      <c r="BD265">
        <v>0</v>
      </c>
      <c r="BE265">
        <v>0</v>
      </c>
      <c r="BF265">
        <v>0</v>
      </c>
      <c r="BG265">
        <v>0</v>
      </c>
      <c r="BH265">
        <v>0</v>
      </c>
      <c r="BI265">
        <v>0</v>
      </c>
      <c r="BJ265">
        <v>0</v>
      </c>
      <c r="BK265">
        <v>0</v>
      </c>
      <c r="BL265">
        <v>0</v>
      </c>
      <c r="BM265">
        <v>0</v>
      </c>
      <c r="BN265">
        <v>0</v>
      </c>
      <c r="BO265">
        <v>0</v>
      </c>
      <c r="BP265">
        <v>0</v>
      </c>
      <c r="BQ265">
        <v>1</v>
      </c>
      <c r="BR265">
        <v>2</v>
      </c>
      <c r="BS265">
        <v>0</v>
      </c>
    </row>
    <row r="266" spans="1:71" x14ac:dyDescent="0.3">
      <c r="A266" t="s">
        <v>1184</v>
      </c>
      <c r="B266" t="s">
        <v>1185</v>
      </c>
      <c r="C266" t="s">
        <v>29</v>
      </c>
      <c r="D266" t="s">
        <v>29</v>
      </c>
      <c r="E266" t="s">
        <v>29</v>
      </c>
      <c r="F266" t="s">
        <v>1186</v>
      </c>
      <c r="G266">
        <v>2019</v>
      </c>
      <c r="H266">
        <v>2019</v>
      </c>
      <c r="I266">
        <v>14</v>
      </c>
      <c r="J266">
        <v>2</v>
      </c>
      <c r="K266" t="s">
        <v>29</v>
      </c>
      <c r="L266" t="s">
        <v>29</v>
      </c>
      <c r="M266" t="s">
        <v>29</v>
      </c>
      <c r="N266">
        <v>29</v>
      </c>
      <c r="O266">
        <v>42</v>
      </c>
      <c r="P266" t="s">
        <v>29</v>
      </c>
      <c r="Q266" t="s">
        <v>29</v>
      </c>
      <c r="R266" t="s">
        <v>29</v>
      </c>
      <c r="S266" t="s">
        <v>29</v>
      </c>
      <c r="T266">
        <v>3</v>
      </c>
      <c r="U266">
        <v>0.5</v>
      </c>
      <c r="V266">
        <v>0</v>
      </c>
      <c r="W266">
        <v>0</v>
      </c>
      <c r="X266">
        <v>0</v>
      </c>
      <c r="Y266">
        <v>0</v>
      </c>
      <c r="Z266">
        <v>0</v>
      </c>
      <c r="AA266">
        <v>0</v>
      </c>
      <c r="AB266">
        <v>0</v>
      </c>
      <c r="AC266">
        <v>0</v>
      </c>
      <c r="AD266">
        <v>0</v>
      </c>
      <c r="AE266">
        <v>0</v>
      </c>
      <c r="AF266">
        <v>0</v>
      </c>
      <c r="AG266">
        <v>0</v>
      </c>
      <c r="AH266">
        <v>0</v>
      </c>
      <c r="AI266">
        <v>0</v>
      </c>
      <c r="AJ266">
        <v>0</v>
      </c>
      <c r="AK266">
        <v>0</v>
      </c>
      <c r="AL266">
        <v>0</v>
      </c>
      <c r="AM266">
        <v>0</v>
      </c>
      <c r="AN266">
        <v>0</v>
      </c>
      <c r="AO266">
        <v>0</v>
      </c>
      <c r="AP266">
        <v>0</v>
      </c>
      <c r="AQ266">
        <v>0</v>
      </c>
      <c r="AR266">
        <v>0</v>
      </c>
      <c r="AS266">
        <v>0</v>
      </c>
      <c r="AT266">
        <v>0</v>
      </c>
      <c r="AU266">
        <v>0</v>
      </c>
      <c r="AV266">
        <v>0</v>
      </c>
      <c r="AW266">
        <v>0</v>
      </c>
      <c r="AX266">
        <v>0</v>
      </c>
      <c r="AY266">
        <v>0</v>
      </c>
      <c r="AZ266">
        <v>0</v>
      </c>
      <c r="BA266">
        <v>0</v>
      </c>
      <c r="BB266">
        <v>0</v>
      </c>
      <c r="BC266">
        <v>0</v>
      </c>
      <c r="BD266">
        <v>0</v>
      </c>
      <c r="BE266">
        <v>0</v>
      </c>
      <c r="BF266">
        <v>0</v>
      </c>
      <c r="BG266">
        <v>0</v>
      </c>
      <c r="BH266">
        <v>0</v>
      </c>
      <c r="BI266">
        <v>0</v>
      </c>
      <c r="BJ266">
        <v>0</v>
      </c>
      <c r="BK266">
        <v>0</v>
      </c>
      <c r="BL266">
        <v>0</v>
      </c>
      <c r="BM266">
        <v>0</v>
      </c>
      <c r="BN266">
        <v>0</v>
      </c>
      <c r="BO266">
        <v>0</v>
      </c>
      <c r="BP266">
        <v>0</v>
      </c>
      <c r="BQ266">
        <v>0</v>
      </c>
      <c r="BR266">
        <v>1</v>
      </c>
      <c r="BS266">
        <v>2</v>
      </c>
    </row>
    <row r="267" spans="1:71" x14ac:dyDescent="0.3">
      <c r="A267" t="s">
        <v>1187</v>
      </c>
      <c r="B267" t="s">
        <v>1188</v>
      </c>
      <c r="C267" t="s">
        <v>29</v>
      </c>
      <c r="D267" t="s">
        <v>29</v>
      </c>
      <c r="E267" t="s">
        <v>29</v>
      </c>
      <c r="F267" t="s">
        <v>1189</v>
      </c>
      <c r="G267" t="s">
        <v>763</v>
      </c>
      <c r="H267">
        <v>2018</v>
      </c>
      <c r="I267">
        <v>25</v>
      </c>
      <c r="J267" t="s">
        <v>1190</v>
      </c>
      <c r="K267" t="s">
        <v>29</v>
      </c>
      <c r="L267" t="s">
        <v>29</v>
      </c>
      <c r="M267" t="s">
        <v>32</v>
      </c>
      <c r="N267">
        <v>190</v>
      </c>
      <c r="O267">
        <v>207</v>
      </c>
      <c r="P267" t="s">
        <v>29</v>
      </c>
      <c r="Q267" t="s">
        <v>1191</v>
      </c>
      <c r="R267" t="s">
        <v>29</v>
      </c>
      <c r="S267" t="s">
        <v>29</v>
      </c>
      <c r="T267">
        <v>3</v>
      </c>
      <c r="U267">
        <v>0.43</v>
      </c>
      <c r="V267">
        <v>0</v>
      </c>
      <c r="W267">
        <v>0</v>
      </c>
      <c r="X267">
        <v>0</v>
      </c>
      <c r="Y267">
        <v>0</v>
      </c>
      <c r="Z267">
        <v>0</v>
      </c>
      <c r="AA267">
        <v>0</v>
      </c>
      <c r="AB267">
        <v>0</v>
      </c>
      <c r="AC267">
        <v>0</v>
      </c>
      <c r="AD267">
        <v>0</v>
      </c>
      <c r="AE267">
        <v>0</v>
      </c>
      <c r="AF267">
        <v>0</v>
      </c>
      <c r="AG267">
        <v>0</v>
      </c>
      <c r="AH267">
        <v>0</v>
      </c>
      <c r="AI267">
        <v>0</v>
      </c>
      <c r="AJ267">
        <v>0</v>
      </c>
      <c r="AK267">
        <v>0</v>
      </c>
      <c r="AL267">
        <v>0</v>
      </c>
      <c r="AM267">
        <v>0</v>
      </c>
      <c r="AN267">
        <v>0</v>
      </c>
      <c r="AO267">
        <v>0</v>
      </c>
      <c r="AP267">
        <v>0</v>
      </c>
      <c r="AQ267">
        <v>0</v>
      </c>
      <c r="AR267">
        <v>0</v>
      </c>
      <c r="AS267">
        <v>0</v>
      </c>
      <c r="AT267">
        <v>0</v>
      </c>
      <c r="AU267">
        <v>0</v>
      </c>
      <c r="AV267">
        <v>0</v>
      </c>
      <c r="AW267">
        <v>0</v>
      </c>
      <c r="AX267">
        <v>0</v>
      </c>
      <c r="AY267">
        <v>0</v>
      </c>
      <c r="AZ267">
        <v>0</v>
      </c>
      <c r="BA267">
        <v>0</v>
      </c>
      <c r="BB267">
        <v>0</v>
      </c>
      <c r="BC267">
        <v>0</v>
      </c>
      <c r="BD267">
        <v>0</v>
      </c>
      <c r="BE267">
        <v>0</v>
      </c>
      <c r="BF267">
        <v>0</v>
      </c>
      <c r="BG267">
        <v>0</v>
      </c>
      <c r="BH267">
        <v>0</v>
      </c>
      <c r="BI267">
        <v>0</v>
      </c>
      <c r="BJ267">
        <v>0</v>
      </c>
      <c r="BK267">
        <v>0</v>
      </c>
      <c r="BL267">
        <v>0</v>
      </c>
      <c r="BM267">
        <v>0</v>
      </c>
      <c r="BN267">
        <v>0</v>
      </c>
      <c r="BO267">
        <v>0</v>
      </c>
      <c r="BP267">
        <v>0</v>
      </c>
      <c r="BQ267">
        <v>1</v>
      </c>
      <c r="BR267">
        <v>2</v>
      </c>
      <c r="BS267">
        <v>0</v>
      </c>
    </row>
    <row r="268" spans="1:71" x14ac:dyDescent="0.3">
      <c r="A268" t="s">
        <v>1192</v>
      </c>
      <c r="B268" t="s">
        <v>449</v>
      </c>
      <c r="C268" t="s">
        <v>29</v>
      </c>
      <c r="D268" t="s">
        <v>29</v>
      </c>
      <c r="E268" t="s">
        <v>29</v>
      </c>
      <c r="F268" t="s">
        <v>450</v>
      </c>
      <c r="G268" t="s">
        <v>148</v>
      </c>
      <c r="H268">
        <v>2018</v>
      </c>
      <c r="I268">
        <v>33</v>
      </c>
      <c r="J268">
        <v>2</v>
      </c>
      <c r="K268" t="s">
        <v>29</v>
      </c>
      <c r="L268" t="s">
        <v>29</v>
      </c>
      <c r="M268" t="s">
        <v>29</v>
      </c>
      <c r="N268">
        <v>547</v>
      </c>
      <c r="O268">
        <v>552</v>
      </c>
      <c r="P268" t="s">
        <v>29</v>
      </c>
      <c r="Q268" t="s">
        <v>1193</v>
      </c>
      <c r="R268" t="s">
        <v>29</v>
      </c>
      <c r="S268" t="s">
        <v>29</v>
      </c>
      <c r="T268">
        <v>3</v>
      </c>
      <c r="U268">
        <v>0.43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0</v>
      </c>
      <c r="AB268">
        <v>0</v>
      </c>
      <c r="AC268">
        <v>0</v>
      </c>
      <c r="AD268">
        <v>0</v>
      </c>
      <c r="AE268">
        <v>0</v>
      </c>
      <c r="AF268">
        <v>0</v>
      </c>
      <c r="AG268">
        <v>0</v>
      </c>
      <c r="AH268">
        <v>0</v>
      </c>
      <c r="AI268">
        <v>0</v>
      </c>
      <c r="AJ268">
        <v>0</v>
      </c>
      <c r="AK268">
        <v>0</v>
      </c>
      <c r="AL268">
        <v>0</v>
      </c>
      <c r="AM268">
        <v>0</v>
      </c>
      <c r="AN268">
        <v>0</v>
      </c>
      <c r="AO268">
        <v>0</v>
      </c>
      <c r="AP268">
        <v>0</v>
      </c>
      <c r="AQ268">
        <v>0</v>
      </c>
      <c r="AR268">
        <v>0</v>
      </c>
      <c r="AS268">
        <v>0</v>
      </c>
      <c r="AT268">
        <v>0</v>
      </c>
      <c r="AU268">
        <v>0</v>
      </c>
      <c r="AV268">
        <v>0</v>
      </c>
      <c r="AW268">
        <v>0</v>
      </c>
      <c r="AX268">
        <v>0</v>
      </c>
      <c r="AY268">
        <v>0</v>
      </c>
      <c r="AZ268">
        <v>0</v>
      </c>
      <c r="BA268">
        <v>0</v>
      </c>
      <c r="BB268">
        <v>0</v>
      </c>
      <c r="BC268">
        <v>0</v>
      </c>
      <c r="BD268">
        <v>0</v>
      </c>
      <c r="BE268">
        <v>0</v>
      </c>
      <c r="BF268">
        <v>0</v>
      </c>
      <c r="BG268">
        <v>0</v>
      </c>
      <c r="BH268">
        <v>0</v>
      </c>
      <c r="BI268">
        <v>0</v>
      </c>
      <c r="BJ268">
        <v>0</v>
      </c>
      <c r="BK268">
        <v>0</v>
      </c>
      <c r="BL268">
        <v>0</v>
      </c>
      <c r="BM268">
        <v>0</v>
      </c>
      <c r="BN268">
        <v>1</v>
      </c>
      <c r="BO268">
        <v>1</v>
      </c>
      <c r="BP268">
        <v>1</v>
      </c>
      <c r="BQ268">
        <v>0</v>
      </c>
      <c r="BR268">
        <v>0</v>
      </c>
      <c r="BS268">
        <v>0</v>
      </c>
    </row>
    <row r="269" spans="1:71" x14ac:dyDescent="0.3">
      <c r="A269" t="s">
        <v>1194</v>
      </c>
      <c r="B269" t="s">
        <v>1195</v>
      </c>
      <c r="C269" t="s">
        <v>29</v>
      </c>
      <c r="D269" t="s">
        <v>29</v>
      </c>
      <c r="E269" t="s">
        <v>29</v>
      </c>
      <c r="F269" t="s">
        <v>1196</v>
      </c>
      <c r="G269">
        <v>2018</v>
      </c>
      <c r="H269">
        <v>2018</v>
      </c>
      <c r="I269">
        <v>18</v>
      </c>
      <c r="J269">
        <v>3</v>
      </c>
      <c r="K269" t="s">
        <v>29</v>
      </c>
      <c r="L269" t="s">
        <v>29</v>
      </c>
      <c r="M269" t="s">
        <v>29</v>
      </c>
      <c r="N269">
        <v>179</v>
      </c>
      <c r="O269">
        <v>201</v>
      </c>
      <c r="P269" t="s">
        <v>29</v>
      </c>
      <c r="Q269" t="s">
        <v>1197</v>
      </c>
      <c r="R269" t="s">
        <v>29</v>
      </c>
      <c r="S269" t="s">
        <v>29</v>
      </c>
      <c r="T269">
        <v>3</v>
      </c>
      <c r="U269">
        <v>0.43</v>
      </c>
      <c r="V269">
        <v>0</v>
      </c>
      <c r="W269">
        <v>0</v>
      </c>
      <c r="X269">
        <v>0</v>
      </c>
      <c r="Y269">
        <v>0</v>
      </c>
      <c r="Z269">
        <v>0</v>
      </c>
      <c r="AA269">
        <v>0</v>
      </c>
      <c r="AB269">
        <v>0</v>
      </c>
      <c r="AC269">
        <v>0</v>
      </c>
      <c r="AD269">
        <v>0</v>
      </c>
      <c r="AE269">
        <v>0</v>
      </c>
      <c r="AF269">
        <v>0</v>
      </c>
      <c r="AG269">
        <v>0</v>
      </c>
      <c r="AH269">
        <v>0</v>
      </c>
      <c r="AI269">
        <v>0</v>
      </c>
      <c r="AJ269">
        <v>0</v>
      </c>
      <c r="AK269">
        <v>0</v>
      </c>
      <c r="AL269">
        <v>0</v>
      </c>
      <c r="AM269">
        <v>0</v>
      </c>
      <c r="AN269">
        <v>0</v>
      </c>
      <c r="AO269">
        <v>0</v>
      </c>
      <c r="AP269">
        <v>0</v>
      </c>
      <c r="AQ269">
        <v>0</v>
      </c>
      <c r="AR269">
        <v>0</v>
      </c>
      <c r="AS269">
        <v>0</v>
      </c>
      <c r="AT269">
        <v>0</v>
      </c>
      <c r="AU269">
        <v>0</v>
      </c>
      <c r="AV269">
        <v>0</v>
      </c>
      <c r="AW269">
        <v>0</v>
      </c>
      <c r="AX269">
        <v>0</v>
      </c>
      <c r="AY269">
        <v>0</v>
      </c>
      <c r="AZ269">
        <v>0</v>
      </c>
      <c r="BA269">
        <v>0</v>
      </c>
      <c r="BB269">
        <v>0</v>
      </c>
      <c r="BC269">
        <v>0</v>
      </c>
      <c r="BD269">
        <v>0</v>
      </c>
      <c r="BE269">
        <v>0</v>
      </c>
      <c r="BF269">
        <v>0</v>
      </c>
      <c r="BG269">
        <v>0</v>
      </c>
      <c r="BH269">
        <v>0</v>
      </c>
      <c r="BI269">
        <v>0</v>
      </c>
      <c r="BJ269">
        <v>0</v>
      </c>
      <c r="BK269">
        <v>0</v>
      </c>
      <c r="BL269">
        <v>0</v>
      </c>
      <c r="BM269">
        <v>0</v>
      </c>
      <c r="BN269">
        <v>0</v>
      </c>
      <c r="BO269">
        <v>0</v>
      </c>
      <c r="BP269">
        <v>1</v>
      </c>
      <c r="BQ269">
        <v>1</v>
      </c>
      <c r="BR269">
        <v>0</v>
      </c>
      <c r="BS269">
        <v>1</v>
      </c>
    </row>
    <row r="270" spans="1:71" x14ac:dyDescent="0.3">
      <c r="A270" t="s">
        <v>1198</v>
      </c>
      <c r="B270" t="s">
        <v>1199</v>
      </c>
      <c r="C270" t="s">
        <v>29</v>
      </c>
      <c r="D270" t="s">
        <v>29</v>
      </c>
      <c r="E270" t="s">
        <v>1200</v>
      </c>
      <c r="F270" t="s">
        <v>1201</v>
      </c>
      <c r="G270">
        <v>2018</v>
      </c>
      <c r="H270">
        <v>2018</v>
      </c>
      <c r="I270" t="s">
        <v>29</v>
      </c>
      <c r="J270" t="s">
        <v>29</v>
      </c>
      <c r="K270" t="s">
        <v>29</v>
      </c>
      <c r="L270" t="s">
        <v>29</v>
      </c>
      <c r="M270" t="s">
        <v>29</v>
      </c>
      <c r="N270">
        <v>463</v>
      </c>
      <c r="O270">
        <v>471</v>
      </c>
      <c r="P270" t="s">
        <v>29</v>
      </c>
      <c r="Q270" t="s">
        <v>29</v>
      </c>
      <c r="R270" t="s">
        <v>1202</v>
      </c>
      <c r="S270" t="s">
        <v>1203</v>
      </c>
      <c r="T270">
        <v>3</v>
      </c>
      <c r="U270">
        <v>0.43</v>
      </c>
      <c r="V270">
        <v>0</v>
      </c>
      <c r="W270">
        <v>0</v>
      </c>
      <c r="X270">
        <v>0</v>
      </c>
      <c r="Y270">
        <v>0</v>
      </c>
      <c r="Z270">
        <v>0</v>
      </c>
      <c r="AA270">
        <v>0</v>
      </c>
      <c r="AB270">
        <v>0</v>
      </c>
      <c r="AC270">
        <v>0</v>
      </c>
      <c r="AD270">
        <v>0</v>
      </c>
      <c r="AE270">
        <v>0</v>
      </c>
      <c r="AF270">
        <v>0</v>
      </c>
      <c r="AG270">
        <v>0</v>
      </c>
      <c r="AH270">
        <v>0</v>
      </c>
      <c r="AI270">
        <v>0</v>
      </c>
      <c r="AJ270">
        <v>0</v>
      </c>
      <c r="AK270">
        <v>0</v>
      </c>
      <c r="AL270">
        <v>0</v>
      </c>
      <c r="AM270">
        <v>0</v>
      </c>
      <c r="AN270">
        <v>0</v>
      </c>
      <c r="AO270">
        <v>0</v>
      </c>
      <c r="AP270">
        <v>0</v>
      </c>
      <c r="AQ270">
        <v>0</v>
      </c>
      <c r="AR270">
        <v>0</v>
      </c>
      <c r="AS270">
        <v>0</v>
      </c>
      <c r="AT270">
        <v>0</v>
      </c>
      <c r="AU270">
        <v>0</v>
      </c>
      <c r="AV270">
        <v>0</v>
      </c>
      <c r="AW270">
        <v>0</v>
      </c>
      <c r="AX270">
        <v>0</v>
      </c>
      <c r="AY270">
        <v>0</v>
      </c>
      <c r="AZ270">
        <v>0</v>
      </c>
      <c r="BA270">
        <v>0</v>
      </c>
      <c r="BB270">
        <v>0</v>
      </c>
      <c r="BC270">
        <v>0</v>
      </c>
      <c r="BD270">
        <v>0</v>
      </c>
      <c r="BE270">
        <v>0</v>
      </c>
      <c r="BF270">
        <v>0</v>
      </c>
      <c r="BG270">
        <v>0</v>
      </c>
      <c r="BH270">
        <v>0</v>
      </c>
      <c r="BI270">
        <v>0</v>
      </c>
      <c r="BJ270">
        <v>0</v>
      </c>
      <c r="BK270">
        <v>0</v>
      </c>
      <c r="BL270">
        <v>0</v>
      </c>
      <c r="BM270">
        <v>0</v>
      </c>
      <c r="BN270">
        <v>0</v>
      </c>
      <c r="BO270">
        <v>2</v>
      </c>
      <c r="BP270">
        <v>1</v>
      </c>
      <c r="BQ270">
        <v>0</v>
      </c>
      <c r="BR270">
        <v>0</v>
      </c>
      <c r="BS270">
        <v>0</v>
      </c>
    </row>
    <row r="271" spans="1:71" x14ac:dyDescent="0.3">
      <c r="A271" t="s">
        <v>1204</v>
      </c>
      <c r="B271" t="s">
        <v>1205</v>
      </c>
      <c r="C271" t="s">
        <v>29</v>
      </c>
      <c r="D271" t="s">
        <v>29</v>
      </c>
      <c r="E271" t="s">
        <v>29</v>
      </c>
      <c r="F271" t="s">
        <v>1206</v>
      </c>
      <c r="G271" t="s">
        <v>1207</v>
      </c>
      <c r="H271">
        <v>2017</v>
      </c>
      <c r="I271">
        <v>11</v>
      </c>
      <c r="J271">
        <v>1</v>
      </c>
      <c r="K271" t="s">
        <v>29</v>
      </c>
      <c r="L271" t="s">
        <v>29</v>
      </c>
      <c r="M271" t="s">
        <v>29</v>
      </c>
      <c r="N271">
        <v>513</v>
      </c>
      <c r="O271">
        <v>522</v>
      </c>
      <c r="P271" t="s">
        <v>29</v>
      </c>
      <c r="Q271" t="s">
        <v>1208</v>
      </c>
      <c r="R271" t="s">
        <v>1209</v>
      </c>
      <c r="S271" t="s">
        <v>1210</v>
      </c>
      <c r="T271">
        <v>3</v>
      </c>
      <c r="U271">
        <v>0.38</v>
      </c>
      <c r="V271">
        <v>0</v>
      </c>
      <c r="W271">
        <v>0</v>
      </c>
      <c r="X271">
        <v>0</v>
      </c>
      <c r="Y271">
        <v>0</v>
      </c>
      <c r="Z271">
        <v>0</v>
      </c>
      <c r="AA271">
        <v>0</v>
      </c>
      <c r="AB271">
        <v>0</v>
      </c>
      <c r="AC271">
        <v>0</v>
      </c>
      <c r="AD271">
        <v>0</v>
      </c>
      <c r="AE271">
        <v>0</v>
      </c>
      <c r="AF271">
        <v>0</v>
      </c>
      <c r="AG271">
        <v>0</v>
      </c>
      <c r="AH271">
        <v>0</v>
      </c>
      <c r="AI271">
        <v>0</v>
      </c>
      <c r="AJ271">
        <v>0</v>
      </c>
      <c r="AK271">
        <v>0</v>
      </c>
      <c r="AL271">
        <v>0</v>
      </c>
      <c r="AM271">
        <v>0</v>
      </c>
      <c r="AN271">
        <v>0</v>
      </c>
      <c r="AO271">
        <v>0</v>
      </c>
      <c r="AP271">
        <v>0</v>
      </c>
      <c r="AQ271">
        <v>0</v>
      </c>
      <c r="AR271">
        <v>0</v>
      </c>
      <c r="AS271">
        <v>0</v>
      </c>
      <c r="AT271">
        <v>0</v>
      </c>
      <c r="AU271">
        <v>0</v>
      </c>
      <c r="AV271">
        <v>0</v>
      </c>
      <c r="AW271">
        <v>0</v>
      </c>
      <c r="AX271">
        <v>0</v>
      </c>
      <c r="AY271">
        <v>0</v>
      </c>
      <c r="AZ271">
        <v>0</v>
      </c>
      <c r="BA271">
        <v>0</v>
      </c>
      <c r="BB271">
        <v>0</v>
      </c>
      <c r="BC271">
        <v>0</v>
      </c>
      <c r="BD271">
        <v>0</v>
      </c>
      <c r="BE271">
        <v>0</v>
      </c>
      <c r="BF271">
        <v>0</v>
      </c>
      <c r="BG271">
        <v>0</v>
      </c>
      <c r="BH271">
        <v>0</v>
      </c>
      <c r="BI271">
        <v>0</v>
      </c>
      <c r="BJ271">
        <v>0</v>
      </c>
      <c r="BK271">
        <v>0</v>
      </c>
      <c r="BL271">
        <v>0</v>
      </c>
      <c r="BM271">
        <v>0</v>
      </c>
      <c r="BN271">
        <v>1</v>
      </c>
      <c r="BO271">
        <v>0</v>
      </c>
      <c r="BP271">
        <v>1</v>
      </c>
      <c r="BQ271">
        <v>0</v>
      </c>
      <c r="BR271">
        <v>1</v>
      </c>
      <c r="BS271">
        <v>0</v>
      </c>
    </row>
    <row r="272" spans="1:71" x14ac:dyDescent="0.3">
      <c r="A272" t="s">
        <v>1211</v>
      </c>
      <c r="B272" t="s">
        <v>1212</v>
      </c>
      <c r="C272" t="s">
        <v>29</v>
      </c>
      <c r="D272" t="s">
        <v>29</v>
      </c>
      <c r="E272" t="s">
        <v>29</v>
      </c>
      <c r="F272" t="s">
        <v>982</v>
      </c>
      <c r="G272" t="s">
        <v>651</v>
      </c>
      <c r="H272">
        <v>2017</v>
      </c>
      <c r="I272">
        <v>25</v>
      </c>
      <c r="J272" t="s">
        <v>29</v>
      </c>
      <c r="K272" t="s">
        <v>29</v>
      </c>
      <c r="L272" t="s">
        <v>29</v>
      </c>
      <c r="M272" t="s">
        <v>32</v>
      </c>
      <c r="N272">
        <v>1</v>
      </c>
      <c r="O272">
        <v>7</v>
      </c>
      <c r="P272" t="s">
        <v>29</v>
      </c>
      <c r="Q272" t="s">
        <v>29</v>
      </c>
      <c r="R272" t="s">
        <v>29</v>
      </c>
      <c r="S272" t="s">
        <v>29</v>
      </c>
      <c r="T272">
        <v>3</v>
      </c>
      <c r="U272">
        <v>0.38</v>
      </c>
      <c r="V272">
        <v>0</v>
      </c>
      <c r="W272">
        <v>0</v>
      </c>
      <c r="X272">
        <v>0</v>
      </c>
      <c r="Y272">
        <v>0</v>
      </c>
      <c r="Z272">
        <v>0</v>
      </c>
      <c r="AA272">
        <v>0</v>
      </c>
      <c r="AB272">
        <v>0</v>
      </c>
      <c r="AC272">
        <v>0</v>
      </c>
      <c r="AD272">
        <v>0</v>
      </c>
      <c r="AE272">
        <v>0</v>
      </c>
      <c r="AF272">
        <v>0</v>
      </c>
      <c r="AG272">
        <v>0</v>
      </c>
      <c r="AH272">
        <v>0</v>
      </c>
      <c r="AI272">
        <v>0</v>
      </c>
      <c r="AJ272">
        <v>0</v>
      </c>
      <c r="AK272">
        <v>0</v>
      </c>
      <c r="AL272">
        <v>0</v>
      </c>
      <c r="AM272">
        <v>0</v>
      </c>
      <c r="AN272">
        <v>0</v>
      </c>
      <c r="AO272">
        <v>0</v>
      </c>
      <c r="AP272">
        <v>0</v>
      </c>
      <c r="AQ272">
        <v>0</v>
      </c>
      <c r="AR272">
        <v>0</v>
      </c>
      <c r="AS272">
        <v>0</v>
      </c>
      <c r="AT272">
        <v>0</v>
      </c>
      <c r="AU272">
        <v>0</v>
      </c>
      <c r="AV272">
        <v>0</v>
      </c>
      <c r="AW272">
        <v>0</v>
      </c>
      <c r="AX272">
        <v>0</v>
      </c>
      <c r="AY272">
        <v>0</v>
      </c>
      <c r="AZ272">
        <v>0</v>
      </c>
      <c r="BA272">
        <v>0</v>
      </c>
      <c r="BB272">
        <v>0</v>
      </c>
      <c r="BC272">
        <v>0</v>
      </c>
      <c r="BD272">
        <v>0</v>
      </c>
      <c r="BE272">
        <v>0</v>
      </c>
      <c r="BF272">
        <v>0</v>
      </c>
      <c r="BG272">
        <v>0</v>
      </c>
      <c r="BH272">
        <v>0</v>
      </c>
      <c r="BI272">
        <v>0</v>
      </c>
      <c r="BJ272">
        <v>0</v>
      </c>
      <c r="BK272">
        <v>0</v>
      </c>
      <c r="BL272">
        <v>0</v>
      </c>
      <c r="BM272">
        <v>1</v>
      </c>
      <c r="BN272">
        <v>0</v>
      </c>
      <c r="BO272">
        <v>0</v>
      </c>
      <c r="BP272">
        <v>0</v>
      </c>
      <c r="BQ272">
        <v>2</v>
      </c>
      <c r="BR272">
        <v>0</v>
      </c>
      <c r="BS272">
        <v>0</v>
      </c>
    </row>
    <row r="273" spans="1:71" x14ac:dyDescent="0.3">
      <c r="A273" t="s">
        <v>1213</v>
      </c>
      <c r="B273" t="s">
        <v>1214</v>
      </c>
      <c r="C273" t="s">
        <v>29</v>
      </c>
      <c r="D273" t="s">
        <v>29</v>
      </c>
      <c r="E273" t="s">
        <v>1215</v>
      </c>
      <c r="F273" t="s">
        <v>1216</v>
      </c>
      <c r="G273">
        <v>2017</v>
      </c>
      <c r="H273">
        <v>2017</v>
      </c>
      <c r="I273" t="s">
        <v>29</v>
      </c>
      <c r="J273" t="s">
        <v>29</v>
      </c>
      <c r="K273" t="s">
        <v>29</v>
      </c>
      <c r="L273" t="s">
        <v>29</v>
      </c>
      <c r="M273" t="s">
        <v>29</v>
      </c>
      <c r="N273">
        <v>177</v>
      </c>
      <c r="O273">
        <v>182</v>
      </c>
      <c r="P273" t="s">
        <v>29</v>
      </c>
      <c r="Q273" t="s">
        <v>1217</v>
      </c>
      <c r="R273" t="s">
        <v>1218</v>
      </c>
      <c r="S273" t="s">
        <v>1219</v>
      </c>
      <c r="T273">
        <v>3</v>
      </c>
      <c r="U273">
        <v>0.38</v>
      </c>
      <c r="V273">
        <v>0</v>
      </c>
      <c r="W273">
        <v>0</v>
      </c>
      <c r="X273">
        <v>0</v>
      </c>
      <c r="Y273">
        <v>0</v>
      </c>
      <c r="Z273">
        <v>0</v>
      </c>
      <c r="AA273">
        <v>0</v>
      </c>
      <c r="AB273">
        <v>0</v>
      </c>
      <c r="AC273">
        <v>0</v>
      </c>
      <c r="AD273">
        <v>0</v>
      </c>
      <c r="AE273">
        <v>0</v>
      </c>
      <c r="AF273">
        <v>0</v>
      </c>
      <c r="AG273">
        <v>0</v>
      </c>
      <c r="AH273">
        <v>0</v>
      </c>
      <c r="AI273">
        <v>0</v>
      </c>
      <c r="AJ273">
        <v>0</v>
      </c>
      <c r="AK273">
        <v>0</v>
      </c>
      <c r="AL273">
        <v>0</v>
      </c>
      <c r="AM273">
        <v>0</v>
      </c>
      <c r="AN273">
        <v>0</v>
      </c>
      <c r="AO273">
        <v>0</v>
      </c>
      <c r="AP273">
        <v>0</v>
      </c>
      <c r="AQ273">
        <v>0</v>
      </c>
      <c r="AR273">
        <v>0</v>
      </c>
      <c r="AS273">
        <v>0</v>
      </c>
      <c r="AT273">
        <v>0</v>
      </c>
      <c r="AU273">
        <v>0</v>
      </c>
      <c r="AV273">
        <v>0</v>
      </c>
      <c r="AW273">
        <v>0</v>
      </c>
      <c r="AX273">
        <v>0</v>
      </c>
      <c r="AY273">
        <v>0</v>
      </c>
      <c r="AZ273">
        <v>0</v>
      </c>
      <c r="BA273">
        <v>0</v>
      </c>
      <c r="BB273">
        <v>0</v>
      </c>
      <c r="BC273">
        <v>0</v>
      </c>
      <c r="BD273">
        <v>0</v>
      </c>
      <c r="BE273">
        <v>0</v>
      </c>
      <c r="BF273">
        <v>0</v>
      </c>
      <c r="BG273">
        <v>0</v>
      </c>
      <c r="BH273">
        <v>0</v>
      </c>
      <c r="BI273">
        <v>0</v>
      </c>
      <c r="BJ273">
        <v>0</v>
      </c>
      <c r="BK273">
        <v>0</v>
      </c>
      <c r="BL273">
        <v>0</v>
      </c>
      <c r="BM273">
        <v>0</v>
      </c>
      <c r="BN273">
        <v>1</v>
      </c>
      <c r="BO273">
        <v>0</v>
      </c>
      <c r="BP273">
        <v>2</v>
      </c>
      <c r="BQ273">
        <v>0</v>
      </c>
      <c r="BR273">
        <v>0</v>
      </c>
      <c r="BS273">
        <v>0</v>
      </c>
    </row>
    <row r="274" spans="1:71" x14ac:dyDescent="0.3">
      <c r="A274" t="s">
        <v>1220</v>
      </c>
      <c r="B274" t="s">
        <v>1221</v>
      </c>
      <c r="C274" t="s">
        <v>29</v>
      </c>
      <c r="D274" t="s">
        <v>29</v>
      </c>
      <c r="E274" t="s">
        <v>1222</v>
      </c>
      <c r="F274" t="s">
        <v>1223</v>
      </c>
      <c r="G274">
        <v>2017</v>
      </c>
      <c r="H274">
        <v>2017</v>
      </c>
      <c r="I274" t="s">
        <v>29</v>
      </c>
      <c r="J274" t="s">
        <v>29</v>
      </c>
      <c r="K274" t="s">
        <v>29</v>
      </c>
      <c r="L274" t="s">
        <v>29</v>
      </c>
      <c r="M274" t="s">
        <v>29</v>
      </c>
      <c r="N274">
        <v>1193</v>
      </c>
      <c r="O274">
        <v>1202</v>
      </c>
      <c r="P274" t="s">
        <v>29</v>
      </c>
      <c r="Q274" t="s">
        <v>29</v>
      </c>
      <c r="R274" t="s">
        <v>1224</v>
      </c>
      <c r="S274" t="s">
        <v>1225</v>
      </c>
      <c r="T274">
        <v>3</v>
      </c>
      <c r="U274">
        <v>0.38</v>
      </c>
      <c r="V274">
        <v>0</v>
      </c>
      <c r="W274">
        <v>0</v>
      </c>
      <c r="X274">
        <v>0</v>
      </c>
      <c r="Y274">
        <v>0</v>
      </c>
      <c r="Z274">
        <v>0</v>
      </c>
      <c r="AA274">
        <v>0</v>
      </c>
      <c r="AB274">
        <v>0</v>
      </c>
      <c r="AC274">
        <v>0</v>
      </c>
      <c r="AD274">
        <v>0</v>
      </c>
      <c r="AE274">
        <v>0</v>
      </c>
      <c r="AF274">
        <v>0</v>
      </c>
      <c r="AG274">
        <v>0</v>
      </c>
      <c r="AH274">
        <v>0</v>
      </c>
      <c r="AI274">
        <v>0</v>
      </c>
      <c r="AJ274">
        <v>0</v>
      </c>
      <c r="AK274">
        <v>0</v>
      </c>
      <c r="AL274">
        <v>0</v>
      </c>
      <c r="AM274">
        <v>0</v>
      </c>
      <c r="AN274">
        <v>0</v>
      </c>
      <c r="AO274">
        <v>0</v>
      </c>
      <c r="AP274">
        <v>0</v>
      </c>
      <c r="AQ274">
        <v>0</v>
      </c>
      <c r="AR274">
        <v>0</v>
      </c>
      <c r="AS274">
        <v>0</v>
      </c>
      <c r="AT274">
        <v>0</v>
      </c>
      <c r="AU274">
        <v>0</v>
      </c>
      <c r="AV274">
        <v>0</v>
      </c>
      <c r="AW274">
        <v>0</v>
      </c>
      <c r="AX274">
        <v>0</v>
      </c>
      <c r="AY274">
        <v>0</v>
      </c>
      <c r="AZ274">
        <v>0</v>
      </c>
      <c r="BA274">
        <v>0</v>
      </c>
      <c r="BB274">
        <v>0</v>
      </c>
      <c r="BC274">
        <v>0</v>
      </c>
      <c r="BD274">
        <v>0</v>
      </c>
      <c r="BE274">
        <v>0</v>
      </c>
      <c r="BF274">
        <v>0</v>
      </c>
      <c r="BG274">
        <v>0</v>
      </c>
      <c r="BH274">
        <v>0</v>
      </c>
      <c r="BI274">
        <v>0</v>
      </c>
      <c r="BJ274">
        <v>0</v>
      </c>
      <c r="BK274">
        <v>0</v>
      </c>
      <c r="BL274">
        <v>0</v>
      </c>
      <c r="BM274">
        <v>0</v>
      </c>
      <c r="BN274">
        <v>2</v>
      </c>
      <c r="BO274">
        <v>1</v>
      </c>
      <c r="BP274">
        <v>0</v>
      </c>
      <c r="BQ274">
        <v>0</v>
      </c>
      <c r="BR274">
        <v>0</v>
      </c>
      <c r="BS274">
        <v>0</v>
      </c>
    </row>
    <row r="275" spans="1:71" x14ac:dyDescent="0.3">
      <c r="A275" t="s">
        <v>1226</v>
      </c>
      <c r="B275" t="s">
        <v>1227</v>
      </c>
      <c r="C275" t="s">
        <v>29</v>
      </c>
      <c r="D275" t="s">
        <v>29</v>
      </c>
      <c r="E275" t="s">
        <v>1228</v>
      </c>
      <c r="F275" t="s">
        <v>1229</v>
      </c>
      <c r="G275">
        <v>2017</v>
      </c>
      <c r="H275">
        <v>2017</v>
      </c>
      <c r="I275" t="s">
        <v>29</v>
      </c>
      <c r="J275" t="s">
        <v>29</v>
      </c>
      <c r="K275" t="s">
        <v>29</v>
      </c>
      <c r="L275" t="s">
        <v>29</v>
      </c>
      <c r="M275" t="s">
        <v>29</v>
      </c>
      <c r="N275">
        <v>797</v>
      </c>
      <c r="O275">
        <v>803</v>
      </c>
      <c r="P275" t="s">
        <v>29</v>
      </c>
      <c r="Q275" t="s">
        <v>29</v>
      </c>
      <c r="R275" t="s">
        <v>1230</v>
      </c>
      <c r="S275" t="s">
        <v>1231</v>
      </c>
      <c r="T275">
        <v>3</v>
      </c>
      <c r="U275">
        <v>0.38</v>
      </c>
      <c r="V275">
        <v>0</v>
      </c>
      <c r="W275">
        <v>0</v>
      </c>
      <c r="X275">
        <v>0</v>
      </c>
      <c r="Y275">
        <v>0</v>
      </c>
      <c r="Z275">
        <v>0</v>
      </c>
      <c r="AA275">
        <v>0</v>
      </c>
      <c r="AB275">
        <v>0</v>
      </c>
      <c r="AC275">
        <v>0</v>
      </c>
      <c r="AD275">
        <v>0</v>
      </c>
      <c r="AE275">
        <v>0</v>
      </c>
      <c r="AF275">
        <v>0</v>
      </c>
      <c r="AG275">
        <v>0</v>
      </c>
      <c r="AH275">
        <v>0</v>
      </c>
      <c r="AI275">
        <v>0</v>
      </c>
      <c r="AJ275">
        <v>0</v>
      </c>
      <c r="AK275">
        <v>0</v>
      </c>
      <c r="AL275">
        <v>0</v>
      </c>
      <c r="AM275">
        <v>0</v>
      </c>
      <c r="AN275">
        <v>0</v>
      </c>
      <c r="AO275">
        <v>0</v>
      </c>
      <c r="AP275">
        <v>0</v>
      </c>
      <c r="AQ275">
        <v>0</v>
      </c>
      <c r="AR275">
        <v>0</v>
      </c>
      <c r="AS275">
        <v>0</v>
      </c>
      <c r="AT275">
        <v>0</v>
      </c>
      <c r="AU275">
        <v>0</v>
      </c>
      <c r="AV275">
        <v>0</v>
      </c>
      <c r="AW275">
        <v>0</v>
      </c>
      <c r="AX275">
        <v>0</v>
      </c>
      <c r="AY275">
        <v>0</v>
      </c>
      <c r="AZ275">
        <v>0</v>
      </c>
      <c r="BA275">
        <v>0</v>
      </c>
      <c r="BB275">
        <v>0</v>
      </c>
      <c r="BC275">
        <v>0</v>
      </c>
      <c r="BD275">
        <v>0</v>
      </c>
      <c r="BE275">
        <v>0</v>
      </c>
      <c r="BF275">
        <v>0</v>
      </c>
      <c r="BG275">
        <v>0</v>
      </c>
      <c r="BH275">
        <v>0</v>
      </c>
      <c r="BI275">
        <v>0</v>
      </c>
      <c r="BJ275">
        <v>0</v>
      </c>
      <c r="BK275">
        <v>0</v>
      </c>
      <c r="BL275">
        <v>0</v>
      </c>
      <c r="BM275">
        <v>0</v>
      </c>
      <c r="BN275">
        <v>1</v>
      </c>
      <c r="BO275">
        <v>0</v>
      </c>
      <c r="BP275">
        <v>0</v>
      </c>
      <c r="BQ275">
        <v>0</v>
      </c>
      <c r="BR275">
        <v>2</v>
      </c>
      <c r="BS275">
        <v>0</v>
      </c>
    </row>
    <row r="276" spans="1:71" x14ac:dyDescent="0.3">
      <c r="A276" t="s">
        <v>1232</v>
      </c>
      <c r="B276" t="s">
        <v>1233</v>
      </c>
      <c r="C276" t="s">
        <v>29</v>
      </c>
      <c r="D276" t="s">
        <v>29</v>
      </c>
      <c r="E276" t="s">
        <v>1228</v>
      </c>
      <c r="F276" t="s">
        <v>1234</v>
      </c>
      <c r="G276">
        <v>2017</v>
      </c>
      <c r="H276">
        <v>2017</v>
      </c>
      <c r="I276" t="s">
        <v>29</v>
      </c>
      <c r="J276" t="s">
        <v>29</v>
      </c>
      <c r="K276" t="s">
        <v>29</v>
      </c>
      <c r="L276" t="s">
        <v>29</v>
      </c>
      <c r="M276" t="s">
        <v>29</v>
      </c>
      <c r="N276">
        <v>9195</v>
      </c>
      <c r="O276">
        <v>9200</v>
      </c>
      <c r="P276" t="s">
        <v>29</v>
      </c>
      <c r="Q276" t="s">
        <v>29</v>
      </c>
      <c r="R276" t="s">
        <v>1235</v>
      </c>
      <c r="S276" t="s">
        <v>1236</v>
      </c>
      <c r="T276">
        <v>3</v>
      </c>
      <c r="U276">
        <v>0.38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0</v>
      </c>
      <c r="AB276">
        <v>0</v>
      </c>
      <c r="AC276">
        <v>0</v>
      </c>
      <c r="AD276">
        <v>0</v>
      </c>
      <c r="AE276">
        <v>0</v>
      </c>
      <c r="AF276">
        <v>0</v>
      </c>
      <c r="AG276">
        <v>0</v>
      </c>
      <c r="AH276">
        <v>0</v>
      </c>
      <c r="AI276">
        <v>0</v>
      </c>
      <c r="AJ276">
        <v>0</v>
      </c>
      <c r="AK276">
        <v>0</v>
      </c>
      <c r="AL276">
        <v>0</v>
      </c>
      <c r="AM276">
        <v>0</v>
      </c>
      <c r="AN276">
        <v>0</v>
      </c>
      <c r="AO276">
        <v>0</v>
      </c>
      <c r="AP276">
        <v>0</v>
      </c>
      <c r="AQ276">
        <v>0</v>
      </c>
      <c r="AR276">
        <v>0</v>
      </c>
      <c r="AS276">
        <v>0</v>
      </c>
      <c r="AT276">
        <v>0</v>
      </c>
      <c r="AU276">
        <v>0</v>
      </c>
      <c r="AV276">
        <v>0</v>
      </c>
      <c r="AW276">
        <v>0</v>
      </c>
      <c r="AX276">
        <v>0</v>
      </c>
      <c r="AY276">
        <v>0</v>
      </c>
      <c r="AZ276">
        <v>0</v>
      </c>
      <c r="BA276">
        <v>0</v>
      </c>
      <c r="BB276">
        <v>0</v>
      </c>
      <c r="BC276">
        <v>0</v>
      </c>
      <c r="BD276">
        <v>0</v>
      </c>
      <c r="BE276">
        <v>0</v>
      </c>
      <c r="BF276">
        <v>0</v>
      </c>
      <c r="BG276">
        <v>0</v>
      </c>
      <c r="BH276">
        <v>0</v>
      </c>
      <c r="BI276">
        <v>0</v>
      </c>
      <c r="BJ276">
        <v>0</v>
      </c>
      <c r="BK276">
        <v>0</v>
      </c>
      <c r="BL276">
        <v>0</v>
      </c>
      <c r="BM276">
        <v>2</v>
      </c>
      <c r="BN276">
        <v>0</v>
      </c>
      <c r="BO276">
        <v>1</v>
      </c>
      <c r="BP276">
        <v>0</v>
      </c>
      <c r="BQ276">
        <v>0</v>
      </c>
      <c r="BR276">
        <v>0</v>
      </c>
      <c r="BS276">
        <v>0</v>
      </c>
    </row>
    <row r="277" spans="1:71" x14ac:dyDescent="0.3">
      <c r="A277" t="s">
        <v>1237</v>
      </c>
      <c r="B277" t="s">
        <v>1238</v>
      </c>
      <c r="C277" t="s">
        <v>29</v>
      </c>
      <c r="D277" t="s">
        <v>29</v>
      </c>
      <c r="E277" t="s">
        <v>1239</v>
      </c>
      <c r="F277" t="s">
        <v>1240</v>
      </c>
      <c r="G277">
        <v>2014</v>
      </c>
      <c r="H277">
        <v>2014</v>
      </c>
      <c r="I277">
        <v>139</v>
      </c>
      <c r="J277" t="s">
        <v>29</v>
      </c>
      <c r="K277" t="s">
        <v>29</v>
      </c>
      <c r="L277" t="s">
        <v>29</v>
      </c>
      <c r="M277" t="s">
        <v>29</v>
      </c>
      <c r="N277">
        <v>387</v>
      </c>
      <c r="O277">
        <v>394</v>
      </c>
      <c r="P277" t="s">
        <v>29</v>
      </c>
      <c r="Q277" t="s">
        <v>1241</v>
      </c>
      <c r="R277" t="s">
        <v>1242</v>
      </c>
      <c r="S277" t="s">
        <v>1243</v>
      </c>
      <c r="T277">
        <v>3</v>
      </c>
      <c r="U277">
        <v>0.27</v>
      </c>
      <c r="V277">
        <v>0</v>
      </c>
      <c r="W277">
        <v>0</v>
      </c>
      <c r="X277">
        <v>0</v>
      </c>
      <c r="Y277">
        <v>0</v>
      </c>
      <c r="Z277">
        <v>0</v>
      </c>
      <c r="AA277">
        <v>0</v>
      </c>
      <c r="AB277">
        <v>0</v>
      </c>
      <c r="AC277">
        <v>0</v>
      </c>
      <c r="AD277">
        <v>0</v>
      </c>
      <c r="AE277">
        <v>0</v>
      </c>
      <c r="AF277">
        <v>0</v>
      </c>
      <c r="AG277">
        <v>0</v>
      </c>
      <c r="AH277">
        <v>0</v>
      </c>
      <c r="AI277">
        <v>0</v>
      </c>
      <c r="AJ277">
        <v>0</v>
      </c>
      <c r="AK277">
        <v>0</v>
      </c>
      <c r="AL277">
        <v>0</v>
      </c>
      <c r="AM277">
        <v>0</v>
      </c>
      <c r="AN277">
        <v>0</v>
      </c>
      <c r="AO277">
        <v>0</v>
      </c>
      <c r="AP277">
        <v>0</v>
      </c>
      <c r="AQ277">
        <v>0</v>
      </c>
      <c r="AR277">
        <v>0</v>
      </c>
      <c r="AS277">
        <v>0</v>
      </c>
      <c r="AT277">
        <v>0</v>
      </c>
      <c r="AU277">
        <v>0</v>
      </c>
      <c r="AV277">
        <v>0</v>
      </c>
      <c r="AW277">
        <v>0</v>
      </c>
      <c r="AX277">
        <v>0</v>
      </c>
      <c r="AY277">
        <v>0</v>
      </c>
      <c r="AZ277">
        <v>0</v>
      </c>
      <c r="BA277">
        <v>0</v>
      </c>
      <c r="BB277">
        <v>0</v>
      </c>
      <c r="BC277">
        <v>0</v>
      </c>
      <c r="BD277">
        <v>0</v>
      </c>
      <c r="BE277">
        <v>0</v>
      </c>
      <c r="BF277">
        <v>0</v>
      </c>
      <c r="BG277">
        <v>0</v>
      </c>
      <c r="BH277">
        <v>0</v>
      </c>
      <c r="BI277">
        <v>0</v>
      </c>
      <c r="BJ277">
        <v>0</v>
      </c>
      <c r="BK277">
        <v>0</v>
      </c>
      <c r="BL277">
        <v>0</v>
      </c>
      <c r="BM277">
        <v>0</v>
      </c>
      <c r="BN277">
        <v>0</v>
      </c>
      <c r="BO277">
        <v>0</v>
      </c>
      <c r="BP277">
        <v>1</v>
      </c>
      <c r="BQ277">
        <v>1</v>
      </c>
      <c r="BR277">
        <v>1</v>
      </c>
      <c r="BS277">
        <v>0</v>
      </c>
    </row>
    <row r="278" spans="1:71" x14ac:dyDescent="0.3">
      <c r="A278" t="s">
        <v>1244</v>
      </c>
      <c r="B278" t="s">
        <v>1245</v>
      </c>
      <c r="C278" t="s">
        <v>29</v>
      </c>
      <c r="D278" t="s">
        <v>29</v>
      </c>
      <c r="E278" t="s">
        <v>29</v>
      </c>
      <c r="F278" t="s">
        <v>1246</v>
      </c>
      <c r="G278">
        <v>2014</v>
      </c>
      <c r="H278">
        <v>2014</v>
      </c>
      <c r="I278" t="s">
        <v>29</v>
      </c>
      <c r="J278" t="s">
        <v>29</v>
      </c>
      <c r="K278" t="s">
        <v>29</v>
      </c>
      <c r="L278" t="s">
        <v>29</v>
      </c>
      <c r="M278" t="s">
        <v>29</v>
      </c>
      <c r="N278">
        <v>597</v>
      </c>
      <c r="O278">
        <v>604</v>
      </c>
      <c r="P278" t="s">
        <v>29</v>
      </c>
      <c r="Q278" t="s">
        <v>29</v>
      </c>
      <c r="R278" t="s">
        <v>1247</v>
      </c>
      <c r="S278" t="s">
        <v>1248</v>
      </c>
      <c r="T278">
        <v>3</v>
      </c>
      <c r="U278">
        <v>0.27</v>
      </c>
      <c r="V278">
        <v>0</v>
      </c>
      <c r="W278">
        <v>0</v>
      </c>
      <c r="X278">
        <v>0</v>
      </c>
      <c r="Y278">
        <v>0</v>
      </c>
      <c r="Z278">
        <v>0</v>
      </c>
      <c r="AA278">
        <v>0</v>
      </c>
      <c r="AB278">
        <v>0</v>
      </c>
      <c r="AC278">
        <v>0</v>
      </c>
      <c r="AD278">
        <v>0</v>
      </c>
      <c r="AE278">
        <v>0</v>
      </c>
      <c r="AF278">
        <v>0</v>
      </c>
      <c r="AG278">
        <v>0</v>
      </c>
      <c r="AH278">
        <v>0</v>
      </c>
      <c r="AI278">
        <v>0</v>
      </c>
      <c r="AJ278">
        <v>0</v>
      </c>
      <c r="AK278">
        <v>0</v>
      </c>
      <c r="AL278">
        <v>0</v>
      </c>
      <c r="AM278">
        <v>0</v>
      </c>
      <c r="AN278">
        <v>0</v>
      </c>
      <c r="AO278">
        <v>0</v>
      </c>
      <c r="AP278">
        <v>0</v>
      </c>
      <c r="AQ278">
        <v>0</v>
      </c>
      <c r="AR278">
        <v>0</v>
      </c>
      <c r="AS278">
        <v>0</v>
      </c>
      <c r="AT278">
        <v>0</v>
      </c>
      <c r="AU278">
        <v>0</v>
      </c>
      <c r="AV278">
        <v>0</v>
      </c>
      <c r="AW278">
        <v>0</v>
      </c>
      <c r="AX278">
        <v>0</v>
      </c>
      <c r="AY278">
        <v>0</v>
      </c>
      <c r="AZ278">
        <v>0</v>
      </c>
      <c r="BA278">
        <v>0</v>
      </c>
      <c r="BB278">
        <v>0</v>
      </c>
      <c r="BC278">
        <v>0</v>
      </c>
      <c r="BD278">
        <v>0</v>
      </c>
      <c r="BE278">
        <v>0</v>
      </c>
      <c r="BF278">
        <v>0</v>
      </c>
      <c r="BG278">
        <v>0</v>
      </c>
      <c r="BH278">
        <v>0</v>
      </c>
      <c r="BI278">
        <v>0</v>
      </c>
      <c r="BJ278">
        <v>0</v>
      </c>
      <c r="BK278">
        <v>0</v>
      </c>
      <c r="BL278">
        <v>0</v>
      </c>
      <c r="BM278">
        <v>0</v>
      </c>
      <c r="BN278">
        <v>0</v>
      </c>
      <c r="BO278">
        <v>1</v>
      </c>
      <c r="BP278">
        <v>0</v>
      </c>
      <c r="BQ278">
        <v>1</v>
      </c>
      <c r="BR278">
        <v>1</v>
      </c>
      <c r="BS278">
        <v>0</v>
      </c>
    </row>
    <row r="279" spans="1:71" x14ac:dyDescent="0.3">
      <c r="A279" t="s">
        <v>1249</v>
      </c>
      <c r="B279" t="s">
        <v>1250</v>
      </c>
      <c r="C279" t="s">
        <v>29</v>
      </c>
      <c r="D279" t="s">
        <v>29</v>
      </c>
      <c r="E279" t="s">
        <v>1251</v>
      </c>
      <c r="F279" t="s">
        <v>1252</v>
      </c>
      <c r="G279">
        <v>2012</v>
      </c>
      <c r="H279">
        <v>2012</v>
      </c>
      <c r="I279">
        <v>46</v>
      </c>
      <c r="J279" t="s">
        <v>29</v>
      </c>
      <c r="K279" t="s">
        <v>29</v>
      </c>
      <c r="L279" t="s">
        <v>29</v>
      </c>
      <c r="M279" t="s">
        <v>29</v>
      </c>
      <c r="N279">
        <v>1547</v>
      </c>
      <c r="O279">
        <v>1551</v>
      </c>
      <c r="P279" t="s">
        <v>29</v>
      </c>
      <c r="Q279" t="s">
        <v>1253</v>
      </c>
      <c r="R279" t="s">
        <v>1254</v>
      </c>
      <c r="S279" t="s">
        <v>1255</v>
      </c>
      <c r="T279">
        <v>3</v>
      </c>
      <c r="U279">
        <v>0.23</v>
      </c>
      <c r="V279">
        <v>0</v>
      </c>
      <c r="W279">
        <v>0</v>
      </c>
      <c r="X279">
        <v>0</v>
      </c>
      <c r="Y279">
        <v>0</v>
      </c>
      <c r="Z279">
        <v>0</v>
      </c>
      <c r="AA279">
        <v>0</v>
      </c>
      <c r="AB279">
        <v>0</v>
      </c>
      <c r="AC279">
        <v>0</v>
      </c>
      <c r="AD279">
        <v>0</v>
      </c>
      <c r="AE279">
        <v>0</v>
      </c>
      <c r="AF279">
        <v>0</v>
      </c>
      <c r="AG279">
        <v>0</v>
      </c>
      <c r="AH279">
        <v>0</v>
      </c>
      <c r="AI279">
        <v>0</v>
      </c>
      <c r="AJ279">
        <v>0</v>
      </c>
      <c r="AK279">
        <v>0</v>
      </c>
      <c r="AL279">
        <v>0</v>
      </c>
      <c r="AM279">
        <v>0</v>
      </c>
      <c r="AN279">
        <v>0</v>
      </c>
      <c r="AO279">
        <v>0</v>
      </c>
      <c r="AP279">
        <v>0</v>
      </c>
      <c r="AQ279">
        <v>0</v>
      </c>
      <c r="AR279">
        <v>0</v>
      </c>
      <c r="AS279">
        <v>0</v>
      </c>
      <c r="AT279">
        <v>0</v>
      </c>
      <c r="AU279">
        <v>0</v>
      </c>
      <c r="AV279">
        <v>0</v>
      </c>
      <c r="AW279">
        <v>0</v>
      </c>
      <c r="AX279">
        <v>0</v>
      </c>
      <c r="AY279">
        <v>0</v>
      </c>
      <c r="AZ279">
        <v>0</v>
      </c>
      <c r="BA279">
        <v>0</v>
      </c>
      <c r="BB279">
        <v>0</v>
      </c>
      <c r="BC279">
        <v>0</v>
      </c>
      <c r="BD279">
        <v>0</v>
      </c>
      <c r="BE279">
        <v>0</v>
      </c>
      <c r="BF279">
        <v>0</v>
      </c>
      <c r="BG279">
        <v>0</v>
      </c>
      <c r="BH279">
        <v>0</v>
      </c>
      <c r="BI279">
        <v>2</v>
      </c>
      <c r="BJ279">
        <v>0</v>
      </c>
      <c r="BK279">
        <v>0</v>
      </c>
      <c r="BL279">
        <v>0</v>
      </c>
      <c r="BM279">
        <v>0</v>
      </c>
      <c r="BN279">
        <v>0</v>
      </c>
      <c r="BO279">
        <v>1</v>
      </c>
      <c r="BP279">
        <v>0</v>
      </c>
      <c r="BQ279">
        <v>0</v>
      </c>
      <c r="BR279">
        <v>0</v>
      </c>
      <c r="BS279">
        <v>0</v>
      </c>
    </row>
    <row r="280" spans="1:71" x14ac:dyDescent="0.3">
      <c r="A280" t="s">
        <v>1256</v>
      </c>
      <c r="B280" t="s">
        <v>1257</v>
      </c>
      <c r="C280" t="s">
        <v>29</v>
      </c>
      <c r="D280" t="s">
        <v>29</v>
      </c>
      <c r="E280" t="s">
        <v>1258</v>
      </c>
      <c r="F280" t="s">
        <v>1259</v>
      </c>
      <c r="G280">
        <v>2012</v>
      </c>
      <c r="H280">
        <v>2012</v>
      </c>
      <c r="I280">
        <v>31</v>
      </c>
      <c r="J280" t="s">
        <v>29</v>
      </c>
      <c r="K280" t="s">
        <v>29</v>
      </c>
      <c r="L280" t="s">
        <v>29</v>
      </c>
      <c r="M280" t="s">
        <v>29</v>
      </c>
      <c r="N280">
        <v>517</v>
      </c>
      <c r="O280">
        <v>521</v>
      </c>
      <c r="P280" t="s">
        <v>29</v>
      </c>
      <c r="Q280" t="s">
        <v>1260</v>
      </c>
      <c r="R280" t="s">
        <v>1261</v>
      </c>
      <c r="S280" t="s">
        <v>1262</v>
      </c>
      <c r="T280">
        <v>3</v>
      </c>
      <c r="U280">
        <v>0.23</v>
      </c>
      <c r="V280">
        <v>0</v>
      </c>
      <c r="W280">
        <v>0</v>
      </c>
      <c r="X280">
        <v>0</v>
      </c>
      <c r="Y280">
        <v>0</v>
      </c>
      <c r="Z280">
        <v>0</v>
      </c>
      <c r="AA280">
        <v>0</v>
      </c>
      <c r="AB280">
        <v>0</v>
      </c>
      <c r="AC280">
        <v>0</v>
      </c>
      <c r="AD280">
        <v>0</v>
      </c>
      <c r="AE280">
        <v>0</v>
      </c>
      <c r="AF280">
        <v>0</v>
      </c>
      <c r="AG280">
        <v>0</v>
      </c>
      <c r="AH280">
        <v>0</v>
      </c>
      <c r="AI280">
        <v>0</v>
      </c>
      <c r="AJ280">
        <v>0</v>
      </c>
      <c r="AK280">
        <v>0</v>
      </c>
      <c r="AL280">
        <v>0</v>
      </c>
      <c r="AM280">
        <v>0</v>
      </c>
      <c r="AN280">
        <v>0</v>
      </c>
      <c r="AO280">
        <v>0</v>
      </c>
      <c r="AP280">
        <v>0</v>
      </c>
      <c r="AQ280">
        <v>0</v>
      </c>
      <c r="AR280">
        <v>0</v>
      </c>
      <c r="AS280">
        <v>0</v>
      </c>
      <c r="AT280">
        <v>0</v>
      </c>
      <c r="AU280">
        <v>0</v>
      </c>
      <c r="AV280">
        <v>0</v>
      </c>
      <c r="AW280">
        <v>0</v>
      </c>
      <c r="AX280">
        <v>0</v>
      </c>
      <c r="AY280">
        <v>0</v>
      </c>
      <c r="AZ280">
        <v>0</v>
      </c>
      <c r="BA280">
        <v>0</v>
      </c>
      <c r="BB280">
        <v>0</v>
      </c>
      <c r="BC280">
        <v>0</v>
      </c>
      <c r="BD280">
        <v>0</v>
      </c>
      <c r="BE280">
        <v>0</v>
      </c>
      <c r="BF280">
        <v>0</v>
      </c>
      <c r="BG280">
        <v>0</v>
      </c>
      <c r="BH280">
        <v>0</v>
      </c>
      <c r="BI280">
        <v>0</v>
      </c>
      <c r="BJ280">
        <v>0</v>
      </c>
      <c r="BK280">
        <v>0</v>
      </c>
      <c r="BL280">
        <v>2</v>
      </c>
      <c r="BM280">
        <v>1</v>
      </c>
      <c r="BN280">
        <v>0</v>
      </c>
      <c r="BO280">
        <v>0</v>
      </c>
      <c r="BP280">
        <v>0</v>
      </c>
      <c r="BQ280">
        <v>0</v>
      </c>
      <c r="BR280">
        <v>0</v>
      </c>
      <c r="BS280">
        <v>0</v>
      </c>
    </row>
    <row r="281" spans="1:71" x14ac:dyDescent="0.3">
      <c r="A281" t="s">
        <v>1263</v>
      </c>
      <c r="B281" t="s">
        <v>1264</v>
      </c>
      <c r="C281" t="s">
        <v>29</v>
      </c>
      <c r="D281" t="s">
        <v>29</v>
      </c>
      <c r="E281" t="s">
        <v>29</v>
      </c>
      <c r="F281" t="s">
        <v>1265</v>
      </c>
      <c r="G281">
        <v>2010</v>
      </c>
      <c r="H281">
        <v>2010</v>
      </c>
      <c r="I281">
        <v>2</v>
      </c>
      <c r="J281">
        <v>1</v>
      </c>
      <c r="K281" t="s">
        <v>29</v>
      </c>
      <c r="L281" t="s">
        <v>29</v>
      </c>
      <c r="M281" t="s">
        <v>29</v>
      </c>
      <c r="N281">
        <v>22</v>
      </c>
      <c r="O281">
        <v>74</v>
      </c>
      <c r="P281" t="s">
        <v>29</v>
      </c>
      <c r="Q281" t="s">
        <v>1266</v>
      </c>
      <c r="R281" t="s">
        <v>29</v>
      </c>
      <c r="S281" t="s">
        <v>29</v>
      </c>
      <c r="T281">
        <v>3</v>
      </c>
      <c r="U281">
        <v>0.2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0</v>
      </c>
      <c r="AB281">
        <v>0</v>
      </c>
      <c r="AC281">
        <v>0</v>
      </c>
      <c r="AD281">
        <v>0</v>
      </c>
      <c r="AE281">
        <v>0</v>
      </c>
      <c r="AF281">
        <v>0</v>
      </c>
      <c r="AG281">
        <v>0</v>
      </c>
      <c r="AH281">
        <v>0</v>
      </c>
      <c r="AI281">
        <v>0</v>
      </c>
      <c r="AJ281">
        <v>0</v>
      </c>
      <c r="AK281">
        <v>0</v>
      </c>
      <c r="AL281">
        <v>0</v>
      </c>
      <c r="AM281">
        <v>0</v>
      </c>
      <c r="AN281">
        <v>0</v>
      </c>
      <c r="AO281">
        <v>0</v>
      </c>
      <c r="AP281">
        <v>0</v>
      </c>
      <c r="AQ281">
        <v>0</v>
      </c>
      <c r="AR281">
        <v>0</v>
      </c>
      <c r="AS281">
        <v>0</v>
      </c>
      <c r="AT281">
        <v>0</v>
      </c>
      <c r="AU281">
        <v>0</v>
      </c>
      <c r="AV281">
        <v>0</v>
      </c>
      <c r="AW281">
        <v>0</v>
      </c>
      <c r="AX281">
        <v>0</v>
      </c>
      <c r="AY281">
        <v>0</v>
      </c>
      <c r="AZ281">
        <v>0</v>
      </c>
      <c r="BA281">
        <v>0</v>
      </c>
      <c r="BB281">
        <v>0</v>
      </c>
      <c r="BC281">
        <v>0</v>
      </c>
      <c r="BD281">
        <v>0</v>
      </c>
      <c r="BE281">
        <v>0</v>
      </c>
      <c r="BF281">
        <v>0</v>
      </c>
      <c r="BG281">
        <v>1</v>
      </c>
      <c r="BH281">
        <v>0</v>
      </c>
      <c r="BI281">
        <v>1</v>
      </c>
      <c r="BJ281">
        <v>1</v>
      </c>
      <c r="BK281">
        <v>0</v>
      </c>
      <c r="BL281">
        <v>0</v>
      </c>
      <c r="BM281">
        <v>0</v>
      </c>
      <c r="BN281">
        <v>0</v>
      </c>
      <c r="BO281">
        <v>0</v>
      </c>
      <c r="BP281">
        <v>0</v>
      </c>
      <c r="BQ281">
        <v>0</v>
      </c>
      <c r="BR281">
        <v>0</v>
      </c>
      <c r="BS281">
        <v>0</v>
      </c>
    </row>
    <row r="282" spans="1:71" x14ac:dyDescent="0.3">
      <c r="A282" t="s">
        <v>1267</v>
      </c>
      <c r="B282" t="s">
        <v>1268</v>
      </c>
      <c r="C282" t="s">
        <v>29</v>
      </c>
      <c r="D282" t="s">
        <v>29</v>
      </c>
      <c r="E282" t="s">
        <v>29</v>
      </c>
      <c r="F282" t="s">
        <v>1269</v>
      </c>
      <c r="G282" t="s">
        <v>1039</v>
      </c>
      <c r="H282">
        <v>2024</v>
      </c>
      <c r="I282">
        <v>17</v>
      </c>
      <c r="J282">
        <v>2</v>
      </c>
      <c r="K282" t="s">
        <v>29</v>
      </c>
      <c r="L282" t="s">
        <v>29</v>
      </c>
      <c r="M282" t="s">
        <v>29</v>
      </c>
      <c r="N282">
        <v>259</v>
      </c>
      <c r="O282">
        <v>282</v>
      </c>
      <c r="P282" t="s">
        <v>29</v>
      </c>
      <c r="Q282" t="s">
        <v>1270</v>
      </c>
      <c r="R282" t="s">
        <v>29</v>
      </c>
      <c r="S282" t="s">
        <v>29</v>
      </c>
      <c r="T282">
        <v>2</v>
      </c>
      <c r="U282">
        <v>2</v>
      </c>
      <c r="V282">
        <v>0</v>
      </c>
      <c r="W282">
        <v>0</v>
      </c>
      <c r="X282">
        <v>0</v>
      </c>
      <c r="Y282">
        <v>0</v>
      </c>
      <c r="Z282">
        <v>0</v>
      </c>
      <c r="AA282">
        <v>0</v>
      </c>
      <c r="AB282">
        <v>0</v>
      </c>
      <c r="AC282">
        <v>0</v>
      </c>
      <c r="AD282">
        <v>0</v>
      </c>
      <c r="AE282">
        <v>0</v>
      </c>
      <c r="AF282">
        <v>0</v>
      </c>
      <c r="AG282">
        <v>0</v>
      </c>
      <c r="AH282">
        <v>0</v>
      </c>
      <c r="AI282">
        <v>0</v>
      </c>
      <c r="AJ282">
        <v>0</v>
      </c>
      <c r="AK282">
        <v>0</v>
      </c>
      <c r="AL282">
        <v>0</v>
      </c>
      <c r="AM282">
        <v>0</v>
      </c>
      <c r="AN282">
        <v>0</v>
      </c>
      <c r="AO282">
        <v>0</v>
      </c>
      <c r="AP282">
        <v>0</v>
      </c>
      <c r="AQ282">
        <v>0</v>
      </c>
      <c r="AR282">
        <v>0</v>
      </c>
      <c r="AS282">
        <v>0</v>
      </c>
      <c r="AT282">
        <v>0</v>
      </c>
      <c r="AU282">
        <v>0</v>
      </c>
      <c r="AV282">
        <v>0</v>
      </c>
      <c r="AW282">
        <v>0</v>
      </c>
      <c r="AX282">
        <v>0</v>
      </c>
      <c r="AY282">
        <v>0</v>
      </c>
      <c r="AZ282">
        <v>0</v>
      </c>
      <c r="BA282">
        <v>0</v>
      </c>
      <c r="BB282">
        <v>0</v>
      </c>
      <c r="BC282">
        <v>0</v>
      </c>
      <c r="BD282">
        <v>0</v>
      </c>
      <c r="BE282">
        <v>0</v>
      </c>
      <c r="BF282">
        <v>0</v>
      </c>
      <c r="BG282">
        <v>0</v>
      </c>
      <c r="BH282">
        <v>0</v>
      </c>
      <c r="BI282">
        <v>0</v>
      </c>
      <c r="BJ282">
        <v>0</v>
      </c>
      <c r="BK282">
        <v>0</v>
      </c>
      <c r="BL282">
        <v>0</v>
      </c>
      <c r="BM282">
        <v>0</v>
      </c>
      <c r="BN282">
        <v>0</v>
      </c>
      <c r="BO282">
        <v>0</v>
      </c>
      <c r="BP282">
        <v>0</v>
      </c>
      <c r="BQ282">
        <v>0</v>
      </c>
      <c r="BR282">
        <v>0</v>
      </c>
      <c r="BS282">
        <v>2</v>
      </c>
    </row>
    <row r="283" spans="1:71" x14ac:dyDescent="0.3">
      <c r="A283" t="s">
        <v>1271</v>
      </c>
      <c r="B283" t="s">
        <v>1272</v>
      </c>
      <c r="C283" t="s">
        <v>29</v>
      </c>
      <c r="D283" t="s">
        <v>29</v>
      </c>
      <c r="E283" t="s">
        <v>29</v>
      </c>
      <c r="F283" t="s">
        <v>1273</v>
      </c>
      <c r="G283" t="s">
        <v>1274</v>
      </c>
      <c r="H283">
        <v>2024</v>
      </c>
      <c r="I283">
        <v>22</v>
      </c>
      <c r="J283">
        <v>3</v>
      </c>
      <c r="K283" t="s">
        <v>29</v>
      </c>
      <c r="L283" t="s">
        <v>29</v>
      </c>
      <c r="M283" t="s">
        <v>29</v>
      </c>
      <c r="N283">
        <v>266</v>
      </c>
      <c r="O283">
        <v>288</v>
      </c>
      <c r="P283" t="s">
        <v>29</v>
      </c>
      <c r="Q283" t="s">
        <v>1275</v>
      </c>
      <c r="R283" t="s">
        <v>29</v>
      </c>
      <c r="S283" t="s">
        <v>29</v>
      </c>
      <c r="T283">
        <v>2</v>
      </c>
      <c r="U283">
        <v>2</v>
      </c>
      <c r="V283">
        <v>0</v>
      </c>
      <c r="W283">
        <v>0</v>
      </c>
      <c r="X283">
        <v>0</v>
      </c>
      <c r="Y283">
        <v>0</v>
      </c>
      <c r="Z283">
        <v>0</v>
      </c>
      <c r="AA283">
        <v>0</v>
      </c>
      <c r="AB283">
        <v>0</v>
      </c>
      <c r="AC283">
        <v>0</v>
      </c>
      <c r="AD283">
        <v>0</v>
      </c>
      <c r="AE283">
        <v>0</v>
      </c>
      <c r="AF283">
        <v>0</v>
      </c>
      <c r="AG283">
        <v>0</v>
      </c>
      <c r="AH283">
        <v>0</v>
      </c>
      <c r="AI283">
        <v>0</v>
      </c>
      <c r="AJ283">
        <v>0</v>
      </c>
      <c r="AK283">
        <v>0</v>
      </c>
      <c r="AL283">
        <v>0</v>
      </c>
      <c r="AM283">
        <v>0</v>
      </c>
      <c r="AN283">
        <v>0</v>
      </c>
      <c r="AO283">
        <v>0</v>
      </c>
      <c r="AP283">
        <v>0</v>
      </c>
      <c r="AQ283">
        <v>0</v>
      </c>
      <c r="AR283">
        <v>0</v>
      </c>
      <c r="AS283">
        <v>0</v>
      </c>
      <c r="AT283">
        <v>0</v>
      </c>
      <c r="AU283">
        <v>0</v>
      </c>
      <c r="AV283">
        <v>0</v>
      </c>
      <c r="AW283">
        <v>0</v>
      </c>
      <c r="AX283">
        <v>0</v>
      </c>
      <c r="AY283">
        <v>0</v>
      </c>
      <c r="AZ283">
        <v>0</v>
      </c>
      <c r="BA283">
        <v>0</v>
      </c>
      <c r="BB283">
        <v>0</v>
      </c>
      <c r="BC283">
        <v>0</v>
      </c>
      <c r="BD283">
        <v>0</v>
      </c>
      <c r="BE283">
        <v>0</v>
      </c>
      <c r="BF283">
        <v>0</v>
      </c>
      <c r="BG283">
        <v>0</v>
      </c>
      <c r="BH283">
        <v>0</v>
      </c>
      <c r="BI283">
        <v>0</v>
      </c>
      <c r="BJ283">
        <v>0</v>
      </c>
      <c r="BK283">
        <v>0</v>
      </c>
      <c r="BL283">
        <v>0</v>
      </c>
      <c r="BM283">
        <v>0</v>
      </c>
      <c r="BN283">
        <v>0</v>
      </c>
      <c r="BO283">
        <v>0</v>
      </c>
      <c r="BP283">
        <v>0</v>
      </c>
      <c r="BQ283">
        <v>0</v>
      </c>
      <c r="BR283">
        <v>0</v>
      </c>
      <c r="BS283">
        <v>2</v>
      </c>
    </row>
    <row r="284" spans="1:71" x14ac:dyDescent="0.3">
      <c r="A284" t="s">
        <v>1276</v>
      </c>
      <c r="B284" t="s">
        <v>1277</v>
      </c>
      <c r="C284" t="s">
        <v>29</v>
      </c>
      <c r="D284" t="s">
        <v>29</v>
      </c>
      <c r="E284" t="s">
        <v>29</v>
      </c>
      <c r="F284" t="s">
        <v>48</v>
      </c>
      <c r="G284" t="s">
        <v>1278</v>
      </c>
      <c r="H284">
        <v>2023</v>
      </c>
      <c r="I284">
        <v>65</v>
      </c>
      <c r="J284" t="s">
        <v>1279</v>
      </c>
      <c r="K284" t="s">
        <v>29</v>
      </c>
      <c r="L284" t="s">
        <v>29</v>
      </c>
      <c r="M284" t="s">
        <v>32</v>
      </c>
      <c r="N284">
        <v>923</v>
      </c>
      <c r="O284">
        <v>938</v>
      </c>
      <c r="P284" t="s">
        <v>29</v>
      </c>
      <c r="Q284" t="s">
        <v>1280</v>
      </c>
      <c r="R284" t="s">
        <v>29</v>
      </c>
      <c r="S284" t="s">
        <v>29</v>
      </c>
      <c r="T284">
        <v>2</v>
      </c>
      <c r="U284">
        <v>1</v>
      </c>
      <c r="V284">
        <v>0</v>
      </c>
      <c r="W284">
        <v>0</v>
      </c>
      <c r="X284">
        <v>0</v>
      </c>
      <c r="Y284">
        <v>0</v>
      </c>
      <c r="Z284">
        <v>0</v>
      </c>
      <c r="AA284">
        <v>0</v>
      </c>
      <c r="AB284">
        <v>0</v>
      </c>
      <c r="AC284">
        <v>0</v>
      </c>
      <c r="AD284">
        <v>0</v>
      </c>
      <c r="AE284">
        <v>0</v>
      </c>
      <c r="AF284">
        <v>0</v>
      </c>
      <c r="AG284">
        <v>0</v>
      </c>
      <c r="AH284">
        <v>0</v>
      </c>
      <c r="AI284">
        <v>0</v>
      </c>
      <c r="AJ284">
        <v>0</v>
      </c>
      <c r="AK284">
        <v>0</v>
      </c>
      <c r="AL284">
        <v>0</v>
      </c>
      <c r="AM284">
        <v>0</v>
      </c>
      <c r="AN284">
        <v>0</v>
      </c>
      <c r="AO284">
        <v>0</v>
      </c>
      <c r="AP284">
        <v>0</v>
      </c>
      <c r="AQ284">
        <v>0</v>
      </c>
      <c r="AR284">
        <v>0</v>
      </c>
      <c r="AS284">
        <v>0</v>
      </c>
      <c r="AT284">
        <v>0</v>
      </c>
      <c r="AU284">
        <v>0</v>
      </c>
      <c r="AV284">
        <v>0</v>
      </c>
      <c r="AW284">
        <v>0</v>
      </c>
      <c r="AX284">
        <v>0</v>
      </c>
      <c r="AY284">
        <v>0</v>
      </c>
      <c r="AZ284">
        <v>0</v>
      </c>
      <c r="BA284">
        <v>0</v>
      </c>
      <c r="BB284">
        <v>0</v>
      </c>
      <c r="BC284">
        <v>0</v>
      </c>
      <c r="BD284">
        <v>0</v>
      </c>
      <c r="BE284">
        <v>0</v>
      </c>
      <c r="BF284">
        <v>0</v>
      </c>
      <c r="BG284">
        <v>0</v>
      </c>
      <c r="BH284">
        <v>0</v>
      </c>
      <c r="BI284">
        <v>0</v>
      </c>
      <c r="BJ284">
        <v>0</v>
      </c>
      <c r="BK284">
        <v>0</v>
      </c>
      <c r="BL284">
        <v>0</v>
      </c>
      <c r="BM284">
        <v>0</v>
      </c>
      <c r="BN284">
        <v>0</v>
      </c>
      <c r="BO284">
        <v>0</v>
      </c>
      <c r="BP284">
        <v>0</v>
      </c>
      <c r="BQ284">
        <v>0</v>
      </c>
      <c r="BR284">
        <v>0</v>
      </c>
      <c r="BS284">
        <v>2</v>
      </c>
    </row>
    <row r="285" spans="1:71" x14ac:dyDescent="0.3">
      <c r="A285" t="s">
        <v>1281</v>
      </c>
      <c r="B285" t="s">
        <v>1282</v>
      </c>
      <c r="C285" t="s">
        <v>29</v>
      </c>
      <c r="D285" t="s">
        <v>29</v>
      </c>
      <c r="E285" t="s">
        <v>29</v>
      </c>
      <c r="F285" t="s">
        <v>1283</v>
      </c>
      <c r="G285" t="s">
        <v>1284</v>
      </c>
      <c r="H285">
        <v>2023</v>
      </c>
      <c r="I285">
        <v>14</v>
      </c>
      <c r="J285">
        <v>9</v>
      </c>
      <c r="K285" t="s">
        <v>29</v>
      </c>
      <c r="L285" t="s">
        <v>29</v>
      </c>
      <c r="M285" t="s">
        <v>29</v>
      </c>
      <c r="N285" t="s">
        <v>29</v>
      </c>
      <c r="O285" t="s">
        <v>29</v>
      </c>
      <c r="P285">
        <v>1805</v>
      </c>
      <c r="Q285" t="s">
        <v>1285</v>
      </c>
      <c r="R285" t="s">
        <v>29</v>
      </c>
      <c r="S285" t="s">
        <v>29</v>
      </c>
      <c r="T285">
        <v>2</v>
      </c>
      <c r="U285">
        <v>1</v>
      </c>
      <c r="V285">
        <v>0</v>
      </c>
      <c r="W285">
        <v>0</v>
      </c>
      <c r="X285">
        <v>0</v>
      </c>
      <c r="Y285">
        <v>0</v>
      </c>
      <c r="Z285">
        <v>0</v>
      </c>
      <c r="AA285">
        <v>0</v>
      </c>
      <c r="AB285">
        <v>0</v>
      </c>
      <c r="AC285">
        <v>0</v>
      </c>
      <c r="AD285">
        <v>0</v>
      </c>
      <c r="AE285">
        <v>0</v>
      </c>
      <c r="AF285">
        <v>0</v>
      </c>
      <c r="AG285">
        <v>0</v>
      </c>
      <c r="AH285">
        <v>0</v>
      </c>
      <c r="AI285">
        <v>0</v>
      </c>
      <c r="AJ285">
        <v>0</v>
      </c>
      <c r="AK285">
        <v>0</v>
      </c>
      <c r="AL285">
        <v>0</v>
      </c>
      <c r="AM285">
        <v>0</v>
      </c>
      <c r="AN285">
        <v>0</v>
      </c>
      <c r="AO285">
        <v>0</v>
      </c>
      <c r="AP285">
        <v>0</v>
      </c>
      <c r="AQ285">
        <v>0</v>
      </c>
      <c r="AR285">
        <v>0</v>
      </c>
      <c r="AS285">
        <v>0</v>
      </c>
      <c r="AT285">
        <v>0</v>
      </c>
      <c r="AU285">
        <v>0</v>
      </c>
      <c r="AV285">
        <v>0</v>
      </c>
      <c r="AW285">
        <v>0</v>
      </c>
      <c r="AX285">
        <v>0</v>
      </c>
      <c r="AY285">
        <v>0</v>
      </c>
      <c r="AZ285">
        <v>0</v>
      </c>
      <c r="BA285">
        <v>0</v>
      </c>
      <c r="BB285">
        <v>0</v>
      </c>
      <c r="BC285">
        <v>0</v>
      </c>
      <c r="BD285">
        <v>0</v>
      </c>
      <c r="BE285">
        <v>0</v>
      </c>
      <c r="BF285">
        <v>0</v>
      </c>
      <c r="BG285">
        <v>0</v>
      </c>
      <c r="BH285">
        <v>0</v>
      </c>
      <c r="BI285">
        <v>0</v>
      </c>
      <c r="BJ285">
        <v>0</v>
      </c>
      <c r="BK285">
        <v>0</v>
      </c>
      <c r="BL285">
        <v>0</v>
      </c>
      <c r="BM285">
        <v>0</v>
      </c>
      <c r="BN285">
        <v>0</v>
      </c>
      <c r="BO285">
        <v>0</v>
      </c>
      <c r="BP285">
        <v>0</v>
      </c>
      <c r="BQ285">
        <v>0</v>
      </c>
      <c r="BR285">
        <v>0</v>
      </c>
      <c r="BS285">
        <v>2</v>
      </c>
    </row>
    <row r="286" spans="1:71" x14ac:dyDescent="0.3">
      <c r="A286" t="s">
        <v>1286</v>
      </c>
      <c r="B286" t="s">
        <v>1287</v>
      </c>
      <c r="C286" t="s">
        <v>29</v>
      </c>
      <c r="D286" t="s">
        <v>29</v>
      </c>
      <c r="E286" t="s">
        <v>29</v>
      </c>
      <c r="F286" t="s">
        <v>1288</v>
      </c>
      <c r="G286" t="s">
        <v>800</v>
      </c>
      <c r="H286">
        <v>2023</v>
      </c>
      <c r="I286">
        <v>11</v>
      </c>
      <c r="J286">
        <v>7</v>
      </c>
      <c r="K286" t="s">
        <v>29</v>
      </c>
      <c r="L286" t="s">
        <v>29</v>
      </c>
      <c r="M286" t="s">
        <v>29</v>
      </c>
      <c r="N286" t="s">
        <v>29</v>
      </c>
      <c r="O286" t="s">
        <v>29</v>
      </c>
      <c r="P286">
        <v>198</v>
      </c>
      <c r="Q286" t="s">
        <v>1289</v>
      </c>
      <c r="R286" t="s">
        <v>29</v>
      </c>
      <c r="S286" t="s">
        <v>29</v>
      </c>
      <c r="T286">
        <v>2</v>
      </c>
      <c r="U286">
        <v>1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  <c r="AB286">
        <v>0</v>
      </c>
      <c r="AC286">
        <v>0</v>
      </c>
      <c r="AD286">
        <v>0</v>
      </c>
      <c r="AE286">
        <v>0</v>
      </c>
      <c r="AF286">
        <v>0</v>
      </c>
      <c r="AG286">
        <v>0</v>
      </c>
      <c r="AH286">
        <v>0</v>
      </c>
      <c r="AI286">
        <v>0</v>
      </c>
      <c r="AJ286">
        <v>0</v>
      </c>
      <c r="AK286">
        <v>0</v>
      </c>
      <c r="AL286">
        <v>0</v>
      </c>
      <c r="AM286">
        <v>0</v>
      </c>
      <c r="AN286">
        <v>0</v>
      </c>
      <c r="AO286">
        <v>0</v>
      </c>
      <c r="AP286">
        <v>0</v>
      </c>
      <c r="AQ286">
        <v>0</v>
      </c>
      <c r="AR286">
        <v>0</v>
      </c>
      <c r="AS286">
        <v>0</v>
      </c>
      <c r="AT286">
        <v>0</v>
      </c>
      <c r="AU286">
        <v>0</v>
      </c>
      <c r="AV286">
        <v>0</v>
      </c>
      <c r="AW286">
        <v>0</v>
      </c>
      <c r="AX286">
        <v>0</v>
      </c>
      <c r="AY286">
        <v>0</v>
      </c>
      <c r="AZ286">
        <v>0</v>
      </c>
      <c r="BA286">
        <v>0</v>
      </c>
      <c r="BB286">
        <v>0</v>
      </c>
      <c r="BC286">
        <v>0</v>
      </c>
      <c r="BD286">
        <v>0</v>
      </c>
      <c r="BE286">
        <v>0</v>
      </c>
      <c r="BF286">
        <v>0</v>
      </c>
      <c r="BG286">
        <v>0</v>
      </c>
      <c r="BH286">
        <v>0</v>
      </c>
      <c r="BI286">
        <v>0</v>
      </c>
      <c r="BJ286">
        <v>0</v>
      </c>
      <c r="BK286">
        <v>0</v>
      </c>
      <c r="BL286">
        <v>0</v>
      </c>
      <c r="BM286">
        <v>0</v>
      </c>
      <c r="BN286">
        <v>0</v>
      </c>
      <c r="BO286">
        <v>0</v>
      </c>
      <c r="BP286">
        <v>0</v>
      </c>
      <c r="BQ286">
        <v>0</v>
      </c>
      <c r="BR286">
        <v>0</v>
      </c>
      <c r="BS286">
        <v>2</v>
      </c>
    </row>
    <row r="287" spans="1:71" x14ac:dyDescent="0.3">
      <c r="A287" t="s">
        <v>1290</v>
      </c>
      <c r="B287" t="s">
        <v>1291</v>
      </c>
      <c r="C287" t="s">
        <v>29</v>
      </c>
      <c r="D287" t="s">
        <v>29</v>
      </c>
      <c r="E287" t="s">
        <v>29</v>
      </c>
      <c r="F287" t="s">
        <v>1292</v>
      </c>
      <c r="G287" t="s">
        <v>1293</v>
      </c>
      <c r="H287">
        <v>2023</v>
      </c>
      <c r="I287">
        <v>11</v>
      </c>
      <c r="J287">
        <v>2</v>
      </c>
      <c r="K287" t="s">
        <v>29</v>
      </c>
      <c r="L287" t="s">
        <v>29</v>
      </c>
      <c r="M287" t="s">
        <v>29</v>
      </c>
      <c r="N287" t="s">
        <v>29</v>
      </c>
      <c r="O287" t="s">
        <v>29</v>
      </c>
      <c r="P287">
        <v>2210382</v>
      </c>
      <c r="Q287" t="s">
        <v>1294</v>
      </c>
      <c r="R287" t="s">
        <v>29</v>
      </c>
      <c r="S287" t="s">
        <v>29</v>
      </c>
      <c r="T287">
        <v>2</v>
      </c>
      <c r="U287">
        <v>1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  <c r="AB287">
        <v>0</v>
      </c>
      <c r="AC287">
        <v>0</v>
      </c>
      <c r="AD287">
        <v>0</v>
      </c>
      <c r="AE287">
        <v>0</v>
      </c>
      <c r="AF287">
        <v>0</v>
      </c>
      <c r="AG287">
        <v>0</v>
      </c>
      <c r="AH287">
        <v>0</v>
      </c>
      <c r="AI287">
        <v>0</v>
      </c>
      <c r="AJ287">
        <v>0</v>
      </c>
      <c r="AK287">
        <v>0</v>
      </c>
      <c r="AL287">
        <v>0</v>
      </c>
      <c r="AM287">
        <v>0</v>
      </c>
      <c r="AN287">
        <v>0</v>
      </c>
      <c r="AO287">
        <v>0</v>
      </c>
      <c r="AP287">
        <v>0</v>
      </c>
      <c r="AQ287">
        <v>0</v>
      </c>
      <c r="AR287">
        <v>0</v>
      </c>
      <c r="AS287">
        <v>0</v>
      </c>
      <c r="AT287">
        <v>0</v>
      </c>
      <c r="AU287">
        <v>0</v>
      </c>
      <c r="AV287">
        <v>0</v>
      </c>
      <c r="AW287">
        <v>0</v>
      </c>
      <c r="AX287">
        <v>0</v>
      </c>
      <c r="AY287">
        <v>0</v>
      </c>
      <c r="AZ287">
        <v>0</v>
      </c>
      <c r="BA287">
        <v>0</v>
      </c>
      <c r="BB287">
        <v>0</v>
      </c>
      <c r="BC287">
        <v>0</v>
      </c>
      <c r="BD287">
        <v>0</v>
      </c>
      <c r="BE287">
        <v>0</v>
      </c>
      <c r="BF287">
        <v>0</v>
      </c>
      <c r="BG287">
        <v>0</v>
      </c>
      <c r="BH287">
        <v>0</v>
      </c>
      <c r="BI287">
        <v>0</v>
      </c>
      <c r="BJ287">
        <v>0</v>
      </c>
      <c r="BK287">
        <v>0</v>
      </c>
      <c r="BL287">
        <v>0</v>
      </c>
      <c r="BM287">
        <v>0</v>
      </c>
      <c r="BN287">
        <v>0</v>
      </c>
      <c r="BO287">
        <v>0</v>
      </c>
      <c r="BP287">
        <v>0</v>
      </c>
      <c r="BQ287">
        <v>0</v>
      </c>
      <c r="BR287">
        <v>0</v>
      </c>
      <c r="BS287">
        <v>2</v>
      </c>
    </row>
    <row r="288" spans="1:71" x14ac:dyDescent="0.3">
      <c r="A288" t="s">
        <v>1295</v>
      </c>
      <c r="B288" t="s">
        <v>1296</v>
      </c>
      <c r="C288" t="s">
        <v>29</v>
      </c>
      <c r="D288" t="s">
        <v>29</v>
      </c>
      <c r="E288" t="s">
        <v>29</v>
      </c>
      <c r="F288" t="s">
        <v>581</v>
      </c>
      <c r="G288" t="s">
        <v>1297</v>
      </c>
      <c r="H288">
        <v>2023</v>
      </c>
      <c r="I288">
        <v>24</v>
      </c>
      <c r="J288" t="s">
        <v>1298</v>
      </c>
      <c r="K288" t="s">
        <v>29</v>
      </c>
      <c r="L288">
        <v>6</v>
      </c>
      <c r="M288" t="s">
        <v>32</v>
      </c>
      <c r="N288">
        <v>1167</v>
      </c>
      <c r="O288">
        <v>1188</v>
      </c>
      <c r="P288" t="s">
        <v>29</v>
      </c>
      <c r="Q288" t="s">
        <v>1299</v>
      </c>
      <c r="R288" t="s">
        <v>29</v>
      </c>
      <c r="S288" t="s">
        <v>29</v>
      </c>
      <c r="T288">
        <v>2</v>
      </c>
      <c r="U288">
        <v>1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0</v>
      </c>
      <c r="AB288">
        <v>0</v>
      </c>
      <c r="AC288">
        <v>0</v>
      </c>
      <c r="AD288">
        <v>0</v>
      </c>
      <c r="AE288">
        <v>0</v>
      </c>
      <c r="AF288">
        <v>0</v>
      </c>
      <c r="AG288">
        <v>0</v>
      </c>
      <c r="AH288">
        <v>0</v>
      </c>
      <c r="AI288">
        <v>0</v>
      </c>
      <c r="AJ288">
        <v>0</v>
      </c>
      <c r="AK288">
        <v>0</v>
      </c>
      <c r="AL288">
        <v>0</v>
      </c>
      <c r="AM288">
        <v>0</v>
      </c>
      <c r="AN288">
        <v>0</v>
      </c>
      <c r="AO288">
        <v>0</v>
      </c>
      <c r="AP288">
        <v>0</v>
      </c>
      <c r="AQ288">
        <v>0</v>
      </c>
      <c r="AR288">
        <v>0</v>
      </c>
      <c r="AS288">
        <v>0</v>
      </c>
      <c r="AT288">
        <v>0</v>
      </c>
      <c r="AU288">
        <v>0</v>
      </c>
      <c r="AV288">
        <v>0</v>
      </c>
      <c r="AW288">
        <v>0</v>
      </c>
      <c r="AX288">
        <v>0</v>
      </c>
      <c r="AY288">
        <v>0</v>
      </c>
      <c r="AZ288">
        <v>0</v>
      </c>
      <c r="BA288">
        <v>0</v>
      </c>
      <c r="BB288">
        <v>0</v>
      </c>
      <c r="BC288">
        <v>0</v>
      </c>
      <c r="BD288">
        <v>0</v>
      </c>
      <c r="BE288">
        <v>0</v>
      </c>
      <c r="BF288">
        <v>0</v>
      </c>
      <c r="BG288">
        <v>0</v>
      </c>
      <c r="BH288">
        <v>0</v>
      </c>
      <c r="BI288">
        <v>0</v>
      </c>
      <c r="BJ288">
        <v>0</v>
      </c>
      <c r="BK288">
        <v>0</v>
      </c>
      <c r="BL288">
        <v>0</v>
      </c>
      <c r="BM288">
        <v>0</v>
      </c>
      <c r="BN288">
        <v>0</v>
      </c>
      <c r="BO288">
        <v>0</v>
      </c>
      <c r="BP288">
        <v>0</v>
      </c>
      <c r="BQ288">
        <v>0</v>
      </c>
      <c r="BR288">
        <v>1</v>
      </c>
      <c r="BS288">
        <v>1</v>
      </c>
    </row>
    <row r="289" spans="1:71" x14ac:dyDescent="0.3">
      <c r="A289" t="s">
        <v>1300</v>
      </c>
      <c r="B289" t="s">
        <v>1301</v>
      </c>
      <c r="C289" t="s">
        <v>29</v>
      </c>
      <c r="D289" t="s">
        <v>29</v>
      </c>
      <c r="E289" t="s">
        <v>29</v>
      </c>
      <c r="F289" t="s">
        <v>1302</v>
      </c>
      <c r="G289" t="s">
        <v>944</v>
      </c>
      <c r="H289">
        <v>2024</v>
      </c>
      <c r="I289">
        <v>95</v>
      </c>
      <c r="J289">
        <v>2</v>
      </c>
      <c r="K289" t="s">
        <v>29</v>
      </c>
      <c r="L289" t="s">
        <v>29</v>
      </c>
      <c r="M289" t="s">
        <v>29</v>
      </c>
      <c r="N289">
        <v>477</v>
      </c>
      <c r="O289">
        <v>504</v>
      </c>
      <c r="P289" t="s">
        <v>29</v>
      </c>
      <c r="Q289" t="s">
        <v>1303</v>
      </c>
      <c r="R289" t="s">
        <v>29</v>
      </c>
      <c r="S289" t="s">
        <v>29</v>
      </c>
      <c r="T289">
        <v>2</v>
      </c>
      <c r="U289">
        <v>1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  <c r="AB289">
        <v>0</v>
      </c>
      <c r="AC289">
        <v>0</v>
      </c>
      <c r="AD289">
        <v>0</v>
      </c>
      <c r="AE289">
        <v>0</v>
      </c>
      <c r="AF289">
        <v>0</v>
      </c>
      <c r="AG289">
        <v>0</v>
      </c>
      <c r="AH289">
        <v>0</v>
      </c>
      <c r="AI289">
        <v>0</v>
      </c>
      <c r="AJ289">
        <v>0</v>
      </c>
      <c r="AK289">
        <v>0</v>
      </c>
      <c r="AL289">
        <v>0</v>
      </c>
      <c r="AM289">
        <v>0</v>
      </c>
      <c r="AN289">
        <v>0</v>
      </c>
      <c r="AO289">
        <v>0</v>
      </c>
      <c r="AP289">
        <v>0</v>
      </c>
      <c r="AQ289">
        <v>0</v>
      </c>
      <c r="AR289">
        <v>0</v>
      </c>
      <c r="AS289">
        <v>0</v>
      </c>
      <c r="AT289">
        <v>0</v>
      </c>
      <c r="AU289">
        <v>0</v>
      </c>
      <c r="AV289">
        <v>0</v>
      </c>
      <c r="AW289">
        <v>0</v>
      </c>
      <c r="AX289">
        <v>0</v>
      </c>
      <c r="AY289">
        <v>0</v>
      </c>
      <c r="AZ289">
        <v>0</v>
      </c>
      <c r="BA289">
        <v>0</v>
      </c>
      <c r="BB289">
        <v>0</v>
      </c>
      <c r="BC289">
        <v>0</v>
      </c>
      <c r="BD289">
        <v>0</v>
      </c>
      <c r="BE289">
        <v>0</v>
      </c>
      <c r="BF289">
        <v>0</v>
      </c>
      <c r="BG289">
        <v>0</v>
      </c>
      <c r="BH289">
        <v>0</v>
      </c>
      <c r="BI289">
        <v>0</v>
      </c>
      <c r="BJ289">
        <v>0</v>
      </c>
      <c r="BK289">
        <v>0</v>
      </c>
      <c r="BL289">
        <v>0</v>
      </c>
      <c r="BM289">
        <v>0</v>
      </c>
      <c r="BN289">
        <v>0</v>
      </c>
      <c r="BO289">
        <v>0</v>
      </c>
      <c r="BP289">
        <v>0</v>
      </c>
      <c r="BQ289">
        <v>0</v>
      </c>
      <c r="BR289">
        <v>0</v>
      </c>
      <c r="BS289">
        <v>2</v>
      </c>
    </row>
    <row r="290" spans="1:71" x14ac:dyDescent="0.3">
      <c r="A290" t="s">
        <v>1304</v>
      </c>
      <c r="B290" t="s">
        <v>1305</v>
      </c>
      <c r="C290" t="s">
        <v>29</v>
      </c>
      <c r="D290" t="s">
        <v>29</v>
      </c>
      <c r="E290" t="s">
        <v>29</v>
      </c>
      <c r="F290" t="s">
        <v>48</v>
      </c>
      <c r="G290" t="s">
        <v>1278</v>
      </c>
      <c r="H290">
        <v>2023</v>
      </c>
      <c r="I290">
        <v>65</v>
      </c>
      <c r="J290" t="s">
        <v>1279</v>
      </c>
      <c r="K290" t="s">
        <v>29</v>
      </c>
      <c r="L290" t="s">
        <v>29</v>
      </c>
      <c r="M290" t="s">
        <v>32</v>
      </c>
      <c r="N290">
        <v>848</v>
      </c>
      <c r="O290">
        <v>870</v>
      </c>
      <c r="P290" t="s">
        <v>29</v>
      </c>
      <c r="Q290" t="s">
        <v>1306</v>
      </c>
      <c r="R290" t="s">
        <v>29</v>
      </c>
      <c r="S290" t="s">
        <v>29</v>
      </c>
      <c r="T290">
        <v>2</v>
      </c>
      <c r="U290">
        <v>1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0</v>
      </c>
      <c r="AB290">
        <v>0</v>
      </c>
      <c r="AC290">
        <v>0</v>
      </c>
      <c r="AD290">
        <v>0</v>
      </c>
      <c r="AE290">
        <v>0</v>
      </c>
      <c r="AF290">
        <v>0</v>
      </c>
      <c r="AG290">
        <v>0</v>
      </c>
      <c r="AH290">
        <v>0</v>
      </c>
      <c r="AI290">
        <v>0</v>
      </c>
      <c r="AJ290">
        <v>0</v>
      </c>
      <c r="AK290">
        <v>0</v>
      </c>
      <c r="AL290">
        <v>0</v>
      </c>
      <c r="AM290">
        <v>0</v>
      </c>
      <c r="AN290">
        <v>0</v>
      </c>
      <c r="AO290">
        <v>0</v>
      </c>
      <c r="AP290">
        <v>0</v>
      </c>
      <c r="AQ290">
        <v>0</v>
      </c>
      <c r="AR290">
        <v>0</v>
      </c>
      <c r="AS290">
        <v>0</v>
      </c>
      <c r="AT290">
        <v>0</v>
      </c>
      <c r="AU290">
        <v>0</v>
      </c>
      <c r="AV290">
        <v>0</v>
      </c>
      <c r="AW290">
        <v>0</v>
      </c>
      <c r="AX290">
        <v>0</v>
      </c>
      <c r="AY290">
        <v>0</v>
      </c>
      <c r="AZ290">
        <v>0</v>
      </c>
      <c r="BA290">
        <v>0</v>
      </c>
      <c r="BB290">
        <v>0</v>
      </c>
      <c r="BC290">
        <v>0</v>
      </c>
      <c r="BD290">
        <v>0</v>
      </c>
      <c r="BE290">
        <v>0</v>
      </c>
      <c r="BF290">
        <v>0</v>
      </c>
      <c r="BG290">
        <v>0</v>
      </c>
      <c r="BH290">
        <v>0</v>
      </c>
      <c r="BI290">
        <v>0</v>
      </c>
      <c r="BJ290">
        <v>0</v>
      </c>
      <c r="BK290">
        <v>0</v>
      </c>
      <c r="BL290">
        <v>0</v>
      </c>
      <c r="BM290">
        <v>0</v>
      </c>
      <c r="BN290">
        <v>0</v>
      </c>
      <c r="BO290">
        <v>0</v>
      </c>
      <c r="BP290">
        <v>0</v>
      </c>
      <c r="BQ290">
        <v>0</v>
      </c>
      <c r="BR290">
        <v>0</v>
      </c>
      <c r="BS290">
        <v>2</v>
      </c>
    </row>
    <row r="291" spans="1:71" x14ac:dyDescent="0.3">
      <c r="A291" t="s">
        <v>1307</v>
      </c>
      <c r="B291" t="s">
        <v>1308</v>
      </c>
      <c r="C291" t="s">
        <v>29</v>
      </c>
      <c r="D291" t="s">
        <v>29</v>
      </c>
      <c r="E291" t="s">
        <v>29</v>
      </c>
      <c r="F291" t="s">
        <v>157</v>
      </c>
      <c r="G291" t="s">
        <v>1309</v>
      </c>
      <c r="H291">
        <v>2023</v>
      </c>
      <c r="I291">
        <v>37</v>
      </c>
      <c r="J291">
        <v>5</v>
      </c>
      <c r="K291" t="s">
        <v>29</v>
      </c>
      <c r="L291" t="s">
        <v>29</v>
      </c>
      <c r="M291" t="s">
        <v>29</v>
      </c>
      <c r="N291">
        <v>634</v>
      </c>
      <c r="O291">
        <v>652</v>
      </c>
      <c r="P291" t="s">
        <v>29</v>
      </c>
      <c r="Q291" t="s">
        <v>1310</v>
      </c>
      <c r="R291" t="s">
        <v>29</v>
      </c>
      <c r="S291" t="s">
        <v>29</v>
      </c>
      <c r="T291">
        <v>2</v>
      </c>
      <c r="U291">
        <v>1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0</v>
      </c>
      <c r="AB291">
        <v>0</v>
      </c>
      <c r="AC291">
        <v>0</v>
      </c>
      <c r="AD291">
        <v>0</v>
      </c>
      <c r="AE291">
        <v>0</v>
      </c>
      <c r="AF291">
        <v>0</v>
      </c>
      <c r="AG291">
        <v>0</v>
      </c>
      <c r="AH291">
        <v>0</v>
      </c>
      <c r="AI291">
        <v>0</v>
      </c>
      <c r="AJ291">
        <v>0</v>
      </c>
      <c r="AK291">
        <v>0</v>
      </c>
      <c r="AL291">
        <v>0</v>
      </c>
      <c r="AM291">
        <v>0</v>
      </c>
      <c r="AN291">
        <v>0</v>
      </c>
      <c r="AO291">
        <v>0</v>
      </c>
      <c r="AP291">
        <v>0</v>
      </c>
      <c r="AQ291">
        <v>0</v>
      </c>
      <c r="AR291">
        <v>0</v>
      </c>
      <c r="AS291">
        <v>0</v>
      </c>
      <c r="AT291">
        <v>0</v>
      </c>
      <c r="AU291">
        <v>0</v>
      </c>
      <c r="AV291">
        <v>0</v>
      </c>
      <c r="AW291">
        <v>0</v>
      </c>
      <c r="AX291">
        <v>0</v>
      </c>
      <c r="AY291">
        <v>0</v>
      </c>
      <c r="AZ291">
        <v>0</v>
      </c>
      <c r="BA291">
        <v>0</v>
      </c>
      <c r="BB291">
        <v>0</v>
      </c>
      <c r="BC291">
        <v>0</v>
      </c>
      <c r="BD291">
        <v>0</v>
      </c>
      <c r="BE291">
        <v>0</v>
      </c>
      <c r="BF291">
        <v>0</v>
      </c>
      <c r="BG291">
        <v>0</v>
      </c>
      <c r="BH291">
        <v>0</v>
      </c>
      <c r="BI291">
        <v>0</v>
      </c>
      <c r="BJ291">
        <v>0</v>
      </c>
      <c r="BK291">
        <v>0</v>
      </c>
      <c r="BL291">
        <v>0</v>
      </c>
      <c r="BM291">
        <v>0</v>
      </c>
      <c r="BN291">
        <v>0</v>
      </c>
      <c r="BO291">
        <v>0</v>
      </c>
      <c r="BP291">
        <v>0</v>
      </c>
      <c r="BQ291">
        <v>0</v>
      </c>
      <c r="BR291">
        <v>1</v>
      </c>
      <c r="BS291">
        <v>1</v>
      </c>
    </row>
    <row r="292" spans="1:71" x14ac:dyDescent="0.3">
      <c r="A292" t="s">
        <v>1311</v>
      </c>
      <c r="B292" t="s">
        <v>1312</v>
      </c>
      <c r="C292" t="s">
        <v>29</v>
      </c>
      <c r="D292" t="s">
        <v>29</v>
      </c>
      <c r="E292" t="s">
        <v>29</v>
      </c>
      <c r="F292" t="s">
        <v>1313</v>
      </c>
      <c r="G292">
        <v>2023</v>
      </c>
      <c r="H292">
        <v>2023</v>
      </c>
      <c r="I292">
        <v>11</v>
      </c>
      <c r="J292" t="s">
        <v>29</v>
      </c>
      <c r="K292" t="s">
        <v>29</v>
      </c>
      <c r="L292" t="s">
        <v>29</v>
      </c>
      <c r="M292" t="s">
        <v>29</v>
      </c>
      <c r="N292" t="s">
        <v>29</v>
      </c>
      <c r="O292" t="s">
        <v>29</v>
      </c>
      <c r="P292" t="s">
        <v>1314</v>
      </c>
      <c r="Q292" t="s">
        <v>1315</v>
      </c>
      <c r="R292" t="s">
        <v>29</v>
      </c>
      <c r="S292" t="s">
        <v>29</v>
      </c>
      <c r="T292">
        <v>2</v>
      </c>
      <c r="U292">
        <v>1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  <c r="AB292">
        <v>0</v>
      </c>
      <c r="AC292">
        <v>0</v>
      </c>
      <c r="AD292">
        <v>0</v>
      </c>
      <c r="AE292">
        <v>0</v>
      </c>
      <c r="AF292">
        <v>0</v>
      </c>
      <c r="AG292">
        <v>0</v>
      </c>
      <c r="AH292">
        <v>0</v>
      </c>
      <c r="AI292">
        <v>0</v>
      </c>
      <c r="AJ292">
        <v>0</v>
      </c>
      <c r="AK292">
        <v>0</v>
      </c>
      <c r="AL292">
        <v>0</v>
      </c>
      <c r="AM292">
        <v>0</v>
      </c>
      <c r="AN292">
        <v>0</v>
      </c>
      <c r="AO292">
        <v>0</v>
      </c>
      <c r="AP292">
        <v>0</v>
      </c>
      <c r="AQ292">
        <v>0</v>
      </c>
      <c r="AR292">
        <v>0</v>
      </c>
      <c r="AS292">
        <v>0</v>
      </c>
      <c r="AT292">
        <v>0</v>
      </c>
      <c r="AU292">
        <v>0</v>
      </c>
      <c r="AV292">
        <v>0</v>
      </c>
      <c r="AW292">
        <v>0</v>
      </c>
      <c r="AX292">
        <v>0</v>
      </c>
      <c r="AY292">
        <v>0</v>
      </c>
      <c r="AZ292">
        <v>0</v>
      </c>
      <c r="BA292">
        <v>0</v>
      </c>
      <c r="BB292">
        <v>0</v>
      </c>
      <c r="BC292">
        <v>0</v>
      </c>
      <c r="BD292">
        <v>0</v>
      </c>
      <c r="BE292">
        <v>0</v>
      </c>
      <c r="BF292">
        <v>0</v>
      </c>
      <c r="BG292">
        <v>0</v>
      </c>
      <c r="BH292">
        <v>0</v>
      </c>
      <c r="BI292">
        <v>0</v>
      </c>
      <c r="BJ292">
        <v>0</v>
      </c>
      <c r="BK292">
        <v>0</v>
      </c>
      <c r="BL292">
        <v>0</v>
      </c>
      <c r="BM292">
        <v>0</v>
      </c>
      <c r="BN292">
        <v>0</v>
      </c>
      <c r="BO292">
        <v>0</v>
      </c>
      <c r="BP292">
        <v>0</v>
      </c>
      <c r="BQ292">
        <v>0</v>
      </c>
      <c r="BR292">
        <v>0</v>
      </c>
      <c r="BS292">
        <v>2</v>
      </c>
    </row>
    <row r="293" spans="1:71" x14ac:dyDescent="0.3">
      <c r="A293" t="s">
        <v>1316</v>
      </c>
      <c r="B293" t="s">
        <v>1317</v>
      </c>
      <c r="C293" t="s">
        <v>29</v>
      </c>
      <c r="D293" t="s">
        <v>29</v>
      </c>
      <c r="E293" t="s">
        <v>29</v>
      </c>
      <c r="F293" t="s">
        <v>1318</v>
      </c>
      <c r="G293">
        <v>2023</v>
      </c>
      <c r="H293">
        <v>2023</v>
      </c>
      <c r="I293">
        <v>31</v>
      </c>
      <c r="J293">
        <v>1</v>
      </c>
      <c r="K293" t="s">
        <v>29</v>
      </c>
      <c r="L293" t="s">
        <v>29</v>
      </c>
      <c r="M293" t="s">
        <v>29</v>
      </c>
      <c r="N293" t="s">
        <v>29</v>
      </c>
      <c r="O293" t="s">
        <v>29</v>
      </c>
      <c r="P293" t="s">
        <v>29</v>
      </c>
      <c r="Q293" t="s">
        <v>1319</v>
      </c>
      <c r="R293" t="s">
        <v>29</v>
      </c>
      <c r="S293" t="s">
        <v>29</v>
      </c>
      <c r="T293">
        <v>2</v>
      </c>
      <c r="U293">
        <v>1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0</v>
      </c>
      <c r="AB293">
        <v>0</v>
      </c>
      <c r="AC293">
        <v>0</v>
      </c>
      <c r="AD293">
        <v>0</v>
      </c>
      <c r="AE293">
        <v>0</v>
      </c>
      <c r="AF293">
        <v>0</v>
      </c>
      <c r="AG293">
        <v>0</v>
      </c>
      <c r="AH293">
        <v>0</v>
      </c>
      <c r="AI293">
        <v>0</v>
      </c>
      <c r="AJ293">
        <v>0</v>
      </c>
      <c r="AK293">
        <v>0</v>
      </c>
      <c r="AL293">
        <v>0</v>
      </c>
      <c r="AM293">
        <v>0</v>
      </c>
      <c r="AN293">
        <v>0</v>
      </c>
      <c r="AO293">
        <v>0</v>
      </c>
      <c r="AP293">
        <v>0</v>
      </c>
      <c r="AQ293">
        <v>0</v>
      </c>
      <c r="AR293">
        <v>0</v>
      </c>
      <c r="AS293">
        <v>0</v>
      </c>
      <c r="AT293">
        <v>0</v>
      </c>
      <c r="AU293">
        <v>0</v>
      </c>
      <c r="AV293">
        <v>0</v>
      </c>
      <c r="AW293">
        <v>0</v>
      </c>
      <c r="AX293">
        <v>0</v>
      </c>
      <c r="AY293">
        <v>0</v>
      </c>
      <c r="AZ293">
        <v>0</v>
      </c>
      <c r="BA293">
        <v>0</v>
      </c>
      <c r="BB293">
        <v>0</v>
      </c>
      <c r="BC293">
        <v>0</v>
      </c>
      <c r="BD293">
        <v>0</v>
      </c>
      <c r="BE293">
        <v>0</v>
      </c>
      <c r="BF293">
        <v>0</v>
      </c>
      <c r="BG293">
        <v>0</v>
      </c>
      <c r="BH293">
        <v>0</v>
      </c>
      <c r="BI293">
        <v>0</v>
      </c>
      <c r="BJ293">
        <v>0</v>
      </c>
      <c r="BK293">
        <v>0</v>
      </c>
      <c r="BL293">
        <v>0</v>
      </c>
      <c r="BM293">
        <v>0</v>
      </c>
      <c r="BN293">
        <v>0</v>
      </c>
      <c r="BO293">
        <v>0</v>
      </c>
      <c r="BP293">
        <v>0</v>
      </c>
      <c r="BQ293">
        <v>0</v>
      </c>
      <c r="BR293">
        <v>0</v>
      </c>
      <c r="BS293">
        <v>2</v>
      </c>
    </row>
    <row r="294" spans="1:71" x14ac:dyDescent="0.3">
      <c r="A294" t="s">
        <v>1320</v>
      </c>
      <c r="B294" t="s">
        <v>1321</v>
      </c>
      <c r="C294" t="s">
        <v>29</v>
      </c>
      <c r="D294" t="s">
        <v>29</v>
      </c>
      <c r="E294" t="s">
        <v>29</v>
      </c>
      <c r="F294" t="s">
        <v>486</v>
      </c>
      <c r="G294" t="s">
        <v>804</v>
      </c>
      <c r="H294">
        <v>2022</v>
      </c>
      <c r="I294">
        <v>14</v>
      </c>
      <c r="J294">
        <v>24</v>
      </c>
      <c r="K294" t="s">
        <v>29</v>
      </c>
      <c r="L294" t="s">
        <v>29</v>
      </c>
      <c r="M294" t="s">
        <v>29</v>
      </c>
      <c r="N294" t="s">
        <v>29</v>
      </c>
      <c r="O294" t="s">
        <v>29</v>
      </c>
      <c r="P294">
        <v>16785</v>
      </c>
      <c r="Q294" t="s">
        <v>1322</v>
      </c>
      <c r="R294" t="s">
        <v>29</v>
      </c>
      <c r="S294" t="s">
        <v>29</v>
      </c>
      <c r="T294">
        <v>2</v>
      </c>
      <c r="U294">
        <v>0.67</v>
      </c>
      <c r="V294">
        <v>0</v>
      </c>
      <c r="W294">
        <v>0</v>
      </c>
      <c r="X294">
        <v>0</v>
      </c>
      <c r="Y294">
        <v>0</v>
      </c>
      <c r="Z294">
        <v>0</v>
      </c>
      <c r="AA294">
        <v>0</v>
      </c>
      <c r="AB294">
        <v>0</v>
      </c>
      <c r="AC294">
        <v>0</v>
      </c>
      <c r="AD294">
        <v>0</v>
      </c>
      <c r="AE294">
        <v>0</v>
      </c>
      <c r="AF294">
        <v>0</v>
      </c>
      <c r="AG294">
        <v>0</v>
      </c>
      <c r="AH294">
        <v>0</v>
      </c>
      <c r="AI294">
        <v>0</v>
      </c>
      <c r="AJ294">
        <v>0</v>
      </c>
      <c r="AK294">
        <v>0</v>
      </c>
      <c r="AL294">
        <v>0</v>
      </c>
      <c r="AM294">
        <v>0</v>
      </c>
      <c r="AN294">
        <v>0</v>
      </c>
      <c r="AO294">
        <v>0</v>
      </c>
      <c r="AP294">
        <v>0</v>
      </c>
      <c r="AQ294">
        <v>0</v>
      </c>
      <c r="AR294">
        <v>0</v>
      </c>
      <c r="AS294">
        <v>0</v>
      </c>
      <c r="AT294">
        <v>0</v>
      </c>
      <c r="AU294">
        <v>0</v>
      </c>
      <c r="AV294">
        <v>0</v>
      </c>
      <c r="AW294">
        <v>0</v>
      </c>
      <c r="AX294">
        <v>0</v>
      </c>
      <c r="AY294">
        <v>0</v>
      </c>
      <c r="AZ294">
        <v>0</v>
      </c>
      <c r="BA294">
        <v>0</v>
      </c>
      <c r="BB294">
        <v>0</v>
      </c>
      <c r="BC294">
        <v>0</v>
      </c>
      <c r="BD294">
        <v>0</v>
      </c>
      <c r="BE294">
        <v>0</v>
      </c>
      <c r="BF294">
        <v>0</v>
      </c>
      <c r="BG294">
        <v>0</v>
      </c>
      <c r="BH294">
        <v>0</v>
      </c>
      <c r="BI294">
        <v>0</v>
      </c>
      <c r="BJ294">
        <v>0</v>
      </c>
      <c r="BK294">
        <v>0</v>
      </c>
      <c r="BL294">
        <v>0</v>
      </c>
      <c r="BM294">
        <v>0</v>
      </c>
      <c r="BN294">
        <v>0</v>
      </c>
      <c r="BO294">
        <v>0</v>
      </c>
      <c r="BP294">
        <v>0</v>
      </c>
      <c r="BQ294">
        <v>0</v>
      </c>
      <c r="BR294">
        <v>1</v>
      </c>
      <c r="BS294">
        <v>1</v>
      </c>
    </row>
    <row r="295" spans="1:71" x14ac:dyDescent="0.3">
      <c r="A295" t="s">
        <v>1323</v>
      </c>
      <c r="B295" t="s">
        <v>1324</v>
      </c>
      <c r="C295" t="s">
        <v>29</v>
      </c>
      <c r="D295" t="s">
        <v>29</v>
      </c>
      <c r="E295" t="s">
        <v>29</v>
      </c>
      <c r="F295" t="s">
        <v>1325</v>
      </c>
      <c r="G295" t="s">
        <v>1326</v>
      </c>
      <c r="H295">
        <v>2024</v>
      </c>
      <c r="I295">
        <v>45</v>
      </c>
      <c r="J295">
        <v>4</v>
      </c>
      <c r="K295" t="s">
        <v>29</v>
      </c>
      <c r="L295" t="s">
        <v>29</v>
      </c>
      <c r="M295" t="s">
        <v>32</v>
      </c>
      <c r="N295">
        <v>810</v>
      </c>
      <c r="O295">
        <v>826</v>
      </c>
      <c r="P295" t="s">
        <v>29</v>
      </c>
      <c r="Q295" t="s">
        <v>1327</v>
      </c>
      <c r="R295" t="s">
        <v>29</v>
      </c>
      <c r="S295" t="s">
        <v>29</v>
      </c>
      <c r="T295">
        <v>2</v>
      </c>
      <c r="U295">
        <v>0.67</v>
      </c>
      <c r="V295">
        <v>0</v>
      </c>
      <c r="W295">
        <v>0</v>
      </c>
      <c r="X295">
        <v>0</v>
      </c>
      <c r="Y295">
        <v>0</v>
      </c>
      <c r="Z295">
        <v>0</v>
      </c>
      <c r="AA295">
        <v>0</v>
      </c>
      <c r="AB295">
        <v>0</v>
      </c>
      <c r="AC295">
        <v>0</v>
      </c>
      <c r="AD295">
        <v>0</v>
      </c>
      <c r="AE295">
        <v>0</v>
      </c>
      <c r="AF295">
        <v>0</v>
      </c>
      <c r="AG295">
        <v>0</v>
      </c>
      <c r="AH295">
        <v>0</v>
      </c>
      <c r="AI295">
        <v>0</v>
      </c>
      <c r="AJ295">
        <v>0</v>
      </c>
      <c r="AK295">
        <v>0</v>
      </c>
      <c r="AL295">
        <v>0</v>
      </c>
      <c r="AM295">
        <v>0</v>
      </c>
      <c r="AN295">
        <v>0</v>
      </c>
      <c r="AO295">
        <v>0</v>
      </c>
      <c r="AP295">
        <v>0</v>
      </c>
      <c r="AQ295">
        <v>0</v>
      </c>
      <c r="AR295">
        <v>0</v>
      </c>
      <c r="AS295">
        <v>0</v>
      </c>
      <c r="AT295">
        <v>0</v>
      </c>
      <c r="AU295">
        <v>0</v>
      </c>
      <c r="AV295">
        <v>0</v>
      </c>
      <c r="AW295">
        <v>0</v>
      </c>
      <c r="AX295">
        <v>0</v>
      </c>
      <c r="AY295">
        <v>0</v>
      </c>
      <c r="AZ295">
        <v>0</v>
      </c>
      <c r="BA295">
        <v>0</v>
      </c>
      <c r="BB295">
        <v>0</v>
      </c>
      <c r="BC295">
        <v>0</v>
      </c>
      <c r="BD295">
        <v>0</v>
      </c>
      <c r="BE295">
        <v>0</v>
      </c>
      <c r="BF295">
        <v>0</v>
      </c>
      <c r="BG295">
        <v>0</v>
      </c>
      <c r="BH295">
        <v>0</v>
      </c>
      <c r="BI295">
        <v>0</v>
      </c>
      <c r="BJ295">
        <v>0</v>
      </c>
      <c r="BK295">
        <v>0</v>
      </c>
      <c r="BL295">
        <v>0</v>
      </c>
      <c r="BM295">
        <v>0</v>
      </c>
      <c r="BN295">
        <v>0</v>
      </c>
      <c r="BO295">
        <v>0</v>
      </c>
      <c r="BP295">
        <v>0</v>
      </c>
      <c r="BQ295">
        <v>0</v>
      </c>
      <c r="BR295">
        <v>1</v>
      </c>
      <c r="BS295">
        <v>1</v>
      </c>
    </row>
    <row r="296" spans="1:71" x14ac:dyDescent="0.3">
      <c r="A296" t="s">
        <v>1328</v>
      </c>
      <c r="B296" t="s">
        <v>1329</v>
      </c>
      <c r="C296" t="s">
        <v>29</v>
      </c>
      <c r="D296" t="s">
        <v>29</v>
      </c>
      <c r="E296" t="s">
        <v>29</v>
      </c>
      <c r="F296" t="s">
        <v>63</v>
      </c>
      <c r="G296" t="s">
        <v>357</v>
      </c>
      <c r="H296">
        <v>2022</v>
      </c>
      <c r="I296">
        <v>16</v>
      </c>
      <c r="J296">
        <v>3</v>
      </c>
      <c r="K296" t="s">
        <v>29</v>
      </c>
      <c r="L296" t="s">
        <v>29</v>
      </c>
      <c r="M296" t="s">
        <v>29</v>
      </c>
      <c r="N296">
        <v>1231</v>
      </c>
      <c r="O296">
        <v>1251</v>
      </c>
      <c r="P296" t="s">
        <v>29</v>
      </c>
      <c r="Q296" t="s">
        <v>1330</v>
      </c>
      <c r="R296" t="s">
        <v>29</v>
      </c>
      <c r="S296" t="s">
        <v>29</v>
      </c>
      <c r="T296">
        <v>2</v>
      </c>
      <c r="U296">
        <v>0.67</v>
      </c>
      <c r="V296">
        <v>0</v>
      </c>
      <c r="W296">
        <v>0</v>
      </c>
      <c r="X296">
        <v>0</v>
      </c>
      <c r="Y296">
        <v>0</v>
      </c>
      <c r="Z296">
        <v>0</v>
      </c>
      <c r="AA296">
        <v>0</v>
      </c>
      <c r="AB296">
        <v>0</v>
      </c>
      <c r="AC296">
        <v>0</v>
      </c>
      <c r="AD296">
        <v>0</v>
      </c>
      <c r="AE296">
        <v>0</v>
      </c>
      <c r="AF296">
        <v>0</v>
      </c>
      <c r="AG296">
        <v>0</v>
      </c>
      <c r="AH296">
        <v>0</v>
      </c>
      <c r="AI296">
        <v>0</v>
      </c>
      <c r="AJ296">
        <v>0</v>
      </c>
      <c r="AK296">
        <v>0</v>
      </c>
      <c r="AL296">
        <v>0</v>
      </c>
      <c r="AM296">
        <v>0</v>
      </c>
      <c r="AN296">
        <v>0</v>
      </c>
      <c r="AO296">
        <v>0</v>
      </c>
      <c r="AP296">
        <v>0</v>
      </c>
      <c r="AQ296">
        <v>0</v>
      </c>
      <c r="AR296">
        <v>0</v>
      </c>
      <c r="AS296">
        <v>0</v>
      </c>
      <c r="AT296">
        <v>0</v>
      </c>
      <c r="AU296">
        <v>0</v>
      </c>
      <c r="AV296">
        <v>0</v>
      </c>
      <c r="AW296">
        <v>0</v>
      </c>
      <c r="AX296">
        <v>0</v>
      </c>
      <c r="AY296">
        <v>0</v>
      </c>
      <c r="AZ296">
        <v>0</v>
      </c>
      <c r="BA296">
        <v>0</v>
      </c>
      <c r="BB296">
        <v>0</v>
      </c>
      <c r="BC296">
        <v>0</v>
      </c>
      <c r="BD296">
        <v>0</v>
      </c>
      <c r="BE296">
        <v>0</v>
      </c>
      <c r="BF296">
        <v>0</v>
      </c>
      <c r="BG296">
        <v>0</v>
      </c>
      <c r="BH296">
        <v>0</v>
      </c>
      <c r="BI296">
        <v>0</v>
      </c>
      <c r="BJ296">
        <v>0</v>
      </c>
      <c r="BK296">
        <v>0</v>
      </c>
      <c r="BL296">
        <v>0</v>
      </c>
      <c r="BM296">
        <v>0</v>
      </c>
      <c r="BN296">
        <v>0</v>
      </c>
      <c r="BO296">
        <v>0</v>
      </c>
      <c r="BP296">
        <v>0</v>
      </c>
      <c r="BQ296">
        <v>0</v>
      </c>
      <c r="BR296">
        <v>0</v>
      </c>
      <c r="BS296">
        <v>2</v>
      </c>
    </row>
    <row r="297" spans="1:71" x14ac:dyDescent="0.3">
      <c r="A297" t="s">
        <v>1331</v>
      </c>
      <c r="B297" t="s">
        <v>1332</v>
      </c>
      <c r="C297" t="s">
        <v>29</v>
      </c>
      <c r="D297" t="s">
        <v>29</v>
      </c>
      <c r="E297" t="s">
        <v>29</v>
      </c>
      <c r="F297" t="s">
        <v>1064</v>
      </c>
      <c r="G297" t="s">
        <v>1333</v>
      </c>
      <c r="H297">
        <v>2022</v>
      </c>
      <c r="I297">
        <v>13</v>
      </c>
      <c r="J297" t="s">
        <v>29</v>
      </c>
      <c r="K297" t="s">
        <v>29</v>
      </c>
      <c r="L297" t="s">
        <v>29</v>
      </c>
      <c r="M297" t="s">
        <v>29</v>
      </c>
      <c r="N297" t="s">
        <v>29</v>
      </c>
      <c r="O297" t="s">
        <v>29</v>
      </c>
      <c r="P297">
        <v>847247</v>
      </c>
      <c r="Q297" t="s">
        <v>1334</v>
      </c>
      <c r="R297" t="s">
        <v>29</v>
      </c>
      <c r="S297" t="s">
        <v>29</v>
      </c>
      <c r="T297">
        <v>2</v>
      </c>
      <c r="U297">
        <v>0.67</v>
      </c>
      <c r="V297">
        <v>0</v>
      </c>
      <c r="W297">
        <v>0</v>
      </c>
      <c r="X297">
        <v>0</v>
      </c>
      <c r="Y297">
        <v>0</v>
      </c>
      <c r="Z297">
        <v>0</v>
      </c>
      <c r="AA297">
        <v>0</v>
      </c>
      <c r="AB297">
        <v>0</v>
      </c>
      <c r="AC297">
        <v>0</v>
      </c>
      <c r="AD297">
        <v>0</v>
      </c>
      <c r="AE297">
        <v>0</v>
      </c>
      <c r="AF297">
        <v>0</v>
      </c>
      <c r="AG297">
        <v>0</v>
      </c>
      <c r="AH297">
        <v>0</v>
      </c>
      <c r="AI297">
        <v>0</v>
      </c>
      <c r="AJ297">
        <v>0</v>
      </c>
      <c r="AK297">
        <v>0</v>
      </c>
      <c r="AL297">
        <v>0</v>
      </c>
      <c r="AM297">
        <v>0</v>
      </c>
      <c r="AN297">
        <v>0</v>
      </c>
      <c r="AO297">
        <v>0</v>
      </c>
      <c r="AP297">
        <v>0</v>
      </c>
      <c r="AQ297">
        <v>0</v>
      </c>
      <c r="AR297">
        <v>0</v>
      </c>
      <c r="AS297">
        <v>0</v>
      </c>
      <c r="AT297">
        <v>0</v>
      </c>
      <c r="AU297">
        <v>0</v>
      </c>
      <c r="AV297">
        <v>0</v>
      </c>
      <c r="AW297">
        <v>0</v>
      </c>
      <c r="AX297">
        <v>0</v>
      </c>
      <c r="AY297">
        <v>0</v>
      </c>
      <c r="AZ297">
        <v>0</v>
      </c>
      <c r="BA297">
        <v>0</v>
      </c>
      <c r="BB297">
        <v>0</v>
      </c>
      <c r="BC297">
        <v>0</v>
      </c>
      <c r="BD297">
        <v>0</v>
      </c>
      <c r="BE297">
        <v>0</v>
      </c>
      <c r="BF297">
        <v>0</v>
      </c>
      <c r="BG297">
        <v>0</v>
      </c>
      <c r="BH297">
        <v>0</v>
      </c>
      <c r="BI297">
        <v>0</v>
      </c>
      <c r="BJ297">
        <v>0</v>
      </c>
      <c r="BK297">
        <v>0</v>
      </c>
      <c r="BL297">
        <v>0</v>
      </c>
      <c r="BM297">
        <v>0</v>
      </c>
      <c r="BN297">
        <v>0</v>
      </c>
      <c r="BO297">
        <v>0</v>
      </c>
      <c r="BP297">
        <v>0</v>
      </c>
      <c r="BQ297">
        <v>0</v>
      </c>
      <c r="BR297">
        <v>0</v>
      </c>
      <c r="BS297">
        <v>2</v>
      </c>
    </row>
    <row r="298" spans="1:71" x14ac:dyDescent="0.3">
      <c r="A298" t="s">
        <v>1335</v>
      </c>
      <c r="B298" t="s">
        <v>1336</v>
      </c>
      <c r="C298" t="s">
        <v>29</v>
      </c>
      <c r="D298" t="s">
        <v>29</v>
      </c>
      <c r="E298" t="s">
        <v>29</v>
      </c>
      <c r="F298" t="s">
        <v>1337</v>
      </c>
      <c r="G298" t="s">
        <v>1338</v>
      </c>
      <c r="H298">
        <v>2022</v>
      </c>
      <c r="I298">
        <v>31</v>
      </c>
      <c r="J298">
        <v>2</v>
      </c>
      <c r="K298" t="s">
        <v>29</v>
      </c>
      <c r="L298" t="s">
        <v>29</v>
      </c>
      <c r="M298" t="s">
        <v>29</v>
      </c>
      <c r="N298">
        <v>269</v>
      </c>
      <c r="O298">
        <v>280</v>
      </c>
      <c r="P298" t="s">
        <v>29</v>
      </c>
      <c r="Q298" t="s">
        <v>1339</v>
      </c>
      <c r="R298" t="s">
        <v>29</v>
      </c>
      <c r="S298" t="s">
        <v>29</v>
      </c>
      <c r="T298">
        <v>2</v>
      </c>
      <c r="U298">
        <v>0.67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0</v>
      </c>
      <c r="AB298">
        <v>0</v>
      </c>
      <c r="AC298">
        <v>0</v>
      </c>
      <c r="AD298">
        <v>0</v>
      </c>
      <c r="AE298">
        <v>0</v>
      </c>
      <c r="AF298">
        <v>0</v>
      </c>
      <c r="AG298">
        <v>0</v>
      </c>
      <c r="AH298">
        <v>0</v>
      </c>
      <c r="AI298">
        <v>0</v>
      </c>
      <c r="AJ298">
        <v>0</v>
      </c>
      <c r="AK298">
        <v>0</v>
      </c>
      <c r="AL298">
        <v>0</v>
      </c>
      <c r="AM298">
        <v>0</v>
      </c>
      <c r="AN298">
        <v>0</v>
      </c>
      <c r="AO298">
        <v>0</v>
      </c>
      <c r="AP298">
        <v>0</v>
      </c>
      <c r="AQ298">
        <v>0</v>
      </c>
      <c r="AR298">
        <v>0</v>
      </c>
      <c r="AS298">
        <v>0</v>
      </c>
      <c r="AT298">
        <v>0</v>
      </c>
      <c r="AU298">
        <v>0</v>
      </c>
      <c r="AV298">
        <v>0</v>
      </c>
      <c r="AW298">
        <v>0</v>
      </c>
      <c r="AX298">
        <v>0</v>
      </c>
      <c r="AY298">
        <v>0</v>
      </c>
      <c r="AZ298">
        <v>0</v>
      </c>
      <c r="BA298">
        <v>0</v>
      </c>
      <c r="BB298">
        <v>0</v>
      </c>
      <c r="BC298">
        <v>0</v>
      </c>
      <c r="BD298">
        <v>0</v>
      </c>
      <c r="BE298">
        <v>0</v>
      </c>
      <c r="BF298">
        <v>0</v>
      </c>
      <c r="BG298">
        <v>0</v>
      </c>
      <c r="BH298">
        <v>0</v>
      </c>
      <c r="BI298">
        <v>0</v>
      </c>
      <c r="BJ298">
        <v>0</v>
      </c>
      <c r="BK298">
        <v>0</v>
      </c>
      <c r="BL298">
        <v>0</v>
      </c>
      <c r="BM298">
        <v>0</v>
      </c>
      <c r="BN298">
        <v>0</v>
      </c>
      <c r="BO298">
        <v>0</v>
      </c>
      <c r="BP298">
        <v>0</v>
      </c>
      <c r="BQ298">
        <v>0</v>
      </c>
      <c r="BR298">
        <v>1</v>
      </c>
      <c r="BS298">
        <v>1</v>
      </c>
    </row>
    <row r="299" spans="1:71" x14ac:dyDescent="0.3">
      <c r="A299" t="s">
        <v>1340</v>
      </c>
      <c r="B299" t="s">
        <v>1341</v>
      </c>
      <c r="C299" t="s">
        <v>29</v>
      </c>
      <c r="D299" t="s">
        <v>29</v>
      </c>
      <c r="E299" t="s">
        <v>29</v>
      </c>
      <c r="F299" t="s">
        <v>1342</v>
      </c>
      <c r="G299" t="s">
        <v>1343</v>
      </c>
      <c r="H299">
        <v>2022</v>
      </c>
      <c r="I299">
        <v>12</v>
      </c>
      <c r="J299">
        <v>1</v>
      </c>
      <c r="K299" t="s">
        <v>29</v>
      </c>
      <c r="L299" t="s">
        <v>29</v>
      </c>
      <c r="M299" t="s">
        <v>29</v>
      </c>
      <c r="N299" t="s">
        <v>29</v>
      </c>
      <c r="O299" t="s">
        <v>29</v>
      </c>
      <c r="P299">
        <v>20220002</v>
      </c>
      <c r="Q299" t="s">
        <v>1344</v>
      </c>
      <c r="R299" t="s">
        <v>29</v>
      </c>
      <c r="S299" t="s">
        <v>29</v>
      </c>
      <c r="T299">
        <v>2</v>
      </c>
      <c r="U299">
        <v>0.67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0</v>
      </c>
      <c r="AB299">
        <v>0</v>
      </c>
      <c r="AC299">
        <v>0</v>
      </c>
      <c r="AD299">
        <v>0</v>
      </c>
      <c r="AE299">
        <v>0</v>
      </c>
      <c r="AF299">
        <v>0</v>
      </c>
      <c r="AG299">
        <v>0</v>
      </c>
      <c r="AH299">
        <v>0</v>
      </c>
      <c r="AI299">
        <v>0</v>
      </c>
      <c r="AJ299">
        <v>0</v>
      </c>
      <c r="AK299">
        <v>0</v>
      </c>
      <c r="AL299">
        <v>0</v>
      </c>
      <c r="AM299">
        <v>0</v>
      </c>
      <c r="AN299">
        <v>0</v>
      </c>
      <c r="AO299">
        <v>0</v>
      </c>
      <c r="AP299">
        <v>0</v>
      </c>
      <c r="AQ299">
        <v>0</v>
      </c>
      <c r="AR299">
        <v>0</v>
      </c>
      <c r="AS299">
        <v>0</v>
      </c>
      <c r="AT299">
        <v>0</v>
      </c>
      <c r="AU299">
        <v>0</v>
      </c>
      <c r="AV299">
        <v>0</v>
      </c>
      <c r="AW299">
        <v>0</v>
      </c>
      <c r="AX299">
        <v>0</v>
      </c>
      <c r="AY299">
        <v>0</v>
      </c>
      <c r="AZ299">
        <v>0</v>
      </c>
      <c r="BA299">
        <v>0</v>
      </c>
      <c r="BB299">
        <v>0</v>
      </c>
      <c r="BC299">
        <v>0</v>
      </c>
      <c r="BD299">
        <v>0</v>
      </c>
      <c r="BE299">
        <v>0</v>
      </c>
      <c r="BF299">
        <v>0</v>
      </c>
      <c r="BG299">
        <v>0</v>
      </c>
      <c r="BH299">
        <v>0</v>
      </c>
      <c r="BI299">
        <v>0</v>
      </c>
      <c r="BJ299">
        <v>0</v>
      </c>
      <c r="BK299">
        <v>0</v>
      </c>
      <c r="BL299">
        <v>0</v>
      </c>
      <c r="BM299">
        <v>0</v>
      </c>
      <c r="BN299">
        <v>0</v>
      </c>
      <c r="BO299">
        <v>0</v>
      </c>
      <c r="BP299">
        <v>0</v>
      </c>
      <c r="BQ299">
        <v>0</v>
      </c>
      <c r="BR299">
        <v>1</v>
      </c>
      <c r="BS299">
        <v>1</v>
      </c>
    </row>
    <row r="300" spans="1:71" x14ac:dyDescent="0.3">
      <c r="A300" t="s">
        <v>1345</v>
      </c>
      <c r="B300" t="s">
        <v>1346</v>
      </c>
      <c r="C300" t="s">
        <v>29</v>
      </c>
      <c r="D300" t="s">
        <v>29</v>
      </c>
      <c r="E300" t="s">
        <v>1347</v>
      </c>
      <c r="F300" t="s">
        <v>1348</v>
      </c>
      <c r="G300">
        <v>2022</v>
      </c>
      <c r="H300">
        <v>2022</v>
      </c>
      <c r="I300">
        <v>1754</v>
      </c>
      <c r="J300" t="s">
        <v>29</v>
      </c>
      <c r="K300" t="s">
        <v>29</v>
      </c>
      <c r="L300" t="s">
        <v>29</v>
      </c>
      <c r="M300" t="s">
        <v>29</v>
      </c>
      <c r="N300">
        <v>640</v>
      </c>
      <c r="O300">
        <v>653</v>
      </c>
      <c r="P300" t="s">
        <v>29</v>
      </c>
      <c r="Q300" t="s">
        <v>1349</v>
      </c>
      <c r="R300" t="s">
        <v>1350</v>
      </c>
      <c r="S300" t="s">
        <v>1351</v>
      </c>
      <c r="T300">
        <v>2</v>
      </c>
      <c r="U300">
        <v>0.67</v>
      </c>
      <c r="V300">
        <v>0</v>
      </c>
      <c r="W300">
        <v>0</v>
      </c>
      <c r="X300">
        <v>0</v>
      </c>
      <c r="Y300">
        <v>0</v>
      </c>
      <c r="Z300">
        <v>0</v>
      </c>
      <c r="AA300">
        <v>0</v>
      </c>
      <c r="AB300">
        <v>0</v>
      </c>
      <c r="AC300">
        <v>0</v>
      </c>
      <c r="AD300">
        <v>0</v>
      </c>
      <c r="AE300">
        <v>0</v>
      </c>
      <c r="AF300">
        <v>0</v>
      </c>
      <c r="AG300">
        <v>0</v>
      </c>
      <c r="AH300">
        <v>0</v>
      </c>
      <c r="AI300">
        <v>0</v>
      </c>
      <c r="AJ300">
        <v>0</v>
      </c>
      <c r="AK300">
        <v>0</v>
      </c>
      <c r="AL300">
        <v>0</v>
      </c>
      <c r="AM300">
        <v>0</v>
      </c>
      <c r="AN300">
        <v>0</v>
      </c>
      <c r="AO300">
        <v>0</v>
      </c>
      <c r="AP300">
        <v>0</v>
      </c>
      <c r="AQ300">
        <v>0</v>
      </c>
      <c r="AR300">
        <v>0</v>
      </c>
      <c r="AS300">
        <v>0</v>
      </c>
      <c r="AT300">
        <v>0</v>
      </c>
      <c r="AU300">
        <v>0</v>
      </c>
      <c r="AV300">
        <v>0</v>
      </c>
      <c r="AW300">
        <v>0</v>
      </c>
      <c r="AX300">
        <v>0</v>
      </c>
      <c r="AY300">
        <v>0</v>
      </c>
      <c r="AZ300">
        <v>0</v>
      </c>
      <c r="BA300">
        <v>0</v>
      </c>
      <c r="BB300">
        <v>0</v>
      </c>
      <c r="BC300">
        <v>0</v>
      </c>
      <c r="BD300">
        <v>0</v>
      </c>
      <c r="BE300">
        <v>0</v>
      </c>
      <c r="BF300">
        <v>0</v>
      </c>
      <c r="BG300">
        <v>0</v>
      </c>
      <c r="BH300">
        <v>0</v>
      </c>
      <c r="BI300">
        <v>0</v>
      </c>
      <c r="BJ300">
        <v>0</v>
      </c>
      <c r="BK300">
        <v>0</v>
      </c>
      <c r="BL300">
        <v>0</v>
      </c>
      <c r="BM300">
        <v>0</v>
      </c>
      <c r="BN300">
        <v>0</v>
      </c>
      <c r="BO300">
        <v>0</v>
      </c>
      <c r="BP300">
        <v>0</v>
      </c>
      <c r="BQ300">
        <v>0</v>
      </c>
      <c r="BR300">
        <v>1</v>
      </c>
      <c r="BS300">
        <v>1</v>
      </c>
    </row>
    <row r="301" spans="1:71" x14ac:dyDescent="0.3">
      <c r="A301" t="s">
        <v>1352</v>
      </c>
      <c r="B301" t="s">
        <v>1353</v>
      </c>
      <c r="C301" t="s">
        <v>29</v>
      </c>
      <c r="D301" t="s">
        <v>29</v>
      </c>
      <c r="E301" t="s">
        <v>29</v>
      </c>
      <c r="F301" t="s">
        <v>696</v>
      </c>
      <c r="G301">
        <v>2022</v>
      </c>
      <c r="H301">
        <v>2022</v>
      </c>
      <c r="I301">
        <v>14</v>
      </c>
      <c r="J301">
        <v>1</v>
      </c>
      <c r="K301" t="s">
        <v>29</v>
      </c>
      <c r="L301" t="s">
        <v>29</v>
      </c>
      <c r="M301" t="s">
        <v>29</v>
      </c>
      <c r="N301">
        <v>158</v>
      </c>
      <c r="O301">
        <v>177</v>
      </c>
      <c r="P301" t="s">
        <v>29</v>
      </c>
      <c r="Q301" t="s">
        <v>1354</v>
      </c>
      <c r="R301" t="s">
        <v>29</v>
      </c>
      <c r="S301" t="s">
        <v>29</v>
      </c>
      <c r="T301">
        <v>2</v>
      </c>
      <c r="U301">
        <v>0.67</v>
      </c>
      <c r="V301">
        <v>0</v>
      </c>
      <c r="W301">
        <v>0</v>
      </c>
      <c r="X301">
        <v>0</v>
      </c>
      <c r="Y301">
        <v>0</v>
      </c>
      <c r="Z301">
        <v>0</v>
      </c>
      <c r="AA301">
        <v>0</v>
      </c>
      <c r="AB301">
        <v>0</v>
      </c>
      <c r="AC301">
        <v>0</v>
      </c>
      <c r="AD301">
        <v>0</v>
      </c>
      <c r="AE301">
        <v>0</v>
      </c>
      <c r="AF301">
        <v>0</v>
      </c>
      <c r="AG301">
        <v>0</v>
      </c>
      <c r="AH301">
        <v>0</v>
      </c>
      <c r="AI301">
        <v>0</v>
      </c>
      <c r="AJ301">
        <v>0</v>
      </c>
      <c r="AK301">
        <v>0</v>
      </c>
      <c r="AL301">
        <v>0</v>
      </c>
      <c r="AM301">
        <v>0</v>
      </c>
      <c r="AN301">
        <v>0</v>
      </c>
      <c r="AO301">
        <v>0</v>
      </c>
      <c r="AP301">
        <v>0</v>
      </c>
      <c r="AQ301">
        <v>0</v>
      </c>
      <c r="AR301">
        <v>0</v>
      </c>
      <c r="AS301">
        <v>0</v>
      </c>
      <c r="AT301">
        <v>0</v>
      </c>
      <c r="AU301">
        <v>0</v>
      </c>
      <c r="AV301">
        <v>0</v>
      </c>
      <c r="AW301">
        <v>0</v>
      </c>
      <c r="AX301">
        <v>0</v>
      </c>
      <c r="AY301">
        <v>0</v>
      </c>
      <c r="AZ301">
        <v>0</v>
      </c>
      <c r="BA301">
        <v>0</v>
      </c>
      <c r="BB301">
        <v>0</v>
      </c>
      <c r="BC301">
        <v>0</v>
      </c>
      <c r="BD301">
        <v>0</v>
      </c>
      <c r="BE301">
        <v>0</v>
      </c>
      <c r="BF301">
        <v>0</v>
      </c>
      <c r="BG301">
        <v>0</v>
      </c>
      <c r="BH301">
        <v>0</v>
      </c>
      <c r="BI301">
        <v>0</v>
      </c>
      <c r="BJ301">
        <v>0</v>
      </c>
      <c r="BK301">
        <v>0</v>
      </c>
      <c r="BL301">
        <v>0</v>
      </c>
      <c r="BM301">
        <v>0</v>
      </c>
      <c r="BN301">
        <v>0</v>
      </c>
      <c r="BO301">
        <v>0</v>
      </c>
      <c r="BP301">
        <v>0</v>
      </c>
      <c r="BQ301">
        <v>0</v>
      </c>
      <c r="BR301">
        <v>1</v>
      </c>
      <c r="BS301">
        <v>1</v>
      </c>
    </row>
    <row r="302" spans="1:71" x14ac:dyDescent="0.3">
      <c r="A302" t="s">
        <v>1355</v>
      </c>
      <c r="B302" t="s">
        <v>1356</v>
      </c>
      <c r="C302" t="s">
        <v>29</v>
      </c>
      <c r="D302" t="s">
        <v>29</v>
      </c>
      <c r="E302" t="s">
        <v>29</v>
      </c>
      <c r="F302" t="s">
        <v>48</v>
      </c>
      <c r="G302" t="s">
        <v>568</v>
      </c>
      <c r="H302">
        <v>2022</v>
      </c>
      <c r="I302">
        <v>64</v>
      </c>
      <c r="J302">
        <v>2</v>
      </c>
      <c r="K302" t="s">
        <v>29</v>
      </c>
      <c r="L302" t="s">
        <v>29</v>
      </c>
      <c r="M302" t="s">
        <v>32</v>
      </c>
      <c r="N302">
        <v>259</v>
      </c>
      <c r="O302">
        <v>275</v>
      </c>
      <c r="P302" t="s">
        <v>29</v>
      </c>
      <c r="Q302" t="s">
        <v>1357</v>
      </c>
      <c r="R302" t="s">
        <v>29</v>
      </c>
      <c r="S302" t="s">
        <v>29</v>
      </c>
      <c r="T302">
        <v>2</v>
      </c>
      <c r="U302">
        <v>0.5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0</v>
      </c>
      <c r="AB302">
        <v>0</v>
      </c>
      <c r="AC302">
        <v>0</v>
      </c>
      <c r="AD302">
        <v>0</v>
      </c>
      <c r="AE302">
        <v>0</v>
      </c>
      <c r="AF302">
        <v>0</v>
      </c>
      <c r="AG302">
        <v>0</v>
      </c>
      <c r="AH302">
        <v>0</v>
      </c>
      <c r="AI302">
        <v>0</v>
      </c>
      <c r="AJ302">
        <v>0</v>
      </c>
      <c r="AK302">
        <v>0</v>
      </c>
      <c r="AL302">
        <v>0</v>
      </c>
      <c r="AM302">
        <v>0</v>
      </c>
      <c r="AN302">
        <v>0</v>
      </c>
      <c r="AO302">
        <v>0</v>
      </c>
      <c r="AP302">
        <v>0</v>
      </c>
      <c r="AQ302">
        <v>0</v>
      </c>
      <c r="AR302">
        <v>0</v>
      </c>
      <c r="AS302">
        <v>0</v>
      </c>
      <c r="AT302">
        <v>0</v>
      </c>
      <c r="AU302">
        <v>0</v>
      </c>
      <c r="AV302">
        <v>0</v>
      </c>
      <c r="AW302">
        <v>0</v>
      </c>
      <c r="AX302">
        <v>0</v>
      </c>
      <c r="AY302">
        <v>0</v>
      </c>
      <c r="AZ302">
        <v>0</v>
      </c>
      <c r="BA302">
        <v>0</v>
      </c>
      <c r="BB302">
        <v>0</v>
      </c>
      <c r="BC302">
        <v>0</v>
      </c>
      <c r="BD302">
        <v>0</v>
      </c>
      <c r="BE302">
        <v>0</v>
      </c>
      <c r="BF302">
        <v>0</v>
      </c>
      <c r="BG302">
        <v>0</v>
      </c>
      <c r="BH302">
        <v>0</v>
      </c>
      <c r="BI302">
        <v>0</v>
      </c>
      <c r="BJ302">
        <v>0</v>
      </c>
      <c r="BK302">
        <v>0</v>
      </c>
      <c r="BL302">
        <v>0</v>
      </c>
      <c r="BM302">
        <v>0</v>
      </c>
      <c r="BN302">
        <v>0</v>
      </c>
      <c r="BO302">
        <v>0</v>
      </c>
      <c r="BP302">
        <v>0</v>
      </c>
      <c r="BQ302">
        <v>2</v>
      </c>
      <c r="BR302">
        <v>0</v>
      </c>
      <c r="BS302">
        <v>0</v>
      </c>
    </row>
    <row r="303" spans="1:71" x14ac:dyDescent="0.3">
      <c r="A303" t="s">
        <v>1358</v>
      </c>
      <c r="B303" t="s">
        <v>1359</v>
      </c>
      <c r="C303" t="s">
        <v>29</v>
      </c>
      <c r="D303" t="s">
        <v>29</v>
      </c>
      <c r="E303" t="s">
        <v>29</v>
      </c>
      <c r="F303" t="s">
        <v>365</v>
      </c>
      <c r="G303" t="s">
        <v>1360</v>
      </c>
      <c r="H303">
        <v>2022</v>
      </c>
      <c r="I303">
        <v>12</v>
      </c>
      <c r="J303">
        <v>2</v>
      </c>
      <c r="K303" t="s">
        <v>29</v>
      </c>
      <c r="L303" t="s">
        <v>29</v>
      </c>
      <c r="M303" t="s">
        <v>29</v>
      </c>
      <c r="N303">
        <v>225</v>
      </c>
      <c r="O303">
        <v>240</v>
      </c>
      <c r="P303" t="s">
        <v>29</v>
      </c>
      <c r="Q303" t="s">
        <v>1361</v>
      </c>
      <c r="R303" t="s">
        <v>29</v>
      </c>
      <c r="S303" t="s">
        <v>29</v>
      </c>
      <c r="T303">
        <v>2</v>
      </c>
      <c r="U303">
        <v>0.5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0</v>
      </c>
      <c r="AB303">
        <v>0</v>
      </c>
      <c r="AC303">
        <v>0</v>
      </c>
      <c r="AD303">
        <v>0</v>
      </c>
      <c r="AE303">
        <v>0</v>
      </c>
      <c r="AF303">
        <v>0</v>
      </c>
      <c r="AG303">
        <v>0</v>
      </c>
      <c r="AH303">
        <v>0</v>
      </c>
      <c r="AI303">
        <v>0</v>
      </c>
      <c r="AJ303">
        <v>0</v>
      </c>
      <c r="AK303">
        <v>0</v>
      </c>
      <c r="AL303">
        <v>0</v>
      </c>
      <c r="AM303">
        <v>0</v>
      </c>
      <c r="AN303">
        <v>0</v>
      </c>
      <c r="AO303">
        <v>0</v>
      </c>
      <c r="AP303">
        <v>0</v>
      </c>
      <c r="AQ303">
        <v>0</v>
      </c>
      <c r="AR303">
        <v>0</v>
      </c>
      <c r="AS303">
        <v>0</v>
      </c>
      <c r="AT303">
        <v>0</v>
      </c>
      <c r="AU303">
        <v>0</v>
      </c>
      <c r="AV303">
        <v>0</v>
      </c>
      <c r="AW303">
        <v>0</v>
      </c>
      <c r="AX303">
        <v>0</v>
      </c>
      <c r="AY303">
        <v>0</v>
      </c>
      <c r="AZ303">
        <v>0</v>
      </c>
      <c r="BA303">
        <v>0</v>
      </c>
      <c r="BB303">
        <v>0</v>
      </c>
      <c r="BC303">
        <v>0</v>
      </c>
      <c r="BD303">
        <v>0</v>
      </c>
      <c r="BE303">
        <v>0</v>
      </c>
      <c r="BF303">
        <v>0</v>
      </c>
      <c r="BG303">
        <v>0</v>
      </c>
      <c r="BH303">
        <v>0</v>
      </c>
      <c r="BI303">
        <v>0</v>
      </c>
      <c r="BJ303">
        <v>0</v>
      </c>
      <c r="BK303">
        <v>0</v>
      </c>
      <c r="BL303">
        <v>0</v>
      </c>
      <c r="BM303">
        <v>0</v>
      </c>
      <c r="BN303">
        <v>0</v>
      </c>
      <c r="BO303">
        <v>0</v>
      </c>
      <c r="BP303">
        <v>0</v>
      </c>
      <c r="BQ303">
        <v>0</v>
      </c>
      <c r="BR303">
        <v>1</v>
      </c>
      <c r="BS303">
        <v>1</v>
      </c>
    </row>
    <row r="304" spans="1:71" x14ac:dyDescent="0.3">
      <c r="A304" t="s">
        <v>1362</v>
      </c>
      <c r="B304" t="s">
        <v>1363</v>
      </c>
      <c r="C304" t="s">
        <v>29</v>
      </c>
      <c r="D304" t="s">
        <v>29</v>
      </c>
      <c r="E304" t="s">
        <v>29</v>
      </c>
      <c r="F304" t="s">
        <v>365</v>
      </c>
      <c r="G304" t="s">
        <v>1360</v>
      </c>
      <c r="H304">
        <v>2022</v>
      </c>
      <c r="I304">
        <v>12</v>
      </c>
      <c r="J304">
        <v>2</v>
      </c>
      <c r="K304" t="s">
        <v>29</v>
      </c>
      <c r="L304" t="s">
        <v>29</v>
      </c>
      <c r="M304" t="s">
        <v>29</v>
      </c>
      <c r="N304">
        <v>256</v>
      </c>
      <c r="O304">
        <v>270</v>
      </c>
      <c r="P304" t="s">
        <v>29</v>
      </c>
      <c r="Q304" t="s">
        <v>1364</v>
      </c>
      <c r="R304" t="s">
        <v>29</v>
      </c>
      <c r="S304" t="s">
        <v>29</v>
      </c>
      <c r="T304">
        <v>2</v>
      </c>
      <c r="U304">
        <v>0.5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0</v>
      </c>
      <c r="AB304">
        <v>0</v>
      </c>
      <c r="AC304">
        <v>0</v>
      </c>
      <c r="AD304">
        <v>0</v>
      </c>
      <c r="AE304">
        <v>0</v>
      </c>
      <c r="AF304">
        <v>0</v>
      </c>
      <c r="AG304">
        <v>0</v>
      </c>
      <c r="AH304">
        <v>0</v>
      </c>
      <c r="AI304">
        <v>0</v>
      </c>
      <c r="AJ304">
        <v>0</v>
      </c>
      <c r="AK304">
        <v>0</v>
      </c>
      <c r="AL304">
        <v>0</v>
      </c>
      <c r="AM304">
        <v>0</v>
      </c>
      <c r="AN304">
        <v>0</v>
      </c>
      <c r="AO304">
        <v>0</v>
      </c>
      <c r="AP304">
        <v>0</v>
      </c>
      <c r="AQ304">
        <v>0</v>
      </c>
      <c r="AR304">
        <v>0</v>
      </c>
      <c r="AS304">
        <v>0</v>
      </c>
      <c r="AT304">
        <v>0</v>
      </c>
      <c r="AU304">
        <v>0</v>
      </c>
      <c r="AV304">
        <v>0</v>
      </c>
      <c r="AW304">
        <v>0</v>
      </c>
      <c r="AX304">
        <v>0</v>
      </c>
      <c r="AY304">
        <v>0</v>
      </c>
      <c r="AZ304">
        <v>0</v>
      </c>
      <c r="BA304">
        <v>0</v>
      </c>
      <c r="BB304">
        <v>0</v>
      </c>
      <c r="BC304">
        <v>0</v>
      </c>
      <c r="BD304">
        <v>0</v>
      </c>
      <c r="BE304">
        <v>0</v>
      </c>
      <c r="BF304">
        <v>0</v>
      </c>
      <c r="BG304">
        <v>0</v>
      </c>
      <c r="BH304">
        <v>0</v>
      </c>
      <c r="BI304">
        <v>0</v>
      </c>
      <c r="BJ304">
        <v>0</v>
      </c>
      <c r="BK304">
        <v>0</v>
      </c>
      <c r="BL304">
        <v>0</v>
      </c>
      <c r="BM304">
        <v>0</v>
      </c>
      <c r="BN304">
        <v>0</v>
      </c>
      <c r="BO304">
        <v>0</v>
      </c>
      <c r="BP304">
        <v>0</v>
      </c>
      <c r="BQ304">
        <v>0</v>
      </c>
      <c r="BR304">
        <v>0</v>
      </c>
      <c r="BS304">
        <v>2</v>
      </c>
    </row>
    <row r="305" spans="1:71" x14ac:dyDescent="0.3">
      <c r="A305" t="s">
        <v>1365</v>
      </c>
      <c r="B305" t="s">
        <v>1366</v>
      </c>
      <c r="C305" t="s">
        <v>29</v>
      </c>
      <c r="D305" t="s">
        <v>29</v>
      </c>
      <c r="E305" t="s">
        <v>29</v>
      </c>
      <c r="F305" t="s">
        <v>1367</v>
      </c>
      <c r="G305" t="s">
        <v>377</v>
      </c>
      <c r="H305">
        <v>2021</v>
      </c>
      <c r="I305">
        <v>10</v>
      </c>
      <c r="J305">
        <v>10</v>
      </c>
      <c r="K305" t="s">
        <v>29</v>
      </c>
      <c r="L305" t="s">
        <v>29</v>
      </c>
      <c r="M305" t="s">
        <v>29</v>
      </c>
      <c r="N305">
        <v>1365</v>
      </c>
      <c r="O305">
        <v>1371</v>
      </c>
      <c r="P305" t="s">
        <v>29</v>
      </c>
      <c r="Q305" t="s">
        <v>1368</v>
      </c>
      <c r="R305" t="s">
        <v>29</v>
      </c>
      <c r="S305" t="s">
        <v>29</v>
      </c>
      <c r="T305">
        <v>2</v>
      </c>
      <c r="U305">
        <v>0.5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0</v>
      </c>
      <c r="AB305">
        <v>0</v>
      </c>
      <c r="AC305">
        <v>0</v>
      </c>
      <c r="AD305">
        <v>0</v>
      </c>
      <c r="AE305">
        <v>0</v>
      </c>
      <c r="AF305">
        <v>0</v>
      </c>
      <c r="AG305">
        <v>0</v>
      </c>
      <c r="AH305">
        <v>0</v>
      </c>
      <c r="AI305">
        <v>0</v>
      </c>
      <c r="AJ305">
        <v>0</v>
      </c>
      <c r="AK305">
        <v>0</v>
      </c>
      <c r="AL305">
        <v>0</v>
      </c>
      <c r="AM305">
        <v>0</v>
      </c>
      <c r="AN305">
        <v>0</v>
      </c>
      <c r="AO305">
        <v>0</v>
      </c>
      <c r="AP305">
        <v>0</v>
      </c>
      <c r="AQ305">
        <v>0</v>
      </c>
      <c r="AR305">
        <v>0</v>
      </c>
      <c r="AS305">
        <v>0</v>
      </c>
      <c r="AT305">
        <v>0</v>
      </c>
      <c r="AU305">
        <v>0</v>
      </c>
      <c r="AV305">
        <v>0</v>
      </c>
      <c r="AW305">
        <v>0</v>
      </c>
      <c r="AX305">
        <v>0</v>
      </c>
      <c r="AY305">
        <v>0</v>
      </c>
      <c r="AZ305">
        <v>0</v>
      </c>
      <c r="BA305">
        <v>0</v>
      </c>
      <c r="BB305">
        <v>0</v>
      </c>
      <c r="BC305">
        <v>0</v>
      </c>
      <c r="BD305">
        <v>0</v>
      </c>
      <c r="BE305">
        <v>0</v>
      </c>
      <c r="BF305">
        <v>0</v>
      </c>
      <c r="BG305">
        <v>0</v>
      </c>
      <c r="BH305">
        <v>0</v>
      </c>
      <c r="BI305">
        <v>0</v>
      </c>
      <c r="BJ305">
        <v>0</v>
      </c>
      <c r="BK305">
        <v>0</v>
      </c>
      <c r="BL305">
        <v>0</v>
      </c>
      <c r="BM305">
        <v>0</v>
      </c>
      <c r="BN305">
        <v>0</v>
      </c>
      <c r="BO305">
        <v>0</v>
      </c>
      <c r="BP305">
        <v>0</v>
      </c>
      <c r="BQ305">
        <v>1</v>
      </c>
      <c r="BR305">
        <v>0</v>
      </c>
      <c r="BS305">
        <v>1</v>
      </c>
    </row>
    <row r="306" spans="1:71" x14ac:dyDescent="0.3">
      <c r="A306" t="s">
        <v>1369</v>
      </c>
      <c r="B306" t="s">
        <v>87</v>
      </c>
      <c r="C306" t="s">
        <v>29</v>
      </c>
      <c r="D306" t="s">
        <v>29</v>
      </c>
      <c r="E306" t="s">
        <v>29</v>
      </c>
      <c r="F306" t="s">
        <v>1370</v>
      </c>
      <c r="G306">
        <v>2021</v>
      </c>
      <c r="H306">
        <v>2021</v>
      </c>
      <c r="I306">
        <v>26</v>
      </c>
      <c r="J306">
        <v>1</v>
      </c>
      <c r="K306" t="s">
        <v>29</v>
      </c>
      <c r="L306" t="s">
        <v>29</v>
      </c>
      <c r="M306" t="s">
        <v>29</v>
      </c>
      <c r="N306">
        <v>44</v>
      </c>
      <c r="O306">
        <v>72</v>
      </c>
      <c r="P306" t="s">
        <v>29</v>
      </c>
      <c r="Q306" t="s">
        <v>1371</v>
      </c>
      <c r="R306" t="s">
        <v>29</v>
      </c>
      <c r="S306" t="s">
        <v>29</v>
      </c>
      <c r="T306">
        <v>2</v>
      </c>
      <c r="U306">
        <v>0.5</v>
      </c>
      <c r="V306">
        <v>0</v>
      </c>
      <c r="W306">
        <v>0</v>
      </c>
      <c r="X306">
        <v>0</v>
      </c>
      <c r="Y306">
        <v>0</v>
      </c>
      <c r="Z306">
        <v>0</v>
      </c>
      <c r="AA306">
        <v>0</v>
      </c>
      <c r="AB306">
        <v>0</v>
      </c>
      <c r="AC306">
        <v>0</v>
      </c>
      <c r="AD306">
        <v>0</v>
      </c>
      <c r="AE306">
        <v>0</v>
      </c>
      <c r="AF306">
        <v>0</v>
      </c>
      <c r="AG306">
        <v>0</v>
      </c>
      <c r="AH306">
        <v>0</v>
      </c>
      <c r="AI306">
        <v>0</v>
      </c>
      <c r="AJ306">
        <v>0</v>
      </c>
      <c r="AK306">
        <v>0</v>
      </c>
      <c r="AL306">
        <v>0</v>
      </c>
      <c r="AM306">
        <v>0</v>
      </c>
      <c r="AN306">
        <v>0</v>
      </c>
      <c r="AO306">
        <v>0</v>
      </c>
      <c r="AP306">
        <v>0</v>
      </c>
      <c r="AQ306">
        <v>0</v>
      </c>
      <c r="AR306">
        <v>0</v>
      </c>
      <c r="AS306">
        <v>0</v>
      </c>
      <c r="AT306">
        <v>0</v>
      </c>
      <c r="AU306">
        <v>0</v>
      </c>
      <c r="AV306">
        <v>0</v>
      </c>
      <c r="AW306">
        <v>0</v>
      </c>
      <c r="AX306">
        <v>0</v>
      </c>
      <c r="AY306">
        <v>0</v>
      </c>
      <c r="AZ306">
        <v>0</v>
      </c>
      <c r="BA306">
        <v>0</v>
      </c>
      <c r="BB306">
        <v>0</v>
      </c>
      <c r="BC306">
        <v>0</v>
      </c>
      <c r="BD306">
        <v>0</v>
      </c>
      <c r="BE306">
        <v>0</v>
      </c>
      <c r="BF306">
        <v>0</v>
      </c>
      <c r="BG306">
        <v>0</v>
      </c>
      <c r="BH306">
        <v>0</v>
      </c>
      <c r="BI306">
        <v>0</v>
      </c>
      <c r="BJ306">
        <v>0</v>
      </c>
      <c r="BK306">
        <v>0</v>
      </c>
      <c r="BL306">
        <v>0</v>
      </c>
      <c r="BM306">
        <v>0</v>
      </c>
      <c r="BN306">
        <v>0</v>
      </c>
      <c r="BO306">
        <v>0</v>
      </c>
      <c r="BP306">
        <v>1</v>
      </c>
      <c r="BQ306">
        <v>0</v>
      </c>
      <c r="BR306">
        <v>0</v>
      </c>
      <c r="BS306">
        <v>1</v>
      </c>
    </row>
    <row r="307" spans="1:71" x14ac:dyDescent="0.3">
      <c r="A307" t="s">
        <v>1372</v>
      </c>
      <c r="B307" t="s">
        <v>1373</v>
      </c>
      <c r="C307" t="s">
        <v>29</v>
      </c>
      <c r="D307" t="s">
        <v>29</v>
      </c>
      <c r="E307" t="s">
        <v>29</v>
      </c>
      <c r="F307" t="s">
        <v>1374</v>
      </c>
      <c r="G307">
        <v>2021</v>
      </c>
      <c r="H307">
        <v>2021</v>
      </c>
      <c r="I307" t="s">
        <v>29</v>
      </c>
      <c r="J307" t="s">
        <v>29</v>
      </c>
      <c r="K307" t="s">
        <v>29</v>
      </c>
      <c r="L307" t="s">
        <v>29</v>
      </c>
      <c r="M307" t="s">
        <v>29</v>
      </c>
      <c r="N307">
        <v>49</v>
      </c>
      <c r="O307">
        <v>55</v>
      </c>
      <c r="P307" t="s">
        <v>29</v>
      </c>
      <c r="Q307" t="s">
        <v>1375</v>
      </c>
      <c r="R307" t="s">
        <v>1376</v>
      </c>
      <c r="S307" t="s">
        <v>1377</v>
      </c>
      <c r="T307">
        <v>2</v>
      </c>
      <c r="U307">
        <v>0.5</v>
      </c>
      <c r="V307">
        <v>0</v>
      </c>
      <c r="W307">
        <v>0</v>
      </c>
      <c r="X307">
        <v>0</v>
      </c>
      <c r="Y307">
        <v>0</v>
      </c>
      <c r="Z307">
        <v>0</v>
      </c>
      <c r="AA307">
        <v>0</v>
      </c>
      <c r="AB307">
        <v>0</v>
      </c>
      <c r="AC307">
        <v>0</v>
      </c>
      <c r="AD307">
        <v>0</v>
      </c>
      <c r="AE307">
        <v>0</v>
      </c>
      <c r="AF307">
        <v>0</v>
      </c>
      <c r="AG307">
        <v>0</v>
      </c>
      <c r="AH307">
        <v>0</v>
      </c>
      <c r="AI307">
        <v>0</v>
      </c>
      <c r="AJ307">
        <v>0</v>
      </c>
      <c r="AK307">
        <v>0</v>
      </c>
      <c r="AL307">
        <v>0</v>
      </c>
      <c r="AM307">
        <v>0</v>
      </c>
      <c r="AN307">
        <v>0</v>
      </c>
      <c r="AO307">
        <v>0</v>
      </c>
      <c r="AP307">
        <v>0</v>
      </c>
      <c r="AQ307">
        <v>0</v>
      </c>
      <c r="AR307">
        <v>0</v>
      </c>
      <c r="AS307">
        <v>0</v>
      </c>
      <c r="AT307">
        <v>0</v>
      </c>
      <c r="AU307">
        <v>0</v>
      </c>
      <c r="AV307">
        <v>0</v>
      </c>
      <c r="AW307">
        <v>0</v>
      </c>
      <c r="AX307">
        <v>0</v>
      </c>
      <c r="AY307">
        <v>0</v>
      </c>
      <c r="AZ307">
        <v>0</v>
      </c>
      <c r="BA307">
        <v>0</v>
      </c>
      <c r="BB307">
        <v>0</v>
      </c>
      <c r="BC307">
        <v>0</v>
      </c>
      <c r="BD307">
        <v>0</v>
      </c>
      <c r="BE307">
        <v>0</v>
      </c>
      <c r="BF307">
        <v>0</v>
      </c>
      <c r="BG307">
        <v>0</v>
      </c>
      <c r="BH307">
        <v>0</v>
      </c>
      <c r="BI307">
        <v>0</v>
      </c>
      <c r="BJ307">
        <v>0</v>
      </c>
      <c r="BK307">
        <v>0</v>
      </c>
      <c r="BL307">
        <v>0</v>
      </c>
      <c r="BM307">
        <v>0</v>
      </c>
      <c r="BN307">
        <v>0</v>
      </c>
      <c r="BO307">
        <v>0</v>
      </c>
      <c r="BP307">
        <v>0</v>
      </c>
      <c r="BQ307">
        <v>0</v>
      </c>
      <c r="BR307">
        <v>1</v>
      </c>
      <c r="BS307">
        <v>1</v>
      </c>
    </row>
    <row r="308" spans="1:71" x14ac:dyDescent="0.3">
      <c r="A308" t="s">
        <v>1378</v>
      </c>
      <c r="B308" t="s">
        <v>1379</v>
      </c>
      <c r="C308" t="s">
        <v>29</v>
      </c>
      <c r="D308" t="s">
        <v>29</v>
      </c>
      <c r="E308" t="s">
        <v>1228</v>
      </c>
      <c r="F308" t="s">
        <v>1380</v>
      </c>
      <c r="G308">
        <v>2020</v>
      </c>
      <c r="H308">
        <v>2020</v>
      </c>
      <c r="I308" t="s">
        <v>29</v>
      </c>
      <c r="J308" t="s">
        <v>29</v>
      </c>
      <c r="K308" t="s">
        <v>29</v>
      </c>
      <c r="L308" t="s">
        <v>29</v>
      </c>
      <c r="M308" t="s">
        <v>29</v>
      </c>
      <c r="N308">
        <v>3943</v>
      </c>
      <c r="O308">
        <v>3950</v>
      </c>
      <c r="P308" t="s">
        <v>29</v>
      </c>
      <c r="Q308" t="s">
        <v>29</v>
      </c>
      <c r="R308" t="s">
        <v>1381</v>
      </c>
      <c r="S308" t="s">
        <v>1382</v>
      </c>
      <c r="T308">
        <v>2</v>
      </c>
      <c r="U308">
        <v>0.4</v>
      </c>
      <c r="V308">
        <v>0</v>
      </c>
      <c r="W308">
        <v>0</v>
      </c>
      <c r="X308">
        <v>0</v>
      </c>
      <c r="Y308">
        <v>0</v>
      </c>
      <c r="Z308">
        <v>0</v>
      </c>
      <c r="AA308">
        <v>0</v>
      </c>
      <c r="AB308">
        <v>0</v>
      </c>
      <c r="AC308">
        <v>0</v>
      </c>
      <c r="AD308">
        <v>0</v>
      </c>
      <c r="AE308">
        <v>0</v>
      </c>
      <c r="AF308">
        <v>0</v>
      </c>
      <c r="AG308">
        <v>0</v>
      </c>
      <c r="AH308">
        <v>0</v>
      </c>
      <c r="AI308">
        <v>0</v>
      </c>
      <c r="AJ308">
        <v>0</v>
      </c>
      <c r="AK308">
        <v>0</v>
      </c>
      <c r="AL308">
        <v>0</v>
      </c>
      <c r="AM308">
        <v>0</v>
      </c>
      <c r="AN308">
        <v>0</v>
      </c>
      <c r="AO308">
        <v>0</v>
      </c>
      <c r="AP308">
        <v>0</v>
      </c>
      <c r="AQ308">
        <v>0</v>
      </c>
      <c r="AR308">
        <v>0</v>
      </c>
      <c r="AS308">
        <v>0</v>
      </c>
      <c r="AT308">
        <v>0</v>
      </c>
      <c r="AU308">
        <v>0</v>
      </c>
      <c r="AV308">
        <v>0</v>
      </c>
      <c r="AW308">
        <v>0</v>
      </c>
      <c r="AX308">
        <v>0</v>
      </c>
      <c r="AY308">
        <v>0</v>
      </c>
      <c r="AZ308">
        <v>0</v>
      </c>
      <c r="BA308">
        <v>0</v>
      </c>
      <c r="BB308">
        <v>0</v>
      </c>
      <c r="BC308">
        <v>0</v>
      </c>
      <c r="BD308">
        <v>0</v>
      </c>
      <c r="BE308">
        <v>0</v>
      </c>
      <c r="BF308">
        <v>0</v>
      </c>
      <c r="BG308">
        <v>0</v>
      </c>
      <c r="BH308">
        <v>0</v>
      </c>
      <c r="BI308">
        <v>0</v>
      </c>
      <c r="BJ308">
        <v>0</v>
      </c>
      <c r="BK308">
        <v>0</v>
      </c>
      <c r="BL308">
        <v>0</v>
      </c>
      <c r="BM308">
        <v>0</v>
      </c>
      <c r="BN308">
        <v>0</v>
      </c>
      <c r="BO308">
        <v>0</v>
      </c>
      <c r="BP308">
        <v>0</v>
      </c>
      <c r="BQ308">
        <v>2</v>
      </c>
      <c r="BR308">
        <v>0</v>
      </c>
      <c r="BS308">
        <v>0</v>
      </c>
    </row>
    <row r="309" spans="1:71" x14ac:dyDescent="0.3">
      <c r="A309" t="s">
        <v>1383</v>
      </c>
      <c r="B309" t="s">
        <v>1384</v>
      </c>
      <c r="C309" t="s">
        <v>29</v>
      </c>
      <c r="D309" t="s">
        <v>29</v>
      </c>
      <c r="E309" t="s">
        <v>29</v>
      </c>
      <c r="F309" t="s">
        <v>1385</v>
      </c>
      <c r="G309">
        <v>2020</v>
      </c>
      <c r="H309">
        <v>2020</v>
      </c>
      <c r="I309">
        <v>14</v>
      </c>
      <c r="J309">
        <v>2</v>
      </c>
      <c r="K309" t="s">
        <v>29</v>
      </c>
      <c r="L309" t="s">
        <v>29</v>
      </c>
      <c r="M309" t="s">
        <v>29</v>
      </c>
      <c r="N309">
        <v>64</v>
      </c>
      <c r="O309">
        <v>83</v>
      </c>
      <c r="P309" t="s">
        <v>29</v>
      </c>
      <c r="Q309" t="s">
        <v>1386</v>
      </c>
      <c r="R309" t="s">
        <v>29</v>
      </c>
      <c r="S309" t="s">
        <v>29</v>
      </c>
      <c r="T309">
        <v>2</v>
      </c>
      <c r="U309">
        <v>0.4</v>
      </c>
      <c r="V309">
        <v>0</v>
      </c>
      <c r="W309">
        <v>0</v>
      </c>
      <c r="X309">
        <v>0</v>
      </c>
      <c r="Y309">
        <v>0</v>
      </c>
      <c r="Z309">
        <v>0</v>
      </c>
      <c r="AA309">
        <v>0</v>
      </c>
      <c r="AB309">
        <v>0</v>
      </c>
      <c r="AC309">
        <v>0</v>
      </c>
      <c r="AD309">
        <v>0</v>
      </c>
      <c r="AE309">
        <v>0</v>
      </c>
      <c r="AF309">
        <v>0</v>
      </c>
      <c r="AG309">
        <v>0</v>
      </c>
      <c r="AH309">
        <v>0</v>
      </c>
      <c r="AI309">
        <v>0</v>
      </c>
      <c r="AJ309">
        <v>0</v>
      </c>
      <c r="AK309">
        <v>0</v>
      </c>
      <c r="AL309">
        <v>0</v>
      </c>
      <c r="AM309">
        <v>0</v>
      </c>
      <c r="AN309">
        <v>0</v>
      </c>
      <c r="AO309">
        <v>0</v>
      </c>
      <c r="AP309">
        <v>0</v>
      </c>
      <c r="AQ309">
        <v>0</v>
      </c>
      <c r="AR309">
        <v>0</v>
      </c>
      <c r="AS309">
        <v>0</v>
      </c>
      <c r="AT309">
        <v>0</v>
      </c>
      <c r="AU309">
        <v>0</v>
      </c>
      <c r="AV309">
        <v>0</v>
      </c>
      <c r="AW309">
        <v>0</v>
      </c>
      <c r="AX309">
        <v>0</v>
      </c>
      <c r="AY309">
        <v>0</v>
      </c>
      <c r="AZ309">
        <v>0</v>
      </c>
      <c r="BA309">
        <v>0</v>
      </c>
      <c r="BB309">
        <v>0</v>
      </c>
      <c r="BC309">
        <v>0</v>
      </c>
      <c r="BD309">
        <v>0</v>
      </c>
      <c r="BE309">
        <v>0</v>
      </c>
      <c r="BF309">
        <v>0</v>
      </c>
      <c r="BG309">
        <v>0</v>
      </c>
      <c r="BH309">
        <v>0</v>
      </c>
      <c r="BI309">
        <v>0</v>
      </c>
      <c r="BJ309">
        <v>0</v>
      </c>
      <c r="BK309">
        <v>0</v>
      </c>
      <c r="BL309">
        <v>0</v>
      </c>
      <c r="BM309">
        <v>0</v>
      </c>
      <c r="BN309">
        <v>0</v>
      </c>
      <c r="BO309">
        <v>0</v>
      </c>
      <c r="BP309">
        <v>0</v>
      </c>
      <c r="BQ309">
        <v>1</v>
      </c>
      <c r="BR309">
        <v>1</v>
      </c>
      <c r="BS309">
        <v>0</v>
      </c>
    </row>
    <row r="310" spans="1:71" x14ac:dyDescent="0.3">
      <c r="A310" t="s">
        <v>1387</v>
      </c>
      <c r="B310" t="s">
        <v>1388</v>
      </c>
      <c r="C310" t="s">
        <v>29</v>
      </c>
      <c r="D310" t="s">
        <v>29</v>
      </c>
      <c r="E310" t="s">
        <v>29</v>
      </c>
      <c r="F310" t="s">
        <v>1389</v>
      </c>
      <c r="G310" t="s">
        <v>1390</v>
      </c>
      <c r="H310">
        <v>2019</v>
      </c>
      <c r="I310">
        <v>20</v>
      </c>
      <c r="J310" t="s">
        <v>29</v>
      </c>
      <c r="K310" t="s">
        <v>29</v>
      </c>
      <c r="L310">
        <v>2</v>
      </c>
      <c r="M310" t="s">
        <v>29</v>
      </c>
      <c r="N310">
        <v>61</v>
      </c>
      <c r="O310">
        <v>66</v>
      </c>
      <c r="P310" t="s">
        <v>29</v>
      </c>
      <c r="Q310" t="s">
        <v>29</v>
      </c>
      <c r="R310" t="s">
        <v>29</v>
      </c>
      <c r="S310" t="s">
        <v>29</v>
      </c>
      <c r="T310">
        <v>2</v>
      </c>
      <c r="U310">
        <v>0.33</v>
      </c>
      <c r="V310">
        <v>0</v>
      </c>
      <c r="W310">
        <v>0</v>
      </c>
      <c r="X310">
        <v>0</v>
      </c>
      <c r="Y310">
        <v>0</v>
      </c>
      <c r="Z310">
        <v>0</v>
      </c>
      <c r="AA310">
        <v>0</v>
      </c>
      <c r="AB310">
        <v>0</v>
      </c>
      <c r="AC310">
        <v>0</v>
      </c>
      <c r="AD310">
        <v>0</v>
      </c>
      <c r="AE310">
        <v>0</v>
      </c>
      <c r="AF310">
        <v>0</v>
      </c>
      <c r="AG310">
        <v>0</v>
      </c>
      <c r="AH310">
        <v>0</v>
      </c>
      <c r="AI310">
        <v>0</v>
      </c>
      <c r="AJ310">
        <v>0</v>
      </c>
      <c r="AK310">
        <v>0</v>
      </c>
      <c r="AL310">
        <v>0</v>
      </c>
      <c r="AM310">
        <v>0</v>
      </c>
      <c r="AN310">
        <v>0</v>
      </c>
      <c r="AO310">
        <v>0</v>
      </c>
      <c r="AP310">
        <v>0</v>
      </c>
      <c r="AQ310">
        <v>0</v>
      </c>
      <c r="AR310">
        <v>0</v>
      </c>
      <c r="AS310">
        <v>0</v>
      </c>
      <c r="AT310">
        <v>0</v>
      </c>
      <c r="AU310">
        <v>0</v>
      </c>
      <c r="AV310">
        <v>0</v>
      </c>
      <c r="AW310">
        <v>0</v>
      </c>
      <c r="AX310">
        <v>0</v>
      </c>
      <c r="AY310">
        <v>0</v>
      </c>
      <c r="AZ310">
        <v>0</v>
      </c>
      <c r="BA310">
        <v>0</v>
      </c>
      <c r="BB310">
        <v>0</v>
      </c>
      <c r="BC310">
        <v>0</v>
      </c>
      <c r="BD310">
        <v>0</v>
      </c>
      <c r="BE310">
        <v>0</v>
      </c>
      <c r="BF310">
        <v>0</v>
      </c>
      <c r="BG310">
        <v>0</v>
      </c>
      <c r="BH310">
        <v>0</v>
      </c>
      <c r="BI310">
        <v>0</v>
      </c>
      <c r="BJ310">
        <v>0</v>
      </c>
      <c r="BK310">
        <v>0</v>
      </c>
      <c r="BL310">
        <v>0</v>
      </c>
      <c r="BM310">
        <v>0</v>
      </c>
      <c r="BN310">
        <v>2</v>
      </c>
      <c r="BO310">
        <v>0</v>
      </c>
      <c r="BP310">
        <v>0</v>
      </c>
      <c r="BQ310">
        <v>0</v>
      </c>
      <c r="BR310">
        <v>0</v>
      </c>
      <c r="BS310">
        <v>0</v>
      </c>
    </row>
    <row r="311" spans="1:71" x14ac:dyDescent="0.3">
      <c r="A311" t="s">
        <v>1391</v>
      </c>
      <c r="B311" t="s">
        <v>1392</v>
      </c>
      <c r="C311" t="s">
        <v>29</v>
      </c>
      <c r="D311" t="s">
        <v>29</v>
      </c>
      <c r="E311" t="s">
        <v>1228</v>
      </c>
      <c r="F311" t="s">
        <v>1393</v>
      </c>
      <c r="G311">
        <v>2019</v>
      </c>
      <c r="H311">
        <v>2019</v>
      </c>
      <c r="I311" t="s">
        <v>29</v>
      </c>
      <c r="J311" t="s">
        <v>29</v>
      </c>
      <c r="K311" t="s">
        <v>29</v>
      </c>
      <c r="L311" t="s">
        <v>29</v>
      </c>
      <c r="M311" t="s">
        <v>29</v>
      </c>
      <c r="N311">
        <v>4014</v>
      </c>
      <c r="O311">
        <v>4019</v>
      </c>
      <c r="P311" t="s">
        <v>29</v>
      </c>
      <c r="Q311" t="s">
        <v>29</v>
      </c>
      <c r="R311" t="s">
        <v>1394</v>
      </c>
      <c r="S311" t="s">
        <v>1395</v>
      </c>
      <c r="T311">
        <v>2</v>
      </c>
      <c r="U311">
        <v>0.33</v>
      </c>
      <c r="V311">
        <v>0</v>
      </c>
      <c r="W311">
        <v>0</v>
      </c>
      <c r="X311">
        <v>0</v>
      </c>
      <c r="Y311">
        <v>0</v>
      </c>
      <c r="Z311">
        <v>0</v>
      </c>
      <c r="AA311">
        <v>0</v>
      </c>
      <c r="AB311">
        <v>0</v>
      </c>
      <c r="AC311">
        <v>0</v>
      </c>
      <c r="AD311">
        <v>0</v>
      </c>
      <c r="AE311">
        <v>0</v>
      </c>
      <c r="AF311">
        <v>0</v>
      </c>
      <c r="AG311">
        <v>0</v>
      </c>
      <c r="AH311">
        <v>0</v>
      </c>
      <c r="AI311">
        <v>0</v>
      </c>
      <c r="AJ311">
        <v>0</v>
      </c>
      <c r="AK311">
        <v>0</v>
      </c>
      <c r="AL311">
        <v>0</v>
      </c>
      <c r="AM311">
        <v>0</v>
      </c>
      <c r="AN311">
        <v>0</v>
      </c>
      <c r="AO311">
        <v>0</v>
      </c>
      <c r="AP311">
        <v>0</v>
      </c>
      <c r="AQ311">
        <v>0</v>
      </c>
      <c r="AR311">
        <v>0</v>
      </c>
      <c r="AS311">
        <v>0</v>
      </c>
      <c r="AT311">
        <v>0</v>
      </c>
      <c r="AU311">
        <v>0</v>
      </c>
      <c r="AV311">
        <v>0</v>
      </c>
      <c r="AW311">
        <v>0</v>
      </c>
      <c r="AX311">
        <v>0</v>
      </c>
      <c r="AY311">
        <v>0</v>
      </c>
      <c r="AZ311">
        <v>0</v>
      </c>
      <c r="BA311">
        <v>0</v>
      </c>
      <c r="BB311">
        <v>0</v>
      </c>
      <c r="BC311">
        <v>0</v>
      </c>
      <c r="BD311">
        <v>0</v>
      </c>
      <c r="BE311">
        <v>0</v>
      </c>
      <c r="BF311">
        <v>0</v>
      </c>
      <c r="BG311">
        <v>0</v>
      </c>
      <c r="BH311">
        <v>0</v>
      </c>
      <c r="BI311">
        <v>0</v>
      </c>
      <c r="BJ311">
        <v>0</v>
      </c>
      <c r="BK311">
        <v>0</v>
      </c>
      <c r="BL311">
        <v>0</v>
      </c>
      <c r="BM311">
        <v>0</v>
      </c>
      <c r="BN311">
        <v>0</v>
      </c>
      <c r="BO311">
        <v>0</v>
      </c>
      <c r="BP311">
        <v>1</v>
      </c>
      <c r="BQ311">
        <v>1</v>
      </c>
      <c r="BR311">
        <v>0</v>
      </c>
      <c r="BS311">
        <v>0</v>
      </c>
    </row>
    <row r="312" spans="1:71" x14ac:dyDescent="0.3">
      <c r="A312" t="s">
        <v>1396</v>
      </c>
      <c r="B312" t="s">
        <v>1397</v>
      </c>
      <c r="C312" t="s">
        <v>29</v>
      </c>
      <c r="D312" t="s">
        <v>29</v>
      </c>
      <c r="E312" t="s">
        <v>1228</v>
      </c>
      <c r="F312" t="s">
        <v>1398</v>
      </c>
      <c r="G312">
        <v>2019</v>
      </c>
      <c r="H312">
        <v>2019</v>
      </c>
      <c r="I312" t="s">
        <v>29</v>
      </c>
      <c r="J312" t="s">
        <v>29</v>
      </c>
      <c r="K312" t="s">
        <v>29</v>
      </c>
      <c r="L312" t="s">
        <v>29</v>
      </c>
      <c r="M312" t="s">
        <v>29</v>
      </c>
      <c r="N312">
        <v>3057</v>
      </c>
      <c r="O312">
        <v>3066</v>
      </c>
      <c r="P312" t="s">
        <v>29</v>
      </c>
      <c r="Q312" t="s">
        <v>29</v>
      </c>
      <c r="R312" t="s">
        <v>1399</v>
      </c>
      <c r="S312" t="s">
        <v>1400</v>
      </c>
      <c r="T312">
        <v>2</v>
      </c>
      <c r="U312">
        <v>0.33</v>
      </c>
      <c r="V312">
        <v>0</v>
      </c>
      <c r="W312">
        <v>0</v>
      </c>
      <c r="X312">
        <v>0</v>
      </c>
      <c r="Y312">
        <v>0</v>
      </c>
      <c r="Z312">
        <v>0</v>
      </c>
      <c r="AA312">
        <v>0</v>
      </c>
      <c r="AB312">
        <v>0</v>
      </c>
      <c r="AC312">
        <v>0</v>
      </c>
      <c r="AD312">
        <v>0</v>
      </c>
      <c r="AE312">
        <v>0</v>
      </c>
      <c r="AF312">
        <v>0</v>
      </c>
      <c r="AG312">
        <v>0</v>
      </c>
      <c r="AH312">
        <v>0</v>
      </c>
      <c r="AI312">
        <v>0</v>
      </c>
      <c r="AJ312">
        <v>0</v>
      </c>
      <c r="AK312">
        <v>0</v>
      </c>
      <c r="AL312">
        <v>0</v>
      </c>
      <c r="AM312">
        <v>0</v>
      </c>
      <c r="AN312">
        <v>0</v>
      </c>
      <c r="AO312">
        <v>0</v>
      </c>
      <c r="AP312">
        <v>0</v>
      </c>
      <c r="AQ312">
        <v>0</v>
      </c>
      <c r="AR312">
        <v>0</v>
      </c>
      <c r="AS312">
        <v>0</v>
      </c>
      <c r="AT312">
        <v>0</v>
      </c>
      <c r="AU312">
        <v>0</v>
      </c>
      <c r="AV312">
        <v>0</v>
      </c>
      <c r="AW312">
        <v>0</v>
      </c>
      <c r="AX312">
        <v>0</v>
      </c>
      <c r="AY312">
        <v>0</v>
      </c>
      <c r="AZ312">
        <v>0</v>
      </c>
      <c r="BA312">
        <v>0</v>
      </c>
      <c r="BB312">
        <v>0</v>
      </c>
      <c r="BC312">
        <v>0</v>
      </c>
      <c r="BD312">
        <v>0</v>
      </c>
      <c r="BE312">
        <v>0</v>
      </c>
      <c r="BF312">
        <v>0</v>
      </c>
      <c r="BG312">
        <v>0</v>
      </c>
      <c r="BH312">
        <v>0</v>
      </c>
      <c r="BI312">
        <v>0</v>
      </c>
      <c r="BJ312">
        <v>0</v>
      </c>
      <c r="BK312">
        <v>0</v>
      </c>
      <c r="BL312">
        <v>0</v>
      </c>
      <c r="BM312">
        <v>0</v>
      </c>
      <c r="BN312">
        <v>0</v>
      </c>
      <c r="BO312">
        <v>0</v>
      </c>
      <c r="BP312">
        <v>0</v>
      </c>
      <c r="BQ312">
        <v>0</v>
      </c>
      <c r="BR312">
        <v>2</v>
      </c>
      <c r="BS312">
        <v>0</v>
      </c>
    </row>
    <row r="313" spans="1:71" x14ac:dyDescent="0.3">
      <c r="A313" t="s">
        <v>1401</v>
      </c>
      <c r="B313" t="s">
        <v>835</v>
      </c>
      <c r="C313" t="s">
        <v>29</v>
      </c>
      <c r="D313" t="s">
        <v>29</v>
      </c>
      <c r="E313" t="s">
        <v>1402</v>
      </c>
      <c r="F313" t="s">
        <v>1403</v>
      </c>
      <c r="G313">
        <v>2019</v>
      </c>
      <c r="H313">
        <v>2019</v>
      </c>
      <c r="I313">
        <v>11881</v>
      </c>
      <c r="J313" t="s">
        <v>29</v>
      </c>
      <c r="K313" t="s">
        <v>29</v>
      </c>
      <c r="L313" t="s">
        <v>29</v>
      </c>
      <c r="M313" t="s">
        <v>29</v>
      </c>
      <c r="N313">
        <v>441</v>
      </c>
      <c r="O313">
        <v>457</v>
      </c>
      <c r="P313" t="s">
        <v>29</v>
      </c>
      <c r="Q313" t="s">
        <v>1404</v>
      </c>
      <c r="R313" t="s">
        <v>1405</v>
      </c>
      <c r="S313" t="s">
        <v>1406</v>
      </c>
      <c r="T313">
        <v>2</v>
      </c>
      <c r="U313">
        <v>0.33</v>
      </c>
      <c r="V313">
        <v>0</v>
      </c>
      <c r="W313">
        <v>0</v>
      </c>
      <c r="X313">
        <v>0</v>
      </c>
      <c r="Y313">
        <v>0</v>
      </c>
      <c r="Z313">
        <v>0</v>
      </c>
      <c r="AA313">
        <v>0</v>
      </c>
      <c r="AB313">
        <v>0</v>
      </c>
      <c r="AC313">
        <v>0</v>
      </c>
      <c r="AD313">
        <v>0</v>
      </c>
      <c r="AE313">
        <v>0</v>
      </c>
      <c r="AF313">
        <v>0</v>
      </c>
      <c r="AG313">
        <v>0</v>
      </c>
      <c r="AH313">
        <v>0</v>
      </c>
      <c r="AI313">
        <v>0</v>
      </c>
      <c r="AJ313">
        <v>0</v>
      </c>
      <c r="AK313">
        <v>0</v>
      </c>
      <c r="AL313">
        <v>0</v>
      </c>
      <c r="AM313">
        <v>0</v>
      </c>
      <c r="AN313">
        <v>0</v>
      </c>
      <c r="AO313">
        <v>0</v>
      </c>
      <c r="AP313">
        <v>0</v>
      </c>
      <c r="AQ313">
        <v>0</v>
      </c>
      <c r="AR313">
        <v>0</v>
      </c>
      <c r="AS313">
        <v>0</v>
      </c>
      <c r="AT313">
        <v>0</v>
      </c>
      <c r="AU313">
        <v>0</v>
      </c>
      <c r="AV313">
        <v>0</v>
      </c>
      <c r="AW313">
        <v>0</v>
      </c>
      <c r="AX313">
        <v>0</v>
      </c>
      <c r="AY313">
        <v>0</v>
      </c>
      <c r="AZ313">
        <v>0</v>
      </c>
      <c r="BA313">
        <v>0</v>
      </c>
      <c r="BB313">
        <v>0</v>
      </c>
      <c r="BC313">
        <v>0</v>
      </c>
      <c r="BD313">
        <v>0</v>
      </c>
      <c r="BE313">
        <v>0</v>
      </c>
      <c r="BF313">
        <v>0</v>
      </c>
      <c r="BG313">
        <v>0</v>
      </c>
      <c r="BH313">
        <v>0</v>
      </c>
      <c r="BI313">
        <v>0</v>
      </c>
      <c r="BJ313">
        <v>0</v>
      </c>
      <c r="BK313">
        <v>0</v>
      </c>
      <c r="BL313">
        <v>0</v>
      </c>
      <c r="BM313">
        <v>0</v>
      </c>
      <c r="BN313">
        <v>0</v>
      </c>
      <c r="BO313">
        <v>1</v>
      </c>
      <c r="BP313">
        <v>0</v>
      </c>
      <c r="BQ313">
        <v>1</v>
      </c>
      <c r="BR313">
        <v>0</v>
      </c>
      <c r="BS313">
        <v>0</v>
      </c>
    </row>
    <row r="314" spans="1:71" x14ac:dyDescent="0.3">
      <c r="A314" t="s">
        <v>1407</v>
      </c>
      <c r="B314" t="s">
        <v>1408</v>
      </c>
      <c r="C314" t="s">
        <v>29</v>
      </c>
      <c r="D314" t="s">
        <v>29</v>
      </c>
      <c r="E314" t="s">
        <v>1409</v>
      </c>
      <c r="F314" t="s">
        <v>1410</v>
      </c>
      <c r="G314">
        <v>2019</v>
      </c>
      <c r="H314">
        <v>2019</v>
      </c>
      <c r="I314">
        <v>69</v>
      </c>
      <c r="J314" t="s">
        <v>29</v>
      </c>
      <c r="K314" t="s">
        <v>29</v>
      </c>
      <c r="L314" t="s">
        <v>29</v>
      </c>
      <c r="M314" t="s">
        <v>29</v>
      </c>
      <c r="N314" t="s">
        <v>29</v>
      </c>
      <c r="O314" t="s">
        <v>29</v>
      </c>
      <c r="P314">
        <v>144</v>
      </c>
      <c r="Q314" t="s">
        <v>1411</v>
      </c>
      <c r="R314" t="s">
        <v>1412</v>
      </c>
      <c r="S314" t="s">
        <v>1413</v>
      </c>
      <c r="T314">
        <v>2</v>
      </c>
      <c r="U314">
        <v>0.33</v>
      </c>
      <c r="V314">
        <v>0</v>
      </c>
      <c r="W314">
        <v>0</v>
      </c>
      <c r="X314">
        <v>0</v>
      </c>
      <c r="Y314">
        <v>0</v>
      </c>
      <c r="Z314">
        <v>0</v>
      </c>
      <c r="AA314">
        <v>0</v>
      </c>
      <c r="AB314">
        <v>0</v>
      </c>
      <c r="AC314">
        <v>0</v>
      </c>
      <c r="AD314">
        <v>0</v>
      </c>
      <c r="AE314">
        <v>0</v>
      </c>
      <c r="AF314">
        <v>0</v>
      </c>
      <c r="AG314">
        <v>0</v>
      </c>
      <c r="AH314">
        <v>0</v>
      </c>
      <c r="AI314">
        <v>0</v>
      </c>
      <c r="AJ314">
        <v>0</v>
      </c>
      <c r="AK314">
        <v>0</v>
      </c>
      <c r="AL314">
        <v>0</v>
      </c>
      <c r="AM314">
        <v>0</v>
      </c>
      <c r="AN314">
        <v>0</v>
      </c>
      <c r="AO314">
        <v>0</v>
      </c>
      <c r="AP314">
        <v>0</v>
      </c>
      <c r="AQ314">
        <v>0</v>
      </c>
      <c r="AR314">
        <v>0</v>
      </c>
      <c r="AS314">
        <v>0</v>
      </c>
      <c r="AT314">
        <v>0</v>
      </c>
      <c r="AU314">
        <v>0</v>
      </c>
      <c r="AV314">
        <v>0</v>
      </c>
      <c r="AW314">
        <v>0</v>
      </c>
      <c r="AX314">
        <v>0</v>
      </c>
      <c r="AY314">
        <v>0</v>
      </c>
      <c r="AZ314">
        <v>0</v>
      </c>
      <c r="BA314">
        <v>0</v>
      </c>
      <c r="BB314">
        <v>0</v>
      </c>
      <c r="BC314">
        <v>0</v>
      </c>
      <c r="BD314">
        <v>0</v>
      </c>
      <c r="BE314">
        <v>0</v>
      </c>
      <c r="BF314">
        <v>0</v>
      </c>
      <c r="BG314">
        <v>0</v>
      </c>
      <c r="BH314">
        <v>0</v>
      </c>
      <c r="BI314">
        <v>0</v>
      </c>
      <c r="BJ314">
        <v>0</v>
      </c>
      <c r="BK314">
        <v>0</v>
      </c>
      <c r="BL314">
        <v>0</v>
      </c>
      <c r="BM314">
        <v>0</v>
      </c>
      <c r="BN314">
        <v>0</v>
      </c>
      <c r="BO314">
        <v>0</v>
      </c>
      <c r="BP314">
        <v>1</v>
      </c>
      <c r="BQ314">
        <v>0</v>
      </c>
      <c r="BR314">
        <v>1</v>
      </c>
      <c r="BS314">
        <v>0</v>
      </c>
    </row>
    <row r="315" spans="1:71" x14ac:dyDescent="0.3">
      <c r="A315" t="s">
        <v>1414</v>
      </c>
      <c r="B315" t="s">
        <v>1415</v>
      </c>
      <c r="C315" t="s">
        <v>29</v>
      </c>
      <c r="D315" t="s">
        <v>29</v>
      </c>
      <c r="E315" t="s">
        <v>29</v>
      </c>
      <c r="F315" t="s">
        <v>1416</v>
      </c>
      <c r="G315" t="s">
        <v>1417</v>
      </c>
      <c r="H315">
        <v>2018</v>
      </c>
      <c r="I315">
        <v>26</v>
      </c>
      <c r="J315">
        <v>2</v>
      </c>
      <c r="K315" t="s">
        <v>29</v>
      </c>
      <c r="L315" t="s">
        <v>29</v>
      </c>
      <c r="M315" t="s">
        <v>29</v>
      </c>
      <c r="N315">
        <v>314</v>
      </c>
      <c r="O315">
        <v>325</v>
      </c>
      <c r="P315" t="s">
        <v>29</v>
      </c>
      <c r="Q315" t="s">
        <v>1418</v>
      </c>
      <c r="R315" t="s">
        <v>29</v>
      </c>
      <c r="S315" t="s">
        <v>29</v>
      </c>
      <c r="T315">
        <v>2</v>
      </c>
      <c r="U315">
        <v>0.28999999999999998</v>
      </c>
      <c r="V315">
        <v>0</v>
      </c>
      <c r="W315">
        <v>0</v>
      </c>
      <c r="X315">
        <v>0</v>
      </c>
      <c r="Y315">
        <v>0</v>
      </c>
      <c r="Z315">
        <v>0</v>
      </c>
      <c r="AA315">
        <v>0</v>
      </c>
      <c r="AB315">
        <v>0</v>
      </c>
      <c r="AC315">
        <v>0</v>
      </c>
      <c r="AD315">
        <v>0</v>
      </c>
      <c r="AE315">
        <v>0</v>
      </c>
      <c r="AF315">
        <v>0</v>
      </c>
      <c r="AG315">
        <v>0</v>
      </c>
      <c r="AH315">
        <v>0</v>
      </c>
      <c r="AI315">
        <v>0</v>
      </c>
      <c r="AJ315">
        <v>0</v>
      </c>
      <c r="AK315">
        <v>0</v>
      </c>
      <c r="AL315">
        <v>0</v>
      </c>
      <c r="AM315">
        <v>0</v>
      </c>
      <c r="AN315">
        <v>0</v>
      </c>
      <c r="AO315">
        <v>0</v>
      </c>
      <c r="AP315">
        <v>0</v>
      </c>
      <c r="AQ315">
        <v>0</v>
      </c>
      <c r="AR315">
        <v>0</v>
      </c>
      <c r="AS315">
        <v>0</v>
      </c>
      <c r="AT315">
        <v>0</v>
      </c>
      <c r="AU315">
        <v>0</v>
      </c>
      <c r="AV315">
        <v>0</v>
      </c>
      <c r="AW315">
        <v>0</v>
      </c>
      <c r="AX315">
        <v>0</v>
      </c>
      <c r="AY315">
        <v>0</v>
      </c>
      <c r="AZ315">
        <v>0</v>
      </c>
      <c r="BA315">
        <v>0</v>
      </c>
      <c r="BB315">
        <v>0</v>
      </c>
      <c r="BC315">
        <v>0</v>
      </c>
      <c r="BD315">
        <v>0</v>
      </c>
      <c r="BE315">
        <v>0</v>
      </c>
      <c r="BF315">
        <v>0</v>
      </c>
      <c r="BG315">
        <v>0</v>
      </c>
      <c r="BH315">
        <v>0</v>
      </c>
      <c r="BI315">
        <v>0</v>
      </c>
      <c r="BJ315">
        <v>0</v>
      </c>
      <c r="BK315">
        <v>0</v>
      </c>
      <c r="BL315">
        <v>0</v>
      </c>
      <c r="BM315">
        <v>0</v>
      </c>
      <c r="BN315">
        <v>0</v>
      </c>
      <c r="BO315">
        <v>1</v>
      </c>
      <c r="BP315">
        <v>0</v>
      </c>
      <c r="BQ315">
        <v>1</v>
      </c>
      <c r="BR315">
        <v>0</v>
      </c>
      <c r="BS315">
        <v>0</v>
      </c>
    </row>
    <row r="316" spans="1:71" x14ac:dyDescent="0.3">
      <c r="A316" t="s">
        <v>1419</v>
      </c>
      <c r="B316" t="s">
        <v>1420</v>
      </c>
      <c r="C316" t="s">
        <v>29</v>
      </c>
      <c r="D316" t="s">
        <v>29</v>
      </c>
      <c r="E316" t="s">
        <v>1421</v>
      </c>
      <c r="F316" t="s">
        <v>1422</v>
      </c>
      <c r="G316">
        <v>2018</v>
      </c>
      <c r="H316">
        <v>2018</v>
      </c>
      <c r="I316">
        <v>10908</v>
      </c>
      <c r="J316" t="s">
        <v>29</v>
      </c>
      <c r="K316" t="s">
        <v>29</v>
      </c>
      <c r="L316" t="s">
        <v>29</v>
      </c>
      <c r="M316" t="s">
        <v>29</v>
      </c>
      <c r="N316">
        <v>486</v>
      </c>
      <c r="O316">
        <v>495</v>
      </c>
      <c r="P316" t="s">
        <v>29</v>
      </c>
      <c r="Q316" t="s">
        <v>1423</v>
      </c>
      <c r="R316" t="s">
        <v>1424</v>
      </c>
      <c r="S316" t="s">
        <v>1425</v>
      </c>
      <c r="T316">
        <v>2</v>
      </c>
      <c r="U316">
        <v>0.28999999999999998</v>
      </c>
      <c r="V316">
        <v>0</v>
      </c>
      <c r="W316">
        <v>0</v>
      </c>
      <c r="X316">
        <v>0</v>
      </c>
      <c r="Y316">
        <v>0</v>
      </c>
      <c r="Z316">
        <v>0</v>
      </c>
      <c r="AA316">
        <v>0</v>
      </c>
      <c r="AB316">
        <v>0</v>
      </c>
      <c r="AC316">
        <v>0</v>
      </c>
      <c r="AD316">
        <v>0</v>
      </c>
      <c r="AE316">
        <v>0</v>
      </c>
      <c r="AF316">
        <v>0</v>
      </c>
      <c r="AG316">
        <v>0</v>
      </c>
      <c r="AH316">
        <v>0</v>
      </c>
      <c r="AI316">
        <v>0</v>
      </c>
      <c r="AJ316">
        <v>0</v>
      </c>
      <c r="AK316">
        <v>0</v>
      </c>
      <c r="AL316">
        <v>0</v>
      </c>
      <c r="AM316">
        <v>0</v>
      </c>
      <c r="AN316">
        <v>0</v>
      </c>
      <c r="AO316">
        <v>0</v>
      </c>
      <c r="AP316">
        <v>0</v>
      </c>
      <c r="AQ316">
        <v>0</v>
      </c>
      <c r="AR316">
        <v>0</v>
      </c>
      <c r="AS316">
        <v>0</v>
      </c>
      <c r="AT316">
        <v>0</v>
      </c>
      <c r="AU316">
        <v>0</v>
      </c>
      <c r="AV316">
        <v>0</v>
      </c>
      <c r="AW316">
        <v>0</v>
      </c>
      <c r="AX316">
        <v>0</v>
      </c>
      <c r="AY316">
        <v>0</v>
      </c>
      <c r="AZ316">
        <v>0</v>
      </c>
      <c r="BA316">
        <v>0</v>
      </c>
      <c r="BB316">
        <v>0</v>
      </c>
      <c r="BC316">
        <v>0</v>
      </c>
      <c r="BD316">
        <v>0</v>
      </c>
      <c r="BE316">
        <v>0</v>
      </c>
      <c r="BF316">
        <v>0</v>
      </c>
      <c r="BG316">
        <v>0</v>
      </c>
      <c r="BH316">
        <v>0</v>
      </c>
      <c r="BI316">
        <v>0</v>
      </c>
      <c r="BJ316">
        <v>0</v>
      </c>
      <c r="BK316">
        <v>0</v>
      </c>
      <c r="BL316">
        <v>0</v>
      </c>
      <c r="BM316">
        <v>0</v>
      </c>
      <c r="BN316">
        <v>1</v>
      </c>
      <c r="BO316">
        <v>0</v>
      </c>
      <c r="BP316">
        <v>0</v>
      </c>
      <c r="BQ316">
        <v>1</v>
      </c>
      <c r="BR316">
        <v>0</v>
      </c>
      <c r="BS316">
        <v>0</v>
      </c>
    </row>
    <row r="317" spans="1:71" x14ac:dyDescent="0.3">
      <c r="A317" t="s">
        <v>1426</v>
      </c>
      <c r="B317" t="s">
        <v>1427</v>
      </c>
      <c r="C317" t="s">
        <v>29</v>
      </c>
      <c r="D317" t="s">
        <v>29</v>
      </c>
      <c r="E317" t="s">
        <v>29</v>
      </c>
      <c r="F317" t="s">
        <v>1428</v>
      </c>
      <c r="G317">
        <v>2018</v>
      </c>
      <c r="H317">
        <v>2018</v>
      </c>
      <c r="I317" t="s">
        <v>29</v>
      </c>
      <c r="J317">
        <v>53</v>
      </c>
      <c r="K317" t="s">
        <v>29</v>
      </c>
      <c r="L317" t="s">
        <v>29</v>
      </c>
      <c r="M317" t="s">
        <v>29</v>
      </c>
      <c r="N317">
        <v>16</v>
      </c>
      <c r="O317">
        <v>19</v>
      </c>
      <c r="P317" t="s">
        <v>29</v>
      </c>
      <c r="Q317" t="s">
        <v>1429</v>
      </c>
      <c r="R317" t="s">
        <v>29</v>
      </c>
      <c r="S317" t="s">
        <v>29</v>
      </c>
      <c r="T317">
        <v>2</v>
      </c>
      <c r="U317">
        <v>0.28999999999999998</v>
      </c>
      <c r="V317">
        <v>0</v>
      </c>
      <c r="W317">
        <v>0</v>
      </c>
      <c r="X317">
        <v>0</v>
      </c>
      <c r="Y317">
        <v>0</v>
      </c>
      <c r="Z317">
        <v>0</v>
      </c>
      <c r="AA317">
        <v>0</v>
      </c>
      <c r="AB317">
        <v>0</v>
      </c>
      <c r="AC317">
        <v>0</v>
      </c>
      <c r="AD317">
        <v>0</v>
      </c>
      <c r="AE317">
        <v>0</v>
      </c>
      <c r="AF317">
        <v>0</v>
      </c>
      <c r="AG317">
        <v>0</v>
      </c>
      <c r="AH317">
        <v>0</v>
      </c>
      <c r="AI317">
        <v>0</v>
      </c>
      <c r="AJ317">
        <v>0</v>
      </c>
      <c r="AK317">
        <v>0</v>
      </c>
      <c r="AL317">
        <v>0</v>
      </c>
      <c r="AM317">
        <v>0</v>
      </c>
      <c r="AN317">
        <v>0</v>
      </c>
      <c r="AO317">
        <v>0</v>
      </c>
      <c r="AP317">
        <v>0</v>
      </c>
      <c r="AQ317">
        <v>0</v>
      </c>
      <c r="AR317">
        <v>0</v>
      </c>
      <c r="AS317">
        <v>0</v>
      </c>
      <c r="AT317">
        <v>0</v>
      </c>
      <c r="AU317">
        <v>0</v>
      </c>
      <c r="AV317">
        <v>0</v>
      </c>
      <c r="AW317">
        <v>0</v>
      </c>
      <c r="AX317">
        <v>0</v>
      </c>
      <c r="AY317">
        <v>0</v>
      </c>
      <c r="AZ317">
        <v>0</v>
      </c>
      <c r="BA317">
        <v>0</v>
      </c>
      <c r="BB317">
        <v>0</v>
      </c>
      <c r="BC317">
        <v>0</v>
      </c>
      <c r="BD317">
        <v>0</v>
      </c>
      <c r="BE317">
        <v>0</v>
      </c>
      <c r="BF317">
        <v>0</v>
      </c>
      <c r="BG317">
        <v>0</v>
      </c>
      <c r="BH317">
        <v>0</v>
      </c>
      <c r="BI317">
        <v>0</v>
      </c>
      <c r="BJ317">
        <v>0</v>
      </c>
      <c r="BK317">
        <v>0</v>
      </c>
      <c r="BL317">
        <v>0</v>
      </c>
      <c r="BM317">
        <v>0</v>
      </c>
      <c r="BN317">
        <v>0</v>
      </c>
      <c r="BO317">
        <v>1</v>
      </c>
      <c r="BP317">
        <v>1</v>
      </c>
      <c r="BQ317">
        <v>0</v>
      </c>
      <c r="BR317">
        <v>0</v>
      </c>
      <c r="BS317">
        <v>0</v>
      </c>
    </row>
    <row r="318" spans="1:71" x14ac:dyDescent="0.3">
      <c r="A318" t="s">
        <v>1430</v>
      </c>
      <c r="B318" t="s">
        <v>1431</v>
      </c>
      <c r="C318" t="s">
        <v>29</v>
      </c>
      <c r="D318" t="s">
        <v>29</v>
      </c>
      <c r="E318" t="s">
        <v>29</v>
      </c>
      <c r="F318" t="s">
        <v>1432</v>
      </c>
      <c r="G318" t="s">
        <v>1433</v>
      </c>
      <c r="H318">
        <v>2017</v>
      </c>
      <c r="I318">
        <v>13</v>
      </c>
      <c r="J318">
        <v>8</v>
      </c>
      <c r="K318" t="s">
        <v>29</v>
      </c>
      <c r="L318" t="s">
        <v>29</v>
      </c>
      <c r="M318" t="s">
        <v>29</v>
      </c>
      <c r="N318">
        <v>5073</v>
      </c>
      <c r="O318">
        <v>5084</v>
      </c>
      <c r="P318" t="s">
        <v>29</v>
      </c>
      <c r="Q318" t="s">
        <v>1434</v>
      </c>
      <c r="R318" t="s">
        <v>29</v>
      </c>
      <c r="S318" t="s">
        <v>29</v>
      </c>
      <c r="T318">
        <v>2</v>
      </c>
      <c r="U318">
        <v>0.25</v>
      </c>
      <c r="V318">
        <v>0</v>
      </c>
      <c r="W318">
        <v>0</v>
      </c>
      <c r="X318">
        <v>0</v>
      </c>
      <c r="Y318">
        <v>0</v>
      </c>
      <c r="Z318">
        <v>0</v>
      </c>
      <c r="AA318">
        <v>0</v>
      </c>
      <c r="AB318">
        <v>0</v>
      </c>
      <c r="AC318">
        <v>0</v>
      </c>
      <c r="AD318">
        <v>0</v>
      </c>
      <c r="AE318">
        <v>0</v>
      </c>
      <c r="AF318">
        <v>0</v>
      </c>
      <c r="AG318">
        <v>0</v>
      </c>
      <c r="AH318">
        <v>0</v>
      </c>
      <c r="AI318">
        <v>0</v>
      </c>
      <c r="AJ318">
        <v>0</v>
      </c>
      <c r="AK318">
        <v>0</v>
      </c>
      <c r="AL318">
        <v>0</v>
      </c>
      <c r="AM318">
        <v>0</v>
      </c>
      <c r="AN318">
        <v>0</v>
      </c>
      <c r="AO318">
        <v>0</v>
      </c>
      <c r="AP318">
        <v>0</v>
      </c>
      <c r="AQ318">
        <v>0</v>
      </c>
      <c r="AR318">
        <v>0</v>
      </c>
      <c r="AS318">
        <v>0</v>
      </c>
      <c r="AT318">
        <v>0</v>
      </c>
      <c r="AU318">
        <v>0</v>
      </c>
      <c r="AV318">
        <v>0</v>
      </c>
      <c r="AW318">
        <v>0</v>
      </c>
      <c r="AX318">
        <v>0</v>
      </c>
      <c r="AY318">
        <v>0</v>
      </c>
      <c r="AZ318">
        <v>0</v>
      </c>
      <c r="BA318">
        <v>0</v>
      </c>
      <c r="BB318">
        <v>0</v>
      </c>
      <c r="BC318">
        <v>0</v>
      </c>
      <c r="BD318">
        <v>0</v>
      </c>
      <c r="BE318">
        <v>0</v>
      </c>
      <c r="BF318">
        <v>0</v>
      </c>
      <c r="BG318">
        <v>0</v>
      </c>
      <c r="BH318">
        <v>0</v>
      </c>
      <c r="BI318">
        <v>0</v>
      </c>
      <c r="BJ318">
        <v>0</v>
      </c>
      <c r="BK318">
        <v>0</v>
      </c>
      <c r="BL318">
        <v>0</v>
      </c>
      <c r="BM318">
        <v>0</v>
      </c>
      <c r="BN318">
        <v>0</v>
      </c>
      <c r="BO318">
        <v>2</v>
      </c>
      <c r="BP318">
        <v>0</v>
      </c>
      <c r="BQ318">
        <v>0</v>
      </c>
      <c r="BR318">
        <v>0</v>
      </c>
      <c r="BS318">
        <v>0</v>
      </c>
    </row>
    <row r="319" spans="1:71" x14ac:dyDescent="0.3">
      <c r="A319" t="s">
        <v>1435</v>
      </c>
      <c r="B319" t="s">
        <v>1436</v>
      </c>
      <c r="C319" t="s">
        <v>29</v>
      </c>
      <c r="D319" t="s">
        <v>29</v>
      </c>
      <c r="E319" t="s">
        <v>1228</v>
      </c>
      <c r="F319" t="s">
        <v>1234</v>
      </c>
      <c r="G319">
        <v>2017</v>
      </c>
      <c r="H319">
        <v>2017</v>
      </c>
      <c r="I319" t="s">
        <v>29</v>
      </c>
      <c r="J319" t="s">
        <v>29</v>
      </c>
      <c r="K319" t="s">
        <v>29</v>
      </c>
      <c r="L319" t="s">
        <v>29</v>
      </c>
      <c r="M319" t="s">
        <v>29</v>
      </c>
      <c r="N319">
        <v>9237</v>
      </c>
      <c r="O319">
        <v>9242</v>
      </c>
      <c r="P319" t="s">
        <v>29</v>
      </c>
      <c r="Q319" t="s">
        <v>29</v>
      </c>
      <c r="R319" t="s">
        <v>1235</v>
      </c>
      <c r="S319" t="s">
        <v>1236</v>
      </c>
      <c r="T319">
        <v>2</v>
      </c>
      <c r="U319">
        <v>0.25</v>
      </c>
      <c r="V319">
        <v>0</v>
      </c>
      <c r="W319">
        <v>0</v>
      </c>
      <c r="X319">
        <v>0</v>
      </c>
      <c r="Y319">
        <v>0</v>
      </c>
      <c r="Z319">
        <v>0</v>
      </c>
      <c r="AA319">
        <v>0</v>
      </c>
      <c r="AB319">
        <v>0</v>
      </c>
      <c r="AC319">
        <v>0</v>
      </c>
      <c r="AD319">
        <v>0</v>
      </c>
      <c r="AE319">
        <v>0</v>
      </c>
      <c r="AF319">
        <v>0</v>
      </c>
      <c r="AG319">
        <v>0</v>
      </c>
      <c r="AH319">
        <v>0</v>
      </c>
      <c r="AI319">
        <v>0</v>
      </c>
      <c r="AJ319">
        <v>0</v>
      </c>
      <c r="AK319">
        <v>0</v>
      </c>
      <c r="AL319">
        <v>0</v>
      </c>
      <c r="AM319">
        <v>0</v>
      </c>
      <c r="AN319">
        <v>0</v>
      </c>
      <c r="AO319">
        <v>0</v>
      </c>
      <c r="AP319">
        <v>0</v>
      </c>
      <c r="AQ319">
        <v>0</v>
      </c>
      <c r="AR319">
        <v>0</v>
      </c>
      <c r="AS319">
        <v>0</v>
      </c>
      <c r="AT319">
        <v>0</v>
      </c>
      <c r="AU319">
        <v>0</v>
      </c>
      <c r="AV319">
        <v>0</v>
      </c>
      <c r="AW319">
        <v>0</v>
      </c>
      <c r="AX319">
        <v>0</v>
      </c>
      <c r="AY319">
        <v>0</v>
      </c>
      <c r="AZ319">
        <v>0</v>
      </c>
      <c r="BA319">
        <v>0</v>
      </c>
      <c r="BB319">
        <v>0</v>
      </c>
      <c r="BC319">
        <v>0</v>
      </c>
      <c r="BD319">
        <v>0</v>
      </c>
      <c r="BE319">
        <v>0</v>
      </c>
      <c r="BF319">
        <v>0</v>
      </c>
      <c r="BG319">
        <v>0</v>
      </c>
      <c r="BH319">
        <v>0</v>
      </c>
      <c r="BI319">
        <v>0</v>
      </c>
      <c r="BJ319">
        <v>0</v>
      </c>
      <c r="BK319">
        <v>0</v>
      </c>
      <c r="BL319">
        <v>0</v>
      </c>
      <c r="BM319">
        <v>1</v>
      </c>
      <c r="BN319">
        <v>0</v>
      </c>
      <c r="BO319">
        <v>1</v>
      </c>
      <c r="BP319">
        <v>0</v>
      </c>
      <c r="BQ319">
        <v>0</v>
      </c>
      <c r="BR319">
        <v>0</v>
      </c>
      <c r="BS319">
        <v>0</v>
      </c>
    </row>
    <row r="320" spans="1:71" x14ac:dyDescent="0.3">
      <c r="A320" t="s">
        <v>1437</v>
      </c>
      <c r="B320" t="s">
        <v>1438</v>
      </c>
      <c r="C320" t="s">
        <v>29</v>
      </c>
      <c r="D320" t="s">
        <v>29</v>
      </c>
      <c r="E320" t="s">
        <v>29</v>
      </c>
      <c r="F320" t="s">
        <v>1439</v>
      </c>
      <c r="G320" t="s">
        <v>296</v>
      </c>
      <c r="H320">
        <v>2016</v>
      </c>
      <c r="I320">
        <v>37</v>
      </c>
      <c r="J320">
        <v>2</v>
      </c>
      <c r="K320" t="s">
        <v>29</v>
      </c>
      <c r="L320" t="s">
        <v>29</v>
      </c>
      <c r="M320" t="s">
        <v>29</v>
      </c>
      <c r="N320">
        <v>88</v>
      </c>
      <c r="O320" t="s">
        <v>49</v>
      </c>
      <c r="P320" t="s">
        <v>29</v>
      </c>
      <c r="Q320" t="s">
        <v>1440</v>
      </c>
      <c r="R320" t="s">
        <v>29</v>
      </c>
      <c r="S320" t="s">
        <v>29</v>
      </c>
      <c r="T320">
        <v>2</v>
      </c>
      <c r="U320">
        <v>0.22</v>
      </c>
      <c r="V320">
        <v>0</v>
      </c>
      <c r="W320">
        <v>0</v>
      </c>
      <c r="X320">
        <v>0</v>
      </c>
      <c r="Y320">
        <v>0</v>
      </c>
      <c r="Z320">
        <v>0</v>
      </c>
      <c r="AA320">
        <v>0</v>
      </c>
      <c r="AB320">
        <v>0</v>
      </c>
      <c r="AC320">
        <v>0</v>
      </c>
      <c r="AD320">
        <v>0</v>
      </c>
      <c r="AE320">
        <v>0</v>
      </c>
      <c r="AF320">
        <v>0</v>
      </c>
      <c r="AG320">
        <v>0</v>
      </c>
      <c r="AH320">
        <v>0</v>
      </c>
      <c r="AI320">
        <v>0</v>
      </c>
      <c r="AJ320">
        <v>0</v>
      </c>
      <c r="AK320">
        <v>0</v>
      </c>
      <c r="AL320">
        <v>0</v>
      </c>
      <c r="AM320">
        <v>0</v>
      </c>
      <c r="AN320">
        <v>0</v>
      </c>
      <c r="AO320">
        <v>0</v>
      </c>
      <c r="AP320">
        <v>0</v>
      </c>
      <c r="AQ320">
        <v>0</v>
      </c>
      <c r="AR320">
        <v>0</v>
      </c>
      <c r="AS320">
        <v>0</v>
      </c>
      <c r="AT320">
        <v>0</v>
      </c>
      <c r="AU320">
        <v>0</v>
      </c>
      <c r="AV320">
        <v>0</v>
      </c>
      <c r="AW320">
        <v>0</v>
      </c>
      <c r="AX320">
        <v>0</v>
      </c>
      <c r="AY320">
        <v>0</v>
      </c>
      <c r="AZ320">
        <v>0</v>
      </c>
      <c r="BA320">
        <v>0</v>
      </c>
      <c r="BB320">
        <v>0</v>
      </c>
      <c r="BC320">
        <v>0</v>
      </c>
      <c r="BD320">
        <v>0</v>
      </c>
      <c r="BE320">
        <v>0</v>
      </c>
      <c r="BF320">
        <v>0</v>
      </c>
      <c r="BG320">
        <v>0</v>
      </c>
      <c r="BH320">
        <v>0</v>
      </c>
      <c r="BI320">
        <v>0</v>
      </c>
      <c r="BJ320">
        <v>0</v>
      </c>
      <c r="BK320">
        <v>0</v>
      </c>
      <c r="BL320">
        <v>1</v>
      </c>
      <c r="BM320">
        <v>0</v>
      </c>
      <c r="BN320">
        <v>0</v>
      </c>
      <c r="BO320">
        <v>0</v>
      </c>
      <c r="BP320">
        <v>1</v>
      </c>
      <c r="BQ320">
        <v>0</v>
      </c>
      <c r="BR320">
        <v>0</v>
      </c>
      <c r="BS320">
        <v>0</v>
      </c>
    </row>
    <row r="321" spans="1:71" x14ac:dyDescent="0.3">
      <c r="A321" t="s">
        <v>1441</v>
      </c>
      <c r="B321" t="s">
        <v>1442</v>
      </c>
      <c r="C321" t="s">
        <v>29</v>
      </c>
      <c r="D321" t="s">
        <v>29</v>
      </c>
      <c r="E321" t="s">
        <v>29</v>
      </c>
      <c r="F321" t="s">
        <v>1443</v>
      </c>
      <c r="G321">
        <v>2016</v>
      </c>
      <c r="H321">
        <v>2016</v>
      </c>
      <c r="I321" t="s">
        <v>29</v>
      </c>
      <c r="J321" t="s">
        <v>29</v>
      </c>
      <c r="K321" t="s">
        <v>29</v>
      </c>
      <c r="L321" t="s">
        <v>29</v>
      </c>
      <c r="M321" t="s">
        <v>29</v>
      </c>
      <c r="N321" t="s">
        <v>29</v>
      </c>
      <c r="O321" t="s">
        <v>29</v>
      </c>
      <c r="P321" t="s">
        <v>29</v>
      </c>
      <c r="Q321" t="s">
        <v>1444</v>
      </c>
      <c r="R321" t="s">
        <v>1445</v>
      </c>
      <c r="S321" t="s">
        <v>1446</v>
      </c>
      <c r="T321">
        <v>2</v>
      </c>
      <c r="U321">
        <v>0.22</v>
      </c>
      <c r="V321">
        <v>0</v>
      </c>
      <c r="W321">
        <v>0</v>
      </c>
      <c r="X321">
        <v>0</v>
      </c>
      <c r="Y321">
        <v>0</v>
      </c>
      <c r="Z321">
        <v>0</v>
      </c>
      <c r="AA321">
        <v>0</v>
      </c>
      <c r="AB321">
        <v>0</v>
      </c>
      <c r="AC321">
        <v>0</v>
      </c>
      <c r="AD321">
        <v>0</v>
      </c>
      <c r="AE321">
        <v>0</v>
      </c>
      <c r="AF321">
        <v>0</v>
      </c>
      <c r="AG321">
        <v>0</v>
      </c>
      <c r="AH321">
        <v>0</v>
      </c>
      <c r="AI321">
        <v>0</v>
      </c>
      <c r="AJ321">
        <v>0</v>
      </c>
      <c r="AK321">
        <v>0</v>
      </c>
      <c r="AL321">
        <v>0</v>
      </c>
      <c r="AM321">
        <v>0</v>
      </c>
      <c r="AN321">
        <v>0</v>
      </c>
      <c r="AO321">
        <v>0</v>
      </c>
      <c r="AP321">
        <v>0</v>
      </c>
      <c r="AQ321">
        <v>0</v>
      </c>
      <c r="AR321">
        <v>0</v>
      </c>
      <c r="AS321">
        <v>0</v>
      </c>
      <c r="AT321">
        <v>0</v>
      </c>
      <c r="AU321">
        <v>0</v>
      </c>
      <c r="AV321">
        <v>0</v>
      </c>
      <c r="AW321">
        <v>0</v>
      </c>
      <c r="AX321">
        <v>0</v>
      </c>
      <c r="AY321">
        <v>0</v>
      </c>
      <c r="AZ321">
        <v>0</v>
      </c>
      <c r="BA321">
        <v>0</v>
      </c>
      <c r="BB321">
        <v>0</v>
      </c>
      <c r="BC321">
        <v>0</v>
      </c>
      <c r="BD321">
        <v>0</v>
      </c>
      <c r="BE321">
        <v>0</v>
      </c>
      <c r="BF321">
        <v>0</v>
      </c>
      <c r="BG321">
        <v>0</v>
      </c>
      <c r="BH321">
        <v>0</v>
      </c>
      <c r="BI321">
        <v>0</v>
      </c>
      <c r="BJ321">
        <v>0</v>
      </c>
      <c r="BK321">
        <v>0</v>
      </c>
      <c r="BL321">
        <v>0</v>
      </c>
      <c r="BM321">
        <v>0</v>
      </c>
      <c r="BN321">
        <v>1</v>
      </c>
      <c r="BO321">
        <v>0</v>
      </c>
      <c r="BP321">
        <v>0</v>
      </c>
      <c r="BQ321">
        <v>1</v>
      </c>
      <c r="BR321">
        <v>0</v>
      </c>
      <c r="BS321">
        <v>0</v>
      </c>
    </row>
    <row r="322" spans="1:71" x14ac:dyDescent="0.3">
      <c r="A322" t="s">
        <v>1447</v>
      </c>
      <c r="B322" t="s">
        <v>1448</v>
      </c>
      <c r="C322" t="s">
        <v>29</v>
      </c>
      <c r="D322" t="s">
        <v>29</v>
      </c>
      <c r="E322" t="s">
        <v>29</v>
      </c>
      <c r="F322" t="s">
        <v>1449</v>
      </c>
      <c r="G322">
        <v>2016</v>
      </c>
      <c r="H322">
        <v>2016</v>
      </c>
      <c r="I322">
        <v>55</v>
      </c>
      <c r="J322">
        <v>2</v>
      </c>
      <c r="K322" t="s">
        <v>29</v>
      </c>
      <c r="L322" t="s">
        <v>29</v>
      </c>
      <c r="M322" t="s">
        <v>29</v>
      </c>
      <c r="N322">
        <v>481</v>
      </c>
      <c r="O322">
        <v>487</v>
      </c>
      <c r="P322" t="s">
        <v>29</v>
      </c>
      <c r="Q322" t="s">
        <v>1450</v>
      </c>
      <c r="R322" t="s">
        <v>29</v>
      </c>
      <c r="S322" t="s">
        <v>29</v>
      </c>
      <c r="T322">
        <v>2</v>
      </c>
      <c r="U322">
        <v>0.22</v>
      </c>
      <c r="V322">
        <v>0</v>
      </c>
      <c r="W322">
        <v>0</v>
      </c>
      <c r="X322">
        <v>0</v>
      </c>
      <c r="Y322">
        <v>0</v>
      </c>
      <c r="Z322">
        <v>0</v>
      </c>
      <c r="AA322">
        <v>0</v>
      </c>
      <c r="AB322">
        <v>0</v>
      </c>
      <c r="AC322">
        <v>0</v>
      </c>
      <c r="AD322">
        <v>0</v>
      </c>
      <c r="AE322">
        <v>0</v>
      </c>
      <c r="AF322">
        <v>0</v>
      </c>
      <c r="AG322">
        <v>0</v>
      </c>
      <c r="AH322">
        <v>0</v>
      </c>
      <c r="AI322">
        <v>0</v>
      </c>
      <c r="AJ322">
        <v>0</v>
      </c>
      <c r="AK322">
        <v>0</v>
      </c>
      <c r="AL322">
        <v>0</v>
      </c>
      <c r="AM322">
        <v>0</v>
      </c>
      <c r="AN322">
        <v>0</v>
      </c>
      <c r="AO322">
        <v>0</v>
      </c>
      <c r="AP322">
        <v>0</v>
      </c>
      <c r="AQ322">
        <v>0</v>
      </c>
      <c r="AR322">
        <v>0</v>
      </c>
      <c r="AS322">
        <v>0</v>
      </c>
      <c r="AT322">
        <v>0</v>
      </c>
      <c r="AU322">
        <v>0</v>
      </c>
      <c r="AV322">
        <v>0</v>
      </c>
      <c r="AW322">
        <v>0</v>
      </c>
      <c r="AX322">
        <v>0</v>
      </c>
      <c r="AY322">
        <v>0</v>
      </c>
      <c r="AZ322">
        <v>0</v>
      </c>
      <c r="BA322">
        <v>0</v>
      </c>
      <c r="BB322">
        <v>0</v>
      </c>
      <c r="BC322">
        <v>0</v>
      </c>
      <c r="BD322">
        <v>0</v>
      </c>
      <c r="BE322">
        <v>0</v>
      </c>
      <c r="BF322">
        <v>0</v>
      </c>
      <c r="BG322">
        <v>0</v>
      </c>
      <c r="BH322">
        <v>0</v>
      </c>
      <c r="BI322">
        <v>0</v>
      </c>
      <c r="BJ322">
        <v>0</v>
      </c>
      <c r="BK322">
        <v>0</v>
      </c>
      <c r="BL322">
        <v>0</v>
      </c>
      <c r="BM322">
        <v>0</v>
      </c>
      <c r="BN322">
        <v>0</v>
      </c>
      <c r="BO322">
        <v>2</v>
      </c>
      <c r="BP322">
        <v>0</v>
      </c>
      <c r="BQ322">
        <v>0</v>
      </c>
      <c r="BR322">
        <v>0</v>
      </c>
      <c r="BS322">
        <v>0</v>
      </c>
    </row>
    <row r="323" spans="1:71" x14ac:dyDescent="0.3">
      <c r="A323" t="s">
        <v>1451</v>
      </c>
      <c r="B323" t="s">
        <v>1452</v>
      </c>
      <c r="C323" t="s">
        <v>29</v>
      </c>
      <c r="D323" t="s">
        <v>29</v>
      </c>
      <c r="E323" t="s">
        <v>1453</v>
      </c>
      <c r="F323" t="s">
        <v>1454</v>
      </c>
      <c r="G323">
        <v>2016</v>
      </c>
      <c r="H323">
        <v>2016</v>
      </c>
      <c r="I323" t="s">
        <v>29</v>
      </c>
      <c r="J323" t="s">
        <v>29</v>
      </c>
      <c r="K323" t="s">
        <v>29</v>
      </c>
      <c r="L323" t="s">
        <v>29</v>
      </c>
      <c r="M323" t="s">
        <v>29</v>
      </c>
      <c r="N323">
        <v>1812</v>
      </c>
      <c r="O323">
        <v>1823</v>
      </c>
      <c r="P323" t="s">
        <v>29</v>
      </c>
      <c r="Q323" t="s">
        <v>29</v>
      </c>
      <c r="R323" t="s">
        <v>1455</v>
      </c>
      <c r="S323" t="s">
        <v>1456</v>
      </c>
      <c r="T323">
        <v>2</v>
      </c>
      <c r="U323">
        <v>0.22</v>
      </c>
      <c r="V323">
        <v>0</v>
      </c>
      <c r="W323">
        <v>0</v>
      </c>
      <c r="X323">
        <v>0</v>
      </c>
      <c r="Y323">
        <v>0</v>
      </c>
      <c r="Z323">
        <v>0</v>
      </c>
      <c r="AA323">
        <v>0</v>
      </c>
      <c r="AB323">
        <v>0</v>
      </c>
      <c r="AC323">
        <v>0</v>
      </c>
      <c r="AD323">
        <v>0</v>
      </c>
      <c r="AE323">
        <v>0</v>
      </c>
      <c r="AF323">
        <v>0</v>
      </c>
      <c r="AG323">
        <v>0</v>
      </c>
      <c r="AH323">
        <v>0</v>
      </c>
      <c r="AI323">
        <v>0</v>
      </c>
      <c r="AJ323">
        <v>0</v>
      </c>
      <c r="AK323">
        <v>0</v>
      </c>
      <c r="AL323">
        <v>0</v>
      </c>
      <c r="AM323">
        <v>0</v>
      </c>
      <c r="AN323">
        <v>0</v>
      </c>
      <c r="AO323">
        <v>0</v>
      </c>
      <c r="AP323">
        <v>0</v>
      </c>
      <c r="AQ323">
        <v>0</v>
      </c>
      <c r="AR323">
        <v>0</v>
      </c>
      <c r="AS323">
        <v>0</v>
      </c>
      <c r="AT323">
        <v>0</v>
      </c>
      <c r="AU323">
        <v>0</v>
      </c>
      <c r="AV323">
        <v>0</v>
      </c>
      <c r="AW323">
        <v>0</v>
      </c>
      <c r="AX323">
        <v>0</v>
      </c>
      <c r="AY323">
        <v>0</v>
      </c>
      <c r="AZ323">
        <v>0</v>
      </c>
      <c r="BA323">
        <v>0</v>
      </c>
      <c r="BB323">
        <v>0</v>
      </c>
      <c r="BC323">
        <v>0</v>
      </c>
      <c r="BD323">
        <v>0</v>
      </c>
      <c r="BE323">
        <v>0</v>
      </c>
      <c r="BF323">
        <v>0</v>
      </c>
      <c r="BG323">
        <v>0</v>
      </c>
      <c r="BH323">
        <v>0</v>
      </c>
      <c r="BI323">
        <v>0</v>
      </c>
      <c r="BJ323">
        <v>0</v>
      </c>
      <c r="BK323">
        <v>0</v>
      </c>
      <c r="BL323">
        <v>0</v>
      </c>
      <c r="BM323">
        <v>0</v>
      </c>
      <c r="BN323">
        <v>0</v>
      </c>
      <c r="BO323">
        <v>0</v>
      </c>
      <c r="BP323">
        <v>1</v>
      </c>
      <c r="BQ323">
        <v>0</v>
      </c>
      <c r="BR323">
        <v>1</v>
      </c>
      <c r="BS323">
        <v>0</v>
      </c>
    </row>
    <row r="324" spans="1:71" x14ac:dyDescent="0.3">
      <c r="A324" t="s">
        <v>1457</v>
      </c>
      <c r="B324" t="s">
        <v>1458</v>
      </c>
      <c r="C324" t="s">
        <v>29</v>
      </c>
      <c r="D324" t="s">
        <v>29</v>
      </c>
      <c r="E324" t="s">
        <v>1459</v>
      </c>
      <c r="F324" t="s">
        <v>1460</v>
      </c>
      <c r="G324">
        <v>2015</v>
      </c>
      <c r="H324">
        <v>2015</v>
      </c>
      <c r="I324" t="s">
        <v>29</v>
      </c>
      <c r="J324" t="s">
        <v>29</v>
      </c>
      <c r="K324" t="s">
        <v>29</v>
      </c>
      <c r="L324" t="s">
        <v>29</v>
      </c>
      <c r="M324" t="s">
        <v>29</v>
      </c>
      <c r="N324">
        <v>5268</v>
      </c>
      <c r="O324">
        <v>5276</v>
      </c>
      <c r="P324" t="s">
        <v>29</v>
      </c>
      <c r="Q324" t="s">
        <v>29</v>
      </c>
      <c r="R324" t="s">
        <v>1461</v>
      </c>
      <c r="S324" t="s">
        <v>1462</v>
      </c>
      <c r="T324">
        <v>2</v>
      </c>
      <c r="U324">
        <v>0.2</v>
      </c>
      <c r="V324">
        <v>0</v>
      </c>
      <c r="W324">
        <v>0</v>
      </c>
      <c r="X324">
        <v>0</v>
      </c>
      <c r="Y324">
        <v>0</v>
      </c>
      <c r="Z324">
        <v>0</v>
      </c>
      <c r="AA324">
        <v>0</v>
      </c>
      <c r="AB324">
        <v>0</v>
      </c>
      <c r="AC324">
        <v>0</v>
      </c>
      <c r="AD324">
        <v>0</v>
      </c>
      <c r="AE324">
        <v>0</v>
      </c>
      <c r="AF324">
        <v>0</v>
      </c>
      <c r="AG324">
        <v>0</v>
      </c>
      <c r="AH324">
        <v>0</v>
      </c>
      <c r="AI324">
        <v>0</v>
      </c>
      <c r="AJ324">
        <v>0</v>
      </c>
      <c r="AK324">
        <v>0</v>
      </c>
      <c r="AL324">
        <v>0</v>
      </c>
      <c r="AM324">
        <v>0</v>
      </c>
      <c r="AN324">
        <v>0</v>
      </c>
      <c r="AO324">
        <v>0</v>
      </c>
      <c r="AP324">
        <v>0</v>
      </c>
      <c r="AQ324">
        <v>0</v>
      </c>
      <c r="AR324">
        <v>0</v>
      </c>
      <c r="AS324">
        <v>0</v>
      </c>
      <c r="AT324">
        <v>0</v>
      </c>
      <c r="AU324">
        <v>0</v>
      </c>
      <c r="AV324">
        <v>0</v>
      </c>
      <c r="AW324">
        <v>0</v>
      </c>
      <c r="AX324">
        <v>0</v>
      </c>
      <c r="AY324">
        <v>0</v>
      </c>
      <c r="AZ324">
        <v>0</v>
      </c>
      <c r="BA324">
        <v>0</v>
      </c>
      <c r="BB324">
        <v>0</v>
      </c>
      <c r="BC324">
        <v>0</v>
      </c>
      <c r="BD324">
        <v>0</v>
      </c>
      <c r="BE324">
        <v>0</v>
      </c>
      <c r="BF324">
        <v>0</v>
      </c>
      <c r="BG324">
        <v>0</v>
      </c>
      <c r="BH324">
        <v>0</v>
      </c>
      <c r="BI324">
        <v>0</v>
      </c>
      <c r="BJ324">
        <v>0</v>
      </c>
      <c r="BK324">
        <v>1</v>
      </c>
      <c r="BL324">
        <v>0</v>
      </c>
      <c r="BM324">
        <v>1</v>
      </c>
      <c r="BN324">
        <v>0</v>
      </c>
      <c r="BO324">
        <v>0</v>
      </c>
      <c r="BP324">
        <v>0</v>
      </c>
      <c r="BQ324">
        <v>0</v>
      </c>
      <c r="BR324">
        <v>0</v>
      </c>
      <c r="BS324">
        <v>0</v>
      </c>
    </row>
    <row r="325" spans="1:71" x14ac:dyDescent="0.3">
      <c r="A325" t="s">
        <v>1463</v>
      </c>
      <c r="B325" t="s">
        <v>847</v>
      </c>
      <c r="C325" t="s">
        <v>29</v>
      </c>
      <c r="D325" t="s">
        <v>29</v>
      </c>
      <c r="E325" t="s">
        <v>29</v>
      </c>
      <c r="F325" t="s">
        <v>1464</v>
      </c>
      <c r="G325">
        <v>2014</v>
      </c>
      <c r="H325">
        <v>2014</v>
      </c>
      <c r="I325" t="s">
        <v>29</v>
      </c>
      <c r="J325" t="s">
        <v>29</v>
      </c>
      <c r="K325" t="s">
        <v>29</v>
      </c>
      <c r="L325" t="s">
        <v>29</v>
      </c>
      <c r="M325" t="s">
        <v>29</v>
      </c>
      <c r="N325">
        <v>835</v>
      </c>
      <c r="O325">
        <v>843</v>
      </c>
      <c r="P325" t="s">
        <v>29</v>
      </c>
      <c r="Q325" t="s">
        <v>29</v>
      </c>
      <c r="R325" t="s">
        <v>1465</v>
      </c>
      <c r="S325" t="s">
        <v>1466</v>
      </c>
      <c r="T325">
        <v>2</v>
      </c>
      <c r="U325">
        <v>0.18</v>
      </c>
      <c r="V325">
        <v>0</v>
      </c>
      <c r="W325">
        <v>0</v>
      </c>
      <c r="X325">
        <v>0</v>
      </c>
      <c r="Y325">
        <v>0</v>
      </c>
      <c r="Z325">
        <v>0</v>
      </c>
      <c r="AA325">
        <v>0</v>
      </c>
      <c r="AB325">
        <v>0</v>
      </c>
      <c r="AC325">
        <v>0</v>
      </c>
      <c r="AD325">
        <v>0</v>
      </c>
      <c r="AE325">
        <v>0</v>
      </c>
      <c r="AF325">
        <v>0</v>
      </c>
      <c r="AG325">
        <v>0</v>
      </c>
      <c r="AH325">
        <v>0</v>
      </c>
      <c r="AI325">
        <v>0</v>
      </c>
      <c r="AJ325">
        <v>0</v>
      </c>
      <c r="AK325">
        <v>0</v>
      </c>
      <c r="AL325">
        <v>0</v>
      </c>
      <c r="AM325">
        <v>0</v>
      </c>
      <c r="AN325">
        <v>0</v>
      </c>
      <c r="AO325">
        <v>0</v>
      </c>
      <c r="AP325">
        <v>0</v>
      </c>
      <c r="AQ325">
        <v>0</v>
      </c>
      <c r="AR325">
        <v>0</v>
      </c>
      <c r="AS325">
        <v>0</v>
      </c>
      <c r="AT325">
        <v>0</v>
      </c>
      <c r="AU325">
        <v>0</v>
      </c>
      <c r="AV325">
        <v>0</v>
      </c>
      <c r="AW325">
        <v>0</v>
      </c>
      <c r="AX325">
        <v>0</v>
      </c>
      <c r="AY325">
        <v>0</v>
      </c>
      <c r="AZ325">
        <v>0</v>
      </c>
      <c r="BA325">
        <v>0</v>
      </c>
      <c r="BB325">
        <v>0</v>
      </c>
      <c r="BC325">
        <v>0</v>
      </c>
      <c r="BD325">
        <v>0</v>
      </c>
      <c r="BE325">
        <v>0</v>
      </c>
      <c r="BF325">
        <v>0</v>
      </c>
      <c r="BG325">
        <v>0</v>
      </c>
      <c r="BH325">
        <v>0</v>
      </c>
      <c r="BI325">
        <v>0</v>
      </c>
      <c r="BJ325">
        <v>0</v>
      </c>
      <c r="BK325">
        <v>0</v>
      </c>
      <c r="BL325">
        <v>0</v>
      </c>
      <c r="BM325">
        <v>1</v>
      </c>
      <c r="BN325">
        <v>0</v>
      </c>
      <c r="BO325">
        <v>0</v>
      </c>
      <c r="BP325">
        <v>0</v>
      </c>
      <c r="BQ325">
        <v>1</v>
      </c>
      <c r="BR325">
        <v>0</v>
      </c>
      <c r="BS325">
        <v>0</v>
      </c>
    </row>
    <row r="326" spans="1:71" x14ac:dyDescent="0.3">
      <c r="A326" t="s">
        <v>1467</v>
      </c>
      <c r="B326" t="s">
        <v>1468</v>
      </c>
      <c r="C326" t="s">
        <v>29</v>
      </c>
      <c r="D326" t="s">
        <v>29</v>
      </c>
      <c r="E326" t="s">
        <v>29</v>
      </c>
      <c r="F326" t="s">
        <v>1469</v>
      </c>
      <c r="G326">
        <v>2014</v>
      </c>
      <c r="H326">
        <v>2014</v>
      </c>
      <c r="I326" t="s">
        <v>29</v>
      </c>
      <c r="J326" t="s">
        <v>29</v>
      </c>
      <c r="K326" t="s">
        <v>29</v>
      </c>
      <c r="L326" t="s">
        <v>29</v>
      </c>
      <c r="M326" t="s">
        <v>29</v>
      </c>
      <c r="N326">
        <v>18</v>
      </c>
      <c r="O326">
        <v>23</v>
      </c>
      <c r="P326" t="s">
        <v>29</v>
      </c>
      <c r="Q326" t="s">
        <v>29</v>
      </c>
      <c r="R326" t="s">
        <v>1470</v>
      </c>
      <c r="S326" t="s">
        <v>1471</v>
      </c>
      <c r="T326">
        <v>2</v>
      </c>
      <c r="U326">
        <v>0.18</v>
      </c>
      <c r="V326">
        <v>0</v>
      </c>
      <c r="W326">
        <v>0</v>
      </c>
      <c r="X326">
        <v>0</v>
      </c>
      <c r="Y326">
        <v>0</v>
      </c>
      <c r="Z326">
        <v>0</v>
      </c>
      <c r="AA326">
        <v>0</v>
      </c>
      <c r="AB326">
        <v>0</v>
      </c>
      <c r="AC326">
        <v>0</v>
      </c>
      <c r="AD326">
        <v>0</v>
      </c>
      <c r="AE326">
        <v>0</v>
      </c>
      <c r="AF326">
        <v>0</v>
      </c>
      <c r="AG326">
        <v>0</v>
      </c>
      <c r="AH326">
        <v>0</v>
      </c>
      <c r="AI326">
        <v>0</v>
      </c>
      <c r="AJ326">
        <v>0</v>
      </c>
      <c r="AK326">
        <v>0</v>
      </c>
      <c r="AL326">
        <v>0</v>
      </c>
      <c r="AM326">
        <v>0</v>
      </c>
      <c r="AN326">
        <v>0</v>
      </c>
      <c r="AO326">
        <v>0</v>
      </c>
      <c r="AP326">
        <v>0</v>
      </c>
      <c r="AQ326">
        <v>0</v>
      </c>
      <c r="AR326">
        <v>0</v>
      </c>
      <c r="AS326">
        <v>0</v>
      </c>
      <c r="AT326">
        <v>0</v>
      </c>
      <c r="AU326">
        <v>0</v>
      </c>
      <c r="AV326">
        <v>0</v>
      </c>
      <c r="AW326">
        <v>0</v>
      </c>
      <c r="AX326">
        <v>0</v>
      </c>
      <c r="AY326">
        <v>0</v>
      </c>
      <c r="AZ326">
        <v>0</v>
      </c>
      <c r="BA326">
        <v>0</v>
      </c>
      <c r="BB326">
        <v>0</v>
      </c>
      <c r="BC326">
        <v>0</v>
      </c>
      <c r="BD326">
        <v>0</v>
      </c>
      <c r="BE326">
        <v>0</v>
      </c>
      <c r="BF326">
        <v>0</v>
      </c>
      <c r="BG326">
        <v>0</v>
      </c>
      <c r="BH326">
        <v>0</v>
      </c>
      <c r="BI326">
        <v>0</v>
      </c>
      <c r="BJ326">
        <v>0</v>
      </c>
      <c r="BK326">
        <v>0</v>
      </c>
      <c r="BL326">
        <v>1</v>
      </c>
      <c r="BM326">
        <v>1</v>
      </c>
      <c r="BN326">
        <v>0</v>
      </c>
      <c r="BO326">
        <v>0</v>
      </c>
      <c r="BP326">
        <v>0</v>
      </c>
      <c r="BQ326">
        <v>0</v>
      </c>
      <c r="BR326">
        <v>0</v>
      </c>
      <c r="BS326">
        <v>0</v>
      </c>
    </row>
    <row r="327" spans="1:71" x14ac:dyDescent="0.3">
      <c r="A327" t="s">
        <v>1472</v>
      </c>
      <c r="B327" t="s">
        <v>1473</v>
      </c>
      <c r="C327" t="s">
        <v>29</v>
      </c>
      <c r="D327" t="s">
        <v>29</v>
      </c>
      <c r="E327" t="s">
        <v>29</v>
      </c>
      <c r="F327" t="s">
        <v>1474</v>
      </c>
      <c r="G327">
        <v>2013</v>
      </c>
      <c r="H327">
        <v>2013</v>
      </c>
      <c r="I327">
        <v>44</v>
      </c>
      <c r="J327">
        <v>1</v>
      </c>
      <c r="K327" t="s">
        <v>29</v>
      </c>
      <c r="L327" t="s">
        <v>29</v>
      </c>
      <c r="M327" t="s">
        <v>29</v>
      </c>
      <c r="N327">
        <v>127</v>
      </c>
      <c r="O327">
        <v>143</v>
      </c>
      <c r="P327" t="s">
        <v>29</v>
      </c>
      <c r="Q327" t="s">
        <v>1475</v>
      </c>
      <c r="R327" t="s">
        <v>29</v>
      </c>
      <c r="S327" t="s">
        <v>29</v>
      </c>
      <c r="T327">
        <v>2</v>
      </c>
      <c r="U327">
        <v>0.17</v>
      </c>
      <c r="V327">
        <v>0</v>
      </c>
      <c r="W327">
        <v>0</v>
      </c>
      <c r="X327">
        <v>0</v>
      </c>
      <c r="Y327">
        <v>0</v>
      </c>
      <c r="Z327">
        <v>0</v>
      </c>
      <c r="AA327">
        <v>0</v>
      </c>
      <c r="AB327">
        <v>0</v>
      </c>
      <c r="AC327">
        <v>0</v>
      </c>
      <c r="AD327">
        <v>0</v>
      </c>
      <c r="AE327">
        <v>0</v>
      </c>
      <c r="AF327">
        <v>0</v>
      </c>
      <c r="AG327">
        <v>0</v>
      </c>
      <c r="AH327">
        <v>0</v>
      </c>
      <c r="AI327">
        <v>0</v>
      </c>
      <c r="AJ327">
        <v>0</v>
      </c>
      <c r="AK327">
        <v>0</v>
      </c>
      <c r="AL327">
        <v>0</v>
      </c>
      <c r="AM327">
        <v>0</v>
      </c>
      <c r="AN327">
        <v>0</v>
      </c>
      <c r="AO327">
        <v>0</v>
      </c>
      <c r="AP327">
        <v>0</v>
      </c>
      <c r="AQ327">
        <v>0</v>
      </c>
      <c r="AR327">
        <v>0</v>
      </c>
      <c r="AS327">
        <v>0</v>
      </c>
      <c r="AT327">
        <v>0</v>
      </c>
      <c r="AU327">
        <v>0</v>
      </c>
      <c r="AV327">
        <v>0</v>
      </c>
      <c r="AW327">
        <v>0</v>
      </c>
      <c r="AX327">
        <v>0</v>
      </c>
      <c r="AY327">
        <v>0</v>
      </c>
      <c r="AZ327">
        <v>0</v>
      </c>
      <c r="BA327">
        <v>0</v>
      </c>
      <c r="BB327">
        <v>0</v>
      </c>
      <c r="BC327">
        <v>0</v>
      </c>
      <c r="BD327">
        <v>0</v>
      </c>
      <c r="BE327">
        <v>0</v>
      </c>
      <c r="BF327">
        <v>0</v>
      </c>
      <c r="BG327">
        <v>0</v>
      </c>
      <c r="BH327">
        <v>0</v>
      </c>
      <c r="BI327">
        <v>0</v>
      </c>
      <c r="BJ327">
        <v>0</v>
      </c>
      <c r="BK327">
        <v>0</v>
      </c>
      <c r="BL327">
        <v>2</v>
      </c>
      <c r="BM327">
        <v>0</v>
      </c>
      <c r="BN327">
        <v>0</v>
      </c>
      <c r="BO327">
        <v>0</v>
      </c>
      <c r="BP327">
        <v>0</v>
      </c>
      <c r="BQ327">
        <v>0</v>
      </c>
      <c r="BR327">
        <v>0</v>
      </c>
      <c r="BS327">
        <v>0</v>
      </c>
    </row>
    <row r="328" spans="1:71" x14ac:dyDescent="0.3">
      <c r="A328" t="s">
        <v>1476</v>
      </c>
      <c r="B328" t="s">
        <v>1477</v>
      </c>
      <c r="C328" t="s">
        <v>29</v>
      </c>
      <c r="D328" t="s">
        <v>29</v>
      </c>
      <c r="E328" t="s">
        <v>29</v>
      </c>
      <c r="F328" t="s">
        <v>1478</v>
      </c>
      <c r="G328" t="s">
        <v>1479</v>
      </c>
      <c r="H328">
        <v>2012</v>
      </c>
      <c r="I328">
        <v>13</v>
      </c>
      <c r="J328">
        <v>1</v>
      </c>
      <c r="K328" t="s">
        <v>29</v>
      </c>
      <c r="L328" t="s">
        <v>29</v>
      </c>
      <c r="M328" t="s">
        <v>29</v>
      </c>
      <c r="N328">
        <v>183</v>
      </c>
      <c r="O328">
        <v>223</v>
      </c>
      <c r="P328" t="s">
        <v>29</v>
      </c>
      <c r="Q328" t="s">
        <v>1480</v>
      </c>
      <c r="R328" t="s">
        <v>29</v>
      </c>
      <c r="S328" t="s">
        <v>29</v>
      </c>
      <c r="T328">
        <v>2</v>
      </c>
      <c r="U328">
        <v>0.15</v>
      </c>
      <c r="V328">
        <v>0</v>
      </c>
      <c r="W328">
        <v>0</v>
      </c>
      <c r="X328">
        <v>0</v>
      </c>
      <c r="Y328">
        <v>0</v>
      </c>
      <c r="Z328">
        <v>0</v>
      </c>
      <c r="AA328">
        <v>0</v>
      </c>
      <c r="AB328">
        <v>0</v>
      </c>
      <c r="AC328">
        <v>0</v>
      </c>
      <c r="AD328">
        <v>0</v>
      </c>
      <c r="AE328">
        <v>0</v>
      </c>
      <c r="AF328">
        <v>0</v>
      </c>
      <c r="AG328">
        <v>0</v>
      </c>
      <c r="AH328">
        <v>0</v>
      </c>
      <c r="AI328">
        <v>0</v>
      </c>
      <c r="AJ328">
        <v>0</v>
      </c>
      <c r="AK328">
        <v>0</v>
      </c>
      <c r="AL328">
        <v>0</v>
      </c>
      <c r="AM328">
        <v>0</v>
      </c>
      <c r="AN328">
        <v>0</v>
      </c>
      <c r="AO328">
        <v>0</v>
      </c>
      <c r="AP328">
        <v>0</v>
      </c>
      <c r="AQ328">
        <v>0</v>
      </c>
      <c r="AR328">
        <v>0</v>
      </c>
      <c r="AS328">
        <v>0</v>
      </c>
      <c r="AT328">
        <v>0</v>
      </c>
      <c r="AU328">
        <v>0</v>
      </c>
      <c r="AV328">
        <v>0</v>
      </c>
      <c r="AW328">
        <v>0</v>
      </c>
      <c r="AX328">
        <v>0</v>
      </c>
      <c r="AY328">
        <v>0</v>
      </c>
      <c r="AZ328">
        <v>0</v>
      </c>
      <c r="BA328">
        <v>0</v>
      </c>
      <c r="BB328">
        <v>0</v>
      </c>
      <c r="BC328">
        <v>0</v>
      </c>
      <c r="BD328">
        <v>0</v>
      </c>
      <c r="BE328">
        <v>0</v>
      </c>
      <c r="BF328">
        <v>0</v>
      </c>
      <c r="BG328">
        <v>0</v>
      </c>
      <c r="BH328">
        <v>0</v>
      </c>
      <c r="BI328">
        <v>0</v>
      </c>
      <c r="BJ328">
        <v>0</v>
      </c>
      <c r="BK328">
        <v>0</v>
      </c>
      <c r="BL328">
        <v>0</v>
      </c>
      <c r="BM328">
        <v>0</v>
      </c>
      <c r="BN328">
        <v>0</v>
      </c>
      <c r="BO328">
        <v>2</v>
      </c>
      <c r="BP328">
        <v>0</v>
      </c>
      <c r="BQ328">
        <v>0</v>
      </c>
      <c r="BR328">
        <v>0</v>
      </c>
      <c r="BS328">
        <v>0</v>
      </c>
    </row>
    <row r="329" spans="1:71" x14ac:dyDescent="0.3">
      <c r="A329" t="s">
        <v>1481</v>
      </c>
      <c r="B329" t="s">
        <v>1482</v>
      </c>
      <c r="C329" t="s">
        <v>29</v>
      </c>
      <c r="D329" t="s">
        <v>29</v>
      </c>
      <c r="E329" t="s">
        <v>1483</v>
      </c>
      <c r="F329" t="s">
        <v>1484</v>
      </c>
      <c r="G329">
        <v>2008</v>
      </c>
      <c r="H329">
        <v>2008</v>
      </c>
      <c r="I329" t="s">
        <v>29</v>
      </c>
      <c r="J329" t="s">
        <v>29</v>
      </c>
      <c r="K329" t="s">
        <v>29</v>
      </c>
      <c r="L329" t="s">
        <v>29</v>
      </c>
      <c r="M329" t="s">
        <v>29</v>
      </c>
      <c r="N329">
        <v>264</v>
      </c>
      <c r="O329" t="s">
        <v>49</v>
      </c>
      <c r="P329" t="s">
        <v>29</v>
      </c>
      <c r="Q329" t="s">
        <v>29</v>
      </c>
      <c r="R329" t="s">
        <v>1485</v>
      </c>
      <c r="S329" t="s">
        <v>1486</v>
      </c>
      <c r="T329">
        <v>2</v>
      </c>
      <c r="U329">
        <v>0.12</v>
      </c>
      <c r="V329">
        <v>0</v>
      </c>
      <c r="W329">
        <v>0</v>
      </c>
      <c r="X329">
        <v>0</v>
      </c>
      <c r="Y329">
        <v>0</v>
      </c>
      <c r="Z329">
        <v>0</v>
      </c>
      <c r="AA329">
        <v>0</v>
      </c>
      <c r="AB329">
        <v>0</v>
      </c>
      <c r="AC329">
        <v>0</v>
      </c>
      <c r="AD329">
        <v>0</v>
      </c>
      <c r="AE329">
        <v>0</v>
      </c>
      <c r="AF329">
        <v>0</v>
      </c>
      <c r="AG329">
        <v>0</v>
      </c>
      <c r="AH329">
        <v>0</v>
      </c>
      <c r="AI329">
        <v>0</v>
      </c>
      <c r="AJ329">
        <v>0</v>
      </c>
      <c r="AK329">
        <v>0</v>
      </c>
      <c r="AL329">
        <v>0</v>
      </c>
      <c r="AM329">
        <v>0</v>
      </c>
      <c r="AN329">
        <v>0</v>
      </c>
      <c r="AO329">
        <v>0</v>
      </c>
      <c r="AP329">
        <v>0</v>
      </c>
      <c r="AQ329">
        <v>0</v>
      </c>
      <c r="AR329">
        <v>0</v>
      </c>
      <c r="AS329">
        <v>0</v>
      </c>
      <c r="AT329">
        <v>0</v>
      </c>
      <c r="AU329">
        <v>0</v>
      </c>
      <c r="AV329">
        <v>0</v>
      </c>
      <c r="AW329">
        <v>0</v>
      </c>
      <c r="AX329">
        <v>0</v>
      </c>
      <c r="AY329">
        <v>0</v>
      </c>
      <c r="AZ329">
        <v>0</v>
      </c>
      <c r="BA329">
        <v>0</v>
      </c>
      <c r="BB329">
        <v>0</v>
      </c>
      <c r="BC329">
        <v>0</v>
      </c>
      <c r="BD329">
        <v>0</v>
      </c>
      <c r="BE329">
        <v>0</v>
      </c>
      <c r="BF329">
        <v>0</v>
      </c>
      <c r="BG329">
        <v>1</v>
      </c>
      <c r="BH329">
        <v>0</v>
      </c>
      <c r="BI329">
        <v>0</v>
      </c>
      <c r="BJ329">
        <v>0</v>
      </c>
      <c r="BK329">
        <v>0</v>
      </c>
      <c r="BL329">
        <v>0</v>
      </c>
      <c r="BM329">
        <v>0</v>
      </c>
      <c r="BN329">
        <v>0</v>
      </c>
      <c r="BO329">
        <v>0</v>
      </c>
      <c r="BP329">
        <v>0</v>
      </c>
      <c r="BQ329">
        <v>1</v>
      </c>
      <c r="BR329">
        <v>0</v>
      </c>
      <c r="BS329">
        <v>0</v>
      </c>
    </row>
    <row r="330" spans="1:71" x14ac:dyDescent="0.3">
      <c r="A330" t="s">
        <v>1487</v>
      </c>
      <c r="B330" t="s">
        <v>1488</v>
      </c>
      <c r="C330" t="s">
        <v>29</v>
      </c>
      <c r="D330" t="s">
        <v>29</v>
      </c>
      <c r="E330" t="s">
        <v>1489</v>
      </c>
      <c r="F330" t="s">
        <v>1490</v>
      </c>
      <c r="G330">
        <v>2008</v>
      </c>
      <c r="H330">
        <v>2008</v>
      </c>
      <c r="I330" t="s">
        <v>29</v>
      </c>
      <c r="J330" t="s">
        <v>29</v>
      </c>
      <c r="K330" t="s">
        <v>29</v>
      </c>
      <c r="L330" t="s">
        <v>29</v>
      </c>
      <c r="M330" t="s">
        <v>29</v>
      </c>
      <c r="N330">
        <v>97</v>
      </c>
      <c r="O330">
        <v>100</v>
      </c>
      <c r="P330" t="s">
        <v>29</v>
      </c>
      <c r="Q330" t="s">
        <v>29</v>
      </c>
      <c r="R330" t="s">
        <v>1491</v>
      </c>
      <c r="S330" t="s">
        <v>1492</v>
      </c>
      <c r="T330">
        <v>2</v>
      </c>
      <c r="U330">
        <v>0.12</v>
      </c>
      <c r="V330">
        <v>0</v>
      </c>
      <c r="W330">
        <v>0</v>
      </c>
      <c r="X330">
        <v>0</v>
      </c>
      <c r="Y330">
        <v>0</v>
      </c>
      <c r="Z330">
        <v>0</v>
      </c>
      <c r="AA330">
        <v>0</v>
      </c>
      <c r="AB330">
        <v>0</v>
      </c>
      <c r="AC330">
        <v>0</v>
      </c>
      <c r="AD330">
        <v>0</v>
      </c>
      <c r="AE330">
        <v>0</v>
      </c>
      <c r="AF330">
        <v>0</v>
      </c>
      <c r="AG330">
        <v>0</v>
      </c>
      <c r="AH330">
        <v>0</v>
      </c>
      <c r="AI330">
        <v>0</v>
      </c>
      <c r="AJ330">
        <v>0</v>
      </c>
      <c r="AK330">
        <v>0</v>
      </c>
      <c r="AL330">
        <v>0</v>
      </c>
      <c r="AM330">
        <v>0</v>
      </c>
      <c r="AN330">
        <v>0</v>
      </c>
      <c r="AO330">
        <v>0</v>
      </c>
      <c r="AP330">
        <v>0</v>
      </c>
      <c r="AQ330">
        <v>0</v>
      </c>
      <c r="AR330">
        <v>0</v>
      </c>
      <c r="AS330">
        <v>0</v>
      </c>
      <c r="AT330">
        <v>0</v>
      </c>
      <c r="AU330">
        <v>0</v>
      </c>
      <c r="AV330">
        <v>0</v>
      </c>
      <c r="AW330">
        <v>0</v>
      </c>
      <c r="AX330">
        <v>0</v>
      </c>
      <c r="AY330">
        <v>0</v>
      </c>
      <c r="AZ330">
        <v>0</v>
      </c>
      <c r="BA330">
        <v>0</v>
      </c>
      <c r="BB330">
        <v>0</v>
      </c>
      <c r="BC330">
        <v>0</v>
      </c>
      <c r="BD330">
        <v>0</v>
      </c>
      <c r="BE330">
        <v>1</v>
      </c>
      <c r="BF330">
        <v>0</v>
      </c>
      <c r="BG330">
        <v>0</v>
      </c>
      <c r="BH330">
        <v>0</v>
      </c>
      <c r="BI330">
        <v>0</v>
      </c>
      <c r="BJ330">
        <v>0</v>
      </c>
      <c r="BK330">
        <v>0</v>
      </c>
      <c r="BL330">
        <v>0</v>
      </c>
      <c r="BM330">
        <v>0</v>
      </c>
      <c r="BN330">
        <v>0</v>
      </c>
      <c r="BO330">
        <v>0</v>
      </c>
      <c r="BP330">
        <v>1</v>
      </c>
      <c r="BQ330">
        <v>0</v>
      </c>
      <c r="BR330">
        <v>0</v>
      </c>
      <c r="BS330">
        <v>0</v>
      </c>
    </row>
    <row r="331" spans="1:71" x14ac:dyDescent="0.3">
      <c r="A331" t="s">
        <v>1493</v>
      </c>
      <c r="B331" t="s">
        <v>1494</v>
      </c>
      <c r="C331" t="s">
        <v>29</v>
      </c>
      <c r="D331" t="s">
        <v>29</v>
      </c>
      <c r="E331" t="s">
        <v>29</v>
      </c>
      <c r="F331" t="s">
        <v>1495</v>
      </c>
      <c r="G331" t="s">
        <v>1496</v>
      </c>
      <c r="H331">
        <v>2006</v>
      </c>
      <c r="I331">
        <v>38</v>
      </c>
      <c r="J331">
        <v>1</v>
      </c>
      <c r="K331" t="s">
        <v>29</v>
      </c>
      <c r="L331" t="s">
        <v>29</v>
      </c>
      <c r="M331" t="s">
        <v>29</v>
      </c>
      <c r="N331">
        <v>5</v>
      </c>
      <c r="O331">
        <v>16</v>
      </c>
      <c r="P331" t="s">
        <v>29</v>
      </c>
      <c r="Q331" t="s">
        <v>29</v>
      </c>
      <c r="R331" t="s">
        <v>29</v>
      </c>
      <c r="S331" t="s">
        <v>29</v>
      </c>
      <c r="T331">
        <v>2</v>
      </c>
      <c r="U331">
        <v>0.11</v>
      </c>
      <c r="V331">
        <v>0</v>
      </c>
      <c r="W331">
        <v>0</v>
      </c>
      <c r="X331">
        <v>0</v>
      </c>
      <c r="Y331">
        <v>0</v>
      </c>
      <c r="Z331">
        <v>0</v>
      </c>
      <c r="AA331">
        <v>0</v>
      </c>
      <c r="AB331">
        <v>0</v>
      </c>
      <c r="AC331">
        <v>0</v>
      </c>
      <c r="AD331">
        <v>0</v>
      </c>
      <c r="AE331">
        <v>0</v>
      </c>
      <c r="AF331">
        <v>0</v>
      </c>
      <c r="AG331">
        <v>0</v>
      </c>
      <c r="AH331">
        <v>0</v>
      </c>
      <c r="AI331">
        <v>0</v>
      </c>
      <c r="AJ331">
        <v>0</v>
      </c>
      <c r="AK331">
        <v>0</v>
      </c>
      <c r="AL331">
        <v>0</v>
      </c>
      <c r="AM331">
        <v>0</v>
      </c>
      <c r="AN331">
        <v>0</v>
      </c>
      <c r="AO331">
        <v>0</v>
      </c>
      <c r="AP331">
        <v>0</v>
      </c>
      <c r="AQ331">
        <v>0</v>
      </c>
      <c r="AR331">
        <v>0</v>
      </c>
      <c r="AS331">
        <v>0</v>
      </c>
      <c r="AT331">
        <v>0</v>
      </c>
      <c r="AU331">
        <v>0</v>
      </c>
      <c r="AV331">
        <v>0</v>
      </c>
      <c r="AW331">
        <v>0</v>
      </c>
      <c r="AX331">
        <v>0</v>
      </c>
      <c r="AY331">
        <v>0</v>
      </c>
      <c r="AZ331">
        <v>0</v>
      </c>
      <c r="BA331">
        <v>0</v>
      </c>
      <c r="BB331">
        <v>0</v>
      </c>
      <c r="BC331">
        <v>0</v>
      </c>
      <c r="BD331">
        <v>0</v>
      </c>
      <c r="BE331">
        <v>1</v>
      </c>
      <c r="BF331">
        <v>0</v>
      </c>
      <c r="BG331">
        <v>0</v>
      </c>
      <c r="BH331">
        <v>0</v>
      </c>
      <c r="BI331">
        <v>0</v>
      </c>
      <c r="BJ331">
        <v>0</v>
      </c>
      <c r="BK331">
        <v>0</v>
      </c>
      <c r="BL331">
        <v>0</v>
      </c>
      <c r="BM331">
        <v>0</v>
      </c>
      <c r="BN331">
        <v>0</v>
      </c>
      <c r="BO331">
        <v>0</v>
      </c>
      <c r="BP331">
        <v>0</v>
      </c>
      <c r="BQ331">
        <v>0</v>
      </c>
      <c r="BR331">
        <v>0</v>
      </c>
      <c r="BS331">
        <v>1</v>
      </c>
    </row>
    <row r="332" spans="1:71" x14ac:dyDescent="0.3">
      <c r="A332" t="s">
        <v>1497</v>
      </c>
      <c r="B332" t="s">
        <v>1498</v>
      </c>
      <c r="C332" t="s">
        <v>29</v>
      </c>
      <c r="D332" t="s">
        <v>29</v>
      </c>
      <c r="E332" t="s">
        <v>29</v>
      </c>
      <c r="F332" t="s">
        <v>486</v>
      </c>
      <c r="G332" t="s">
        <v>935</v>
      </c>
      <c r="H332">
        <v>2024</v>
      </c>
      <c r="I332">
        <v>16</v>
      </c>
      <c r="J332">
        <v>16</v>
      </c>
      <c r="K332" t="s">
        <v>29</v>
      </c>
      <c r="L332" t="s">
        <v>29</v>
      </c>
      <c r="M332" t="s">
        <v>29</v>
      </c>
      <c r="N332" t="s">
        <v>29</v>
      </c>
      <c r="O332" t="s">
        <v>29</v>
      </c>
      <c r="P332">
        <v>7061</v>
      </c>
      <c r="Q332" t="s">
        <v>1499</v>
      </c>
      <c r="R332" t="s">
        <v>29</v>
      </c>
      <c r="S332" t="s">
        <v>29</v>
      </c>
      <c r="T332">
        <v>1</v>
      </c>
      <c r="U332">
        <v>1</v>
      </c>
      <c r="V332">
        <v>0</v>
      </c>
      <c r="W332">
        <v>0</v>
      </c>
      <c r="X332">
        <v>0</v>
      </c>
      <c r="Y332">
        <v>0</v>
      </c>
      <c r="Z332">
        <v>0</v>
      </c>
      <c r="AA332">
        <v>0</v>
      </c>
      <c r="AB332">
        <v>0</v>
      </c>
      <c r="AC332">
        <v>0</v>
      </c>
      <c r="AD332">
        <v>0</v>
      </c>
      <c r="AE332">
        <v>0</v>
      </c>
      <c r="AF332">
        <v>0</v>
      </c>
      <c r="AG332">
        <v>0</v>
      </c>
      <c r="AH332">
        <v>0</v>
      </c>
      <c r="AI332">
        <v>0</v>
      </c>
      <c r="AJ332">
        <v>0</v>
      </c>
      <c r="AK332">
        <v>0</v>
      </c>
      <c r="AL332">
        <v>0</v>
      </c>
      <c r="AM332">
        <v>0</v>
      </c>
      <c r="AN332">
        <v>0</v>
      </c>
      <c r="AO332">
        <v>0</v>
      </c>
      <c r="AP332">
        <v>0</v>
      </c>
      <c r="AQ332">
        <v>0</v>
      </c>
      <c r="AR332">
        <v>0</v>
      </c>
      <c r="AS332">
        <v>0</v>
      </c>
      <c r="AT332">
        <v>0</v>
      </c>
      <c r="AU332">
        <v>0</v>
      </c>
      <c r="AV332">
        <v>0</v>
      </c>
      <c r="AW332">
        <v>0</v>
      </c>
      <c r="AX332">
        <v>0</v>
      </c>
      <c r="AY332">
        <v>0</v>
      </c>
      <c r="AZ332">
        <v>0</v>
      </c>
      <c r="BA332">
        <v>0</v>
      </c>
      <c r="BB332">
        <v>0</v>
      </c>
      <c r="BC332">
        <v>0</v>
      </c>
      <c r="BD332">
        <v>0</v>
      </c>
      <c r="BE332">
        <v>0</v>
      </c>
      <c r="BF332">
        <v>0</v>
      </c>
      <c r="BG332">
        <v>0</v>
      </c>
      <c r="BH332">
        <v>0</v>
      </c>
      <c r="BI332">
        <v>0</v>
      </c>
      <c r="BJ332">
        <v>0</v>
      </c>
      <c r="BK332">
        <v>0</v>
      </c>
      <c r="BL332">
        <v>0</v>
      </c>
      <c r="BM332">
        <v>0</v>
      </c>
      <c r="BN332">
        <v>0</v>
      </c>
      <c r="BO332">
        <v>0</v>
      </c>
      <c r="BP332">
        <v>0</v>
      </c>
      <c r="BQ332">
        <v>0</v>
      </c>
      <c r="BR332">
        <v>0</v>
      </c>
      <c r="BS332">
        <v>1</v>
      </c>
    </row>
    <row r="333" spans="1:71" x14ac:dyDescent="0.3">
      <c r="A333" t="s">
        <v>1500</v>
      </c>
      <c r="B333" t="s">
        <v>1501</v>
      </c>
      <c r="C333" t="s">
        <v>29</v>
      </c>
      <c r="D333" t="s">
        <v>29</v>
      </c>
      <c r="E333" t="s">
        <v>29</v>
      </c>
      <c r="F333" t="s">
        <v>1502</v>
      </c>
      <c r="G333" t="s">
        <v>1503</v>
      </c>
      <c r="H333">
        <v>2024</v>
      </c>
      <c r="I333">
        <v>228</v>
      </c>
      <c r="J333" t="s">
        <v>29</v>
      </c>
      <c r="K333" t="s">
        <v>29</v>
      </c>
      <c r="L333" t="s">
        <v>29</v>
      </c>
      <c r="M333" t="s">
        <v>29</v>
      </c>
      <c r="N333" t="s">
        <v>29</v>
      </c>
      <c r="O333" t="s">
        <v>29</v>
      </c>
      <c r="P333">
        <v>120660</v>
      </c>
      <c r="Q333" t="s">
        <v>1504</v>
      </c>
      <c r="R333" t="s">
        <v>29</v>
      </c>
      <c r="S333" t="s">
        <v>29</v>
      </c>
      <c r="T333">
        <v>1</v>
      </c>
      <c r="U333">
        <v>1</v>
      </c>
      <c r="V333">
        <v>0</v>
      </c>
      <c r="W333">
        <v>0</v>
      </c>
      <c r="X333">
        <v>0</v>
      </c>
      <c r="Y333">
        <v>0</v>
      </c>
      <c r="Z333">
        <v>0</v>
      </c>
      <c r="AA333">
        <v>0</v>
      </c>
      <c r="AB333">
        <v>0</v>
      </c>
      <c r="AC333">
        <v>0</v>
      </c>
      <c r="AD333">
        <v>0</v>
      </c>
      <c r="AE333">
        <v>0</v>
      </c>
      <c r="AF333">
        <v>0</v>
      </c>
      <c r="AG333">
        <v>0</v>
      </c>
      <c r="AH333">
        <v>0</v>
      </c>
      <c r="AI333">
        <v>0</v>
      </c>
      <c r="AJ333">
        <v>0</v>
      </c>
      <c r="AK333">
        <v>0</v>
      </c>
      <c r="AL333">
        <v>0</v>
      </c>
      <c r="AM333">
        <v>0</v>
      </c>
      <c r="AN333">
        <v>0</v>
      </c>
      <c r="AO333">
        <v>0</v>
      </c>
      <c r="AP333">
        <v>0</v>
      </c>
      <c r="AQ333">
        <v>0</v>
      </c>
      <c r="AR333">
        <v>0</v>
      </c>
      <c r="AS333">
        <v>0</v>
      </c>
      <c r="AT333">
        <v>0</v>
      </c>
      <c r="AU333">
        <v>0</v>
      </c>
      <c r="AV333">
        <v>0</v>
      </c>
      <c r="AW333">
        <v>0</v>
      </c>
      <c r="AX333">
        <v>0</v>
      </c>
      <c r="AY333">
        <v>0</v>
      </c>
      <c r="AZ333">
        <v>0</v>
      </c>
      <c r="BA333">
        <v>0</v>
      </c>
      <c r="BB333">
        <v>0</v>
      </c>
      <c r="BC333">
        <v>0</v>
      </c>
      <c r="BD333">
        <v>0</v>
      </c>
      <c r="BE333">
        <v>0</v>
      </c>
      <c r="BF333">
        <v>0</v>
      </c>
      <c r="BG333">
        <v>0</v>
      </c>
      <c r="BH333">
        <v>0</v>
      </c>
      <c r="BI333">
        <v>0</v>
      </c>
      <c r="BJ333">
        <v>0</v>
      </c>
      <c r="BK333">
        <v>0</v>
      </c>
      <c r="BL333">
        <v>0</v>
      </c>
      <c r="BM333">
        <v>0</v>
      </c>
      <c r="BN333">
        <v>0</v>
      </c>
      <c r="BO333">
        <v>0</v>
      </c>
      <c r="BP333">
        <v>0</v>
      </c>
      <c r="BQ333">
        <v>0</v>
      </c>
      <c r="BR333">
        <v>0</v>
      </c>
      <c r="BS333">
        <v>1</v>
      </c>
    </row>
    <row r="334" spans="1:71" x14ac:dyDescent="0.3">
      <c r="A334" t="s">
        <v>1505</v>
      </c>
      <c r="B334" t="s">
        <v>1506</v>
      </c>
      <c r="C334" t="s">
        <v>29</v>
      </c>
      <c r="D334" t="s">
        <v>29</v>
      </c>
      <c r="E334" t="s">
        <v>29</v>
      </c>
      <c r="F334" t="s">
        <v>1507</v>
      </c>
      <c r="G334">
        <v>2024</v>
      </c>
      <c r="H334">
        <v>2024</v>
      </c>
      <c r="I334" t="s">
        <v>29</v>
      </c>
      <c r="J334" t="s">
        <v>29</v>
      </c>
      <c r="K334" t="s">
        <v>29</v>
      </c>
      <c r="L334" t="s">
        <v>29</v>
      </c>
      <c r="M334" t="s">
        <v>29</v>
      </c>
      <c r="N334">
        <v>13</v>
      </c>
      <c r="O334">
        <v>23</v>
      </c>
      <c r="P334" t="s">
        <v>29</v>
      </c>
      <c r="Q334" t="s">
        <v>1508</v>
      </c>
      <c r="R334" t="s">
        <v>1509</v>
      </c>
      <c r="S334" t="s">
        <v>1510</v>
      </c>
      <c r="T334">
        <v>1</v>
      </c>
      <c r="U334">
        <v>1</v>
      </c>
      <c r="V334">
        <v>0</v>
      </c>
      <c r="W334">
        <v>0</v>
      </c>
      <c r="X334">
        <v>0</v>
      </c>
      <c r="Y334">
        <v>0</v>
      </c>
      <c r="Z334">
        <v>0</v>
      </c>
      <c r="AA334">
        <v>0</v>
      </c>
      <c r="AB334">
        <v>0</v>
      </c>
      <c r="AC334">
        <v>0</v>
      </c>
      <c r="AD334">
        <v>0</v>
      </c>
      <c r="AE334">
        <v>0</v>
      </c>
      <c r="AF334">
        <v>0</v>
      </c>
      <c r="AG334">
        <v>0</v>
      </c>
      <c r="AH334">
        <v>0</v>
      </c>
      <c r="AI334">
        <v>0</v>
      </c>
      <c r="AJ334">
        <v>0</v>
      </c>
      <c r="AK334">
        <v>0</v>
      </c>
      <c r="AL334">
        <v>0</v>
      </c>
      <c r="AM334">
        <v>0</v>
      </c>
      <c r="AN334">
        <v>0</v>
      </c>
      <c r="AO334">
        <v>0</v>
      </c>
      <c r="AP334">
        <v>0</v>
      </c>
      <c r="AQ334">
        <v>0</v>
      </c>
      <c r="AR334">
        <v>0</v>
      </c>
      <c r="AS334">
        <v>0</v>
      </c>
      <c r="AT334">
        <v>0</v>
      </c>
      <c r="AU334">
        <v>0</v>
      </c>
      <c r="AV334">
        <v>0</v>
      </c>
      <c r="AW334">
        <v>0</v>
      </c>
      <c r="AX334">
        <v>0</v>
      </c>
      <c r="AY334">
        <v>0</v>
      </c>
      <c r="AZ334">
        <v>0</v>
      </c>
      <c r="BA334">
        <v>0</v>
      </c>
      <c r="BB334">
        <v>0</v>
      </c>
      <c r="BC334">
        <v>0</v>
      </c>
      <c r="BD334">
        <v>0</v>
      </c>
      <c r="BE334">
        <v>0</v>
      </c>
      <c r="BF334">
        <v>0</v>
      </c>
      <c r="BG334">
        <v>0</v>
      </c>
      <c r="BH334">
        <v>0</v>
      </c>
      <c r="BI334">
        <v>0</v>
      </c>
      <c r="BJ334">
        <v>0</v>
      </c>
      <c r="BK334">
        <v>0</v>
      </c>
      <c r="BL334">
        <v>0</v>
      </c>
      <c r="BM334">
        <v>0</v>
      </c>
      <c r="BN334">
        <v>0</v>
      </c>
      <c r="BO334">
        <v>0</v>
      </c>
      <c r="BP334">
        <v>0</v>
      </c>
      <c r="BQ334">
        <v>0</v>
      </c>
      <c r="BR334">
        <v>0</v>
      </c>
      <c r="BS334">
        <v>1</v>
      </c>
    </row>
    <row r="335" spans="1:71" x14ac:dyDescent="0.3">
      <c r="A335" t="s">
        <v>1511</v>
      </c>
      <c r="B335" t="s">
        <v>1512</v>
      </c>
      <c r="C335" t="s">
        <v>29</v>
      </c>
      <c r="D335" t="s">
        <v>29</v>
      </c>
      <c r="E335" t="s">
        <v>29</v>
      </c>
      <c r="F335" t="s">
        <v>1513</v>
      </c>
      <c r="G335">
        <v>2024</v>
      </c>
      <c r="H335">
        <v>2024</v>
      </c>
      <c r="I335" t="s">
        <v>29</v>
      </c>
      <c r="J335" t="s">
        <v>29</v>
      </c>
      <c r="K335" t="s">
        <v>29</v>
      </c>
      <c r="L335" t="s">
        <v>29</v>
      </c>
      <c r="M335" t="s">
        <v>29</v>
      </c>
      <c r="N335" t="s">
        <v>29</v>
      </c>
      <c r="O335" t="s">
        <v>29</v>
      </c>
      <c r="P335" t="s">
        <v>29</v>
      </c>
      <c r="Q335" t="s">
        <v>1514</v>
      </c>
      <c r="R335" t="s">
        <v>1515</v>
      </c>
      <c r="S335" t="s">
        <v>1516</v>
      </c>
      <c r="T335">
        <v>1</v>
      </c>
      <c r="U335">
        <v>1</v>
      </c>
      <c r="V335">
        <v>0</v>
      </c>
      <c r="W335">
        <v>0</v>
      </c>
      <c r="X335">
        <v>0</v>
      </c>
      <c r="Y335">
        <v>0</v>
      </c>
      <c r="Z335">
        <v>0</v>
      </c>
      <c r="AA335">
        <v>0</v>
      </c>
      <c r="AB335">
        <v>0</v>
      </c>
      <c r="AC335">
        <v>0</v>
      </c>
      <c r="AD335">
        <v>0</v>
      </c>
      <c r="AE335">
        <v>0</v>
      </c>
      <c r="AF335">
        <v>0</v>
      </c>
      <c r="AG335">
        <v>0</v>
      </c>
      <c r="AH335">
        <v>0</v>
      </c>
      <c r="AI335">
        <v>0</v>
      </c>
      <c r="AJ335">
        <v>0</v>
      </c>
      <c r="AK335">
        <v>0</v>
      </c>
      <c r="AL335">
        <v>0</v>
      </c>
      <c r="AM335">
        <v>0</v>
      </c>
      <c r="AN335">
        <v>0</v>
      </c>
      <c r="AO335">
        <v>0</v>
      </c>
      <c r="AP335">
        <v>0</v>
      </c>
      <c r="AQ335">
        <v>0</v>
      </c>
      <c r="AR335">
        <v>0</v>
      </c>
      <c r="AS335">
        <v>0</v>
      </c>
      <c r="AT335">
        <v>0</v>
      </c>
      <c r="AU335">
        <v>0</v>
      </c>
      <c r="AV335">
        <v>0</v>
      </c>
      <c r="AW335">
        <v>0</v>
      </c>
      <c r="AX335">
        <v>0</v>
      </c>
      <c r="AY335">
        <v>0</v>
      </c>
      <c r="AZ335">
        <v>0</v>
      </c>
      <c r="BA335">
        <v>0</v>
      </c>
      <c r="BB335">
        <v>0</v>
      </c>
      <c r="BC335">
        <v>0</v>
      </c>
      <c r="BD335">
        <v>0</v>
      </c>
      <c r="BE335">
        <v>0</v>
      </c>
      <c r="BF335">
        <v>0</v>
      </c>
      <c r="BG335">
        <v>0</v>
      </c>
      <c r="BH335">
        <v>0</v>
      </c>
      <c r="BI335">
        <v>0</v>
      </c>
      <c r="BJ335">
        <v>0</v>
      </c>
      <c r="BK335">
        <v>0</v>
      </c>
      <c r="BL335">
        <v>0</v>
      </c>
      <c r="BM335">
        <v>0</v>
      </c>
      <c r="BN335">
        <v>0</v>
      </c>
      <c r="BO335">
        <v>0</v>
      </c>
      <c r="BP335">
        <v>0</v>
      </c>
      <c r="BQ335">
        <v>0</v>
      </c>
      <c r="BR335">
        <v>0</v>
      </c>
      <c r="BS335">
        <v>1</v>
      </c>
    </row>
    <row r="336" spans="1:71" x14ac:dyDescent="0.3">
      <c r="A336" t="s">
        <v>1517</v>
      </c>
      <c r="B336" t="s">
        <v>1518</v>
      </c>
      <c r="C336" t="s">
        <v>29</v>
      </c>
      <c r="D336" t="s">
        <v>29</v>
      </c>
      <c r="E336" t="s">
        <v>29</v>
      </c>
      <c r="F336" t="s">
        <v>1513</v>
      </c>
      <c r="G336">
        <v>2024</v>
      </c>
      <c r="H336">
        <v>2024</v>
      </c>
      <c r="I336" t="s">
        <v>29</v>
      </c>
      <c r="J336" t="s">
        <v>29</v>
      </c>
      <c r="K336" t="s">
        <v>29</v>
      </c>
      <c r="L336" t="s">
        <v>29</v>
      </c>
      <c r="M336" t="s">
        <v>29</v>
      </c>
      <c r="N336" t="s">
        <v>29</v>
      </c>
      <c r="O336" t="s">
        <v>29</v>
      </c>
      <c r="P336" t="s">
        <v>29</v>
      </c>
      <c r="Q336" t="s">
        <v>1519</v>
      </c>
      <c r="R336" t="s">
        <v>1515</v>
      </c>
      <c r="S336" t="s">
        <v>1516</v>
      </c>
      <c r="T336">
        <v>1</v>
      </c>
      <c r="U336">
        <v>1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0</v>
      </c>
      <c r="AB336">
        <v>0</v>
      </c>
      <c r="AC336">
        <v>0</v>
      </c>
      <c r="AD336">
        <v>0</v>
      </c>
      <c r="AE336">
        <v>0</v>
      </c>
      <c r="AF336">
        <v>0</v>
      </c>
      <c r="AG336">
        <v>0</v>
      </c>
      <c r="AH336">
        <v>0</v>
      </c>
      <c r="AI336">
        <v>0</v>
      </c>
      <c r="AJ336">
        <v>0</v>
      </c>
      <c r="AK336">
        <v>0</v>
      </c>
      <c r="AL336">
        <v>0</v>
      </c>
      <c r="AM336">
        <v>0</v>
      </c>
      <c r="AN336">
        <v>0</v>
      </c>
      <c r="AO336">
        <v>0</v>
      </c>
      <c r="AP336">
        <v>0</v>
      </c>
      <c r="AQ336">
        <v>0</v>
      </c>
      <c r="AR336">
        <v>0</v>
      </c>
      <c r="AS336">
        <v>0</v>
      </c>
      <c r="AT336">
        <v>0</v>
      </c>
      <c r="AU336">
        <v>0</v>
      </c>
      <c r="AV336">
        <v>0</v>
      </c>
      <c r="AW336">
        <v>0</v>
      </c>
      <c r="AX336">
        <v>0</v>
      </c>
      <c r="AY336">
        <v>0</v>
      </c>
      <c r="AZ336">
        <v>0</v>
      </c>
      <c r="BA336">
        <v>0</v>
      </c>
      <c r="BB336">
        <v>0</v>
      </c>
      <c r="BC336">
        <v>0</v>
      </c>
      <c r="BD336">
        <v>0</v>
      </c>
      <c r="BE336">
        <v>0</v>
      </c>
      <c r="BF336">
        <v>0</v>
      </c>
      <c r="BG336">
        <v>0</v>
      </c>
      <c r="BH336">
        <v>0</v>
      </c>
      <c r="BI336">
        <v>0</v>
      </c>
      <c r="BJ336">
        <v>0</v>
      </c>
      <c r="BK336">
        <v>0</v>
      </c>
      <c r="BL336">
        <v>0</v>
      </c>
      <c r="BM336">
        <v>0</v>
      </c>
      <c r="BN336">
        <v>0</v>
      </c>
      <c r="BO336">
        <v>0</v>
      </c>
      <c r="BP336">
        <v>0</v>
      </c>
      <c r="BQ336">
        <v>0</v>
      </c>
      <c r="BR336">
        <v>0</v>
      </c>
      <c r="BS336">
        <v>1</v>
      </c>
    </row>
    <row r="337" spans="1:71" x14ac:dyDescent="0.3">
      <c r="A337" t="s">
        <v>1520</v>
      </c>
      <c r="B337" t="s">
        <v>1521</v>
      </c>
      <c r="C337" t="s">
        <v>29</v>
      </c>
      <c r="D337" t="s">
        <v>29</v>
      </c>
      <c r="E337" t="s">
        <v>29</v>
      </c>
      <c r="F337" t="s">
        <v>996</v>
      </c>
      <c r="G337">
        <v>2024</v>
      </c>
      <c r="H337">
        <v>2024</v>
      </c>
      <c r="I337">
        <v>12</v>
      </c>
      <c r="J337" t="s">
        <v>29</v>
      </c>
      <c r="K337" t="s">
        <v>29</v>
      </c>
      <c r="L337" t="s">
        <v>29</v>
      </c>
      <c r="M337" t="s">
        <v>29</v>
      </c>
      <c r="N337">
        <v>23568</v>
      </c>
      <c r="O337">
        <v>23577</v>
      </c>
      <c r="P337" t="s">
        <v>29</v>
      </c>
      <c r="Q337" t="s">
        <v>1522</v>
      </c>
      <c r="R337" t="s">
        <v>29</v>
      </c>
      <c r="S337" t="s">
        <v>29</v>
      </c>
      <c r="T337">
        <v>1</v>
      </c>
      <c r="U337">
        <v>1</v>
      </c>
      <c r="V337">
        <v>0</v>
      </c>
      <c r="W337">
        <v>0</v>
      </c>
      <c r="X337">
        <v>0</v>
      </c>
      <c r="Y337">
        <v>0</v>
      </c>
      <c r="Z337">
        <v>0</v>
      </c>
      <c r="AA337">
        <v>0</v>
      </c>
      <c r="AB337">
        <v>0</v>
      </c>
      <c r="AC337">
        <v>0</v>
      </c>
      <c r="AD337">
        <v>0</v>
      </c>
      <c r="AE337">
        <v>0</v>
      </c>
      <c r="AF337">
        <v>0</v>
      </c>
      <c r="AG337">
        <v>0</v>
      </c>
      <c r="AH337">
        <v>0</v>
      </c>
      <c r="AI337">
        <v>0</v>
      </c>
      <c r="AJ337">
        <v>0</v>
      </c>
      <c r="AK337">
        <v>0</v>
      </c>
      <c r="AL337">
        <v>0</v>
      </c>
      <c r="AM337">
        <v>0</v>
      </c>
      <c r="AN337">
        <v>0</v>
      </c>
      <c r="AO337">
        <v>0</v>
      </c>
      <c r="AP337">
        <v>0</v>
      </c>
      <c r="AQ337">
        <v>0</v>
      </c>
      <c r="AR337">
        <v>0</v>
      </c>
      <c r="AS337">
        <v>0</v>
      </c>
      <c r="AT337">
        <v>0</v>
      </c>
      <c r="AU337">
        <v>0</v>
      </c>
      <c r="AV337">
        <v>0</v>
      </c>
      <c r="AW337">
        <v>0</v>
      </c>
      <c r="AX337">
        <v>0</v>
      </c>
      <c r="AY337">
        <v>0</v>
      </c>
      <c r="AZ337">
        <v>0</v>
      </c>
      <c r="BA337">
        <v>0</v>
      </c>
      <c r="BB337">
        <v>0</v>
      </c>
      <c r="BC337">
        <v>0</v>
      </c>
      <c r="BD337">
        <v>0</v>
      </c>
      <c r="BE337">
        <v>0</v>
      </c>
      <c r="BF337">
        <v>0</v>
      </c>
      <c r="BG337">
        <v>0</v>
      </c>
      <c r="BH337">
        <v>0</v>
      </c>
      <c r="BI337">
        <v>0</v>
      </c>
      <c r="BJ337">
        <v>0</v>
      </c>
      <c r="BK337">
        <v>0</v>
      </c>
      <c r="BL337">
        <v>0</v>
      </c>
      <c r="BM337">
        <v>0</v>
      </c>
      <c r="BN337">
        <v>0</v>
      </c>
      <c r="BO337">
        <v>0</v>
      </c>
      <c r="BP337">
        <v>0</v>
      </c>
      <c r="BQ337">
        <v>0</v>
      </c>
      <c r="BR337">
        <v>0</v>
      </c>
      <c r="BS337">
        <v>1</v>
      </c>
    </row>
    <row r="338" spans="1:71" x14ac:dyDescent="0.3">
      <c r="A338" t="s">
        <v>1523</v>
      </c>
      <c r="B338" t="s">
        <v>1524</v>
      </c>
      <c r="C338" t="s">
        <v>29</v>
      </c>
      <c r="D338" t="s">
        <v>29</v>
      </c>
      <c r="E338" t="s">
        <v>29</v>
      </c>
      <c r="F338" t="s">
        <v>546</v>
      </c>
      <c r="G338">
        <v>2024</v>
      </c>
      <c r="H338">
        <v>2024</v>
      </c>
      <c r="I338">
        <v>23</v>
      </c>
      <c r="J338" t="s">
        <v>29</v>
      </c>
      <c r="K338" t="s">
        <v>29</v>
      </c>
      <c r="L338" t="s">
        <v>29</v>
      </c>
      <c r="M338" t="s">
        <v>29</v>
      </c>
      <c r="N338" t="s">
        <v>29</v>
      </c>
      <c r="O338" t="s">
        <v>29</v>
      </c>
      <c r="P338">
        <v>5240</v>
      </c>
      <c r="Q338" t="s">
        <v>1525</v>
      </c>
      <c r="R338" t="s">
        <v>29</v>
      </c>
      <c r="S338" t="s">
        <v>29</v>
      </c>
      <c r="T338">
        <v>1</v>
      </c>
      <c r="U338">
        <v>1</v>
      </c>
      <c r="V338">
        <v>0</v>
      </c>
      <c r="W338">
        <v>0</v>
      </c>
      <c r="X338">
        <v>0</v>
      </c>
      <c r="Y338">
        <v>0</v>
      </c>
      <c r="Z338">
        <v>0</v>
      </c>
      <c r="AA338">
        <v>0</v>
      </c>
      <c r="AB338">
        <v>0</v>
      </c>
      <c r="AC338">
        <v>0</v>
      </c>
      <c r="AD338">
        <v>0</v>
      </c>
      <c r="AE338">
        <v>0</v>
      </c>
      <c r="AF338">
        <v>0</v>
      </c>
      <c r="AG338">
        <v>0</v>
      </c>
      <c r="AH338">
        <v>0</v>
      </c>
      <c r="AI338">
        <v>0</v>
      </c>
      <c r="AJ338">
        <v>0</v>
      </c>
      <c r="AK338">
        <v>0</v>
      </c>
      <c r="AL338">
        <v>0</v>
      </c>
      <c r="AM338">
        <v>0</v>
      </c>
      <c r="AN338">
        <v>0</v>
      </c>
      <c r="AO338">
        <v>0</v>
      </c>
      <c r="AP338">
        <v>0</v>
      </c>
      <c r="AQ338">
        <v>0</v>
      </c>
      <c r="AR338">
        <v>0</v>
      </c>
      <c r="AS338">
        <v>0</v>
      </c>
      <c r="AT338">
        <v>0</v>
      </c>
      <c r="AU338">
        <v>0</v>
      </c>
      <c r="AV338">
        <v>0</v>
      </c>
      <c r="AW338">
        <v>0</v>
      </c>
      <c r="AX338">
        <v>0</v>
      </c>
      <c r="AY338">
        <v>0</v>
      </c>
      <c r="AZ338">
        <v>0</v>
      </c>
      <c r="BA338">
        <v>0</v>
      </c>
      <c r="BB338">
        <v>0</v>
      </c>
      <c r="BC338">
        <v>0</v>
      </c>
      <c r="BD338">
        <v>0</v>
      </c>
      <c r="BE338">
        <v>0</v>
      </c>
      <c r="BF338">
        <v>0</v>
      </c>
      <c r="BG338">
        <v>0</v>
      </c>
      <c r="BH338">
        <v>0</v>
      </c>
      <c r="BI338">
        <v>0</v>
      </c>
      <c r="BJ338">
        <v>0</v>
      </c>
      <c r="BK338">
        <v>0</v>
      </c>
      <c r="BL338">
        <v>0</v>
      </c>
      <c r="BM338">
        <v>0</v>
      </c>
      <c r="BN338">
        <v>0</v>
      </c>
      <c r="BO338">
        <v>0</v>
      </c>
      <c r="BP338">
        <v>0</v>
      </c>
      <c r="BQ338">
        <v>0</v>
      </c>
      <c r="BR338">
        <v>0</v>
      </c>
      <c r="BS338">
        <v>1</v>
      </c>
    </row>
    <row r="339" spans="1:71" x14ac:dyDescent="0.3">
      <c r="A339" t="s">
        <v>1526</v>
      </c>
      <c r="B339" t="s">
        <v>1527</v>
      </c>
      <c r="C339" t="s">
        <v>29</v>
      </c>
      <c r="D339" t="s">
        <v>29</v>
      </c>
      <c r="E339" t="s">
        <v>29</v>
      </c>
      <c r="F339" t="s">
        <v>1528</v>
      </c>
      <c r="G339" t="s">
        <v>1503</v>
      </c>
      <c r="H339">
        <v>2024</v>
      </c>
      <c r="I339">
        <v>29</v>
      </c>
      <c r="J339">
        <v>10</v>
      </c>
      <c r="K339" t="s">
        <v>29</v>
      </c>
      <c r="L339" t="s">
        <v>29</v>
      </c>
      <c r="M339" t="s">
        <v>29</v>
      </c>
      <c r="N339">
        <v>12759</v>
      </c>
      <c r="O339">
        <v>12780</v>
      </c>
      <c r="P339" t="s">
        <v>29</v>
      </c>
      <c r="Q339" t="s">
        <v>1529</v>
      </c>
      <c r="R339" t="s">
        <v>29</v>
      </c>
      <c r="S339" t="s">
        <v>29</v>
      </c>
      <c r="T339">
        <v>1</v>
      </c>
      <c r="U339">
        <v>0.5</v>
      </c>
      <c r="V339">
        <v>0</v>
      </c>
      <c r="W339">
        <v>0</v>
      </c>
      <c r="X339">
        <v>0</v>
      </c>
      <c r="Y339">
        <v>0</v>
      </c>
      <c r="Z339">
        <v>0</v>
      </c>
      <c r="AA339">
        <v>0</v>
      </c>
      <c r="AB339">
        <v>0</v>
      </c>
      <c r="AC339">
        <v>0</v>
      </c>
      <c r="AD339">
        <v>0</v>
      </c>
      <c r="AE339">
        <v>0</v>
      </c>
      <c r="AF339">
        <v>0</v>
      </c>
      <c r="AG339">
        <v>0</v>
      </c>
      <c r="AH339">
        <v>0</v>
      </c>
      <c r="AI339">
        <v>0</v>
      </c>
      <c r="AJ339">
        <v>0</v>
      </c>
      <c r="AK339">
        <v>0</v>
      </c>
      <c r="AL339">
        <v>0</v>
      </c>
      <c r="AM339">
        <v>0</v>
      </c>
      <c r="AN339">
        <v>0</v>
      </c>
      <c r="AO339">
        <v>0</v>
      </c>
      <c r="AP339">
        <v>0</v>
      </c>
      <c r="AQ339">
        <v>0</v>
      </c>
      <c r="AR339">
        <v>0</v>
      </c>
      <c r="AS339">
        <v>0</v>
      </c>
      <c r="AT339">
        <v>0</v>
      </c>
      <c r="AU339">
        <v>0</v>
      </c>
      <c r="AV339">
        <v>0</v>
      </c>
      <c r="AW339">
        <v>0</v>
      </c>
      <c r="AX339">
        <v>0</v>
      </c>
      <c r="AY339">
        <v>0</v>
      </c>
      <c r="AZ339">
        <v>0</v>
      </c>
      <c r="BA339">
        <v>0</v>
      </c>
      <c r="BB339">
        <v>0</v>
      </c>
      <c r="BC339">
        <v>0</v>
      </c>
      <c r="BD339">
        <v>0</v>
      </c>
      <c r="BE339">
        <v>0</v>
      </c>
      <c r="BF339">
        <v>0</v>
      </c>
      <c r="BG339">
        <v>0</v>
      </c>
      <c r="BH339">
        <v>0</v>
      </c>
      <c r="BI339">
        <v>0</v>
      </c>
      <c r="BJ339">
        <v>0</v>
      </c>
      <c r="BK339">
        <v>0</v>
      </c>
      <c r="BL339">
        <v>0</v>
      </c>
      <c r="BM339">
        <v>0</v>
      </c>
      <c r="BN339">
        <v>0</v>
      </c>
      <c r="BO339">
        <v>0</v>
      </c>
      <c r="BP339">
        <v>0</v>
      </c>
      <c r="BQ339">
        <v>0</v>
      </c>
      <c r="BR339">
        <v>0</v>
      </c>
      <c r="BS339">
        <v>1</v>
      </c>
    </row>
    <row r="340" spans="1:71" x14ac:dyDescent="0.3">
      <c r="A340" t="s">
        <v>1530</v>
      </c>
      <c r="B340" t="s">
        <v>1531</v>
      </c>
      <c r="C340" t="s">
        <v>29</v>
      </c>
      <c r="D340" t="s">
        <v>29</v>
      </c>
      <c r="E340" t="s">
        <v>29</v>
      </c>
      <c r="F340" t="s">
        <v>486</v>
      </c>
      <c r="G340" t="s">
        <v>1309</v>
      </c>
      <c r="H340">
        <v>2023</v>
      </c>
      <c r="I340">
        <v>15</v>
      </c>
      <c r="J340">
        <v>19</v>
      </c>
      <c r="K340" t="s">
        <v>29</v>
      </c>
      <c r="L340" t="s">
        <v>29</v>
      </c>
      <c r="M340" t="s">
        <v>29</v>
      </c>
      <c r="N340" t="s">
        <v>29</v>
      </c>
      <c r="O340" t="s">
        <v>29</v>
      </c>
      <c r="P340">
        <v>14142</v>
      </c>
      <c r="Q340" t="s">
        <v>1532</v>
      </c>
      <c r="R340" t="s">
        <v>29</v>
      </c>
      <c r="S340" t="s">
        <v>29</v>
      </c>
      <c r="T340">
        <v>1</v>
      </c>
      <c r="U340">
        <v>0.5</v>
      </c>
      <c r="V340">
        <v>0</v>
      </c>
      <c r="W340">
        <v>0</v>
      </c>
      <c r="X340">
        <v>0</v>
      </c>
      <c r="Y340">
        <v>0</v>
      </c>
      <c r="Z340">
        <v>0</v>
      </c>
      <c r="AA340">
        <v>0</v>
      </c>
      <c r="AB340">
        <v>0</v>
      </c>
      <c r="AC340">
        <v>0</v>
      </c>
      <c r="AD340">
        <v>0</v>
      </c>
      <c r="AE340">
        <v>0</v>
      </c>
      <c r="AF340">
        <v>0</v>
      </c>
      <c r="AG340">
        <v>0</v>
      </c>
      <c r="AH340">
        <v>0</v>
      </c>
      <c r="AI340">
        <v>0</v>
      </c>
      <c r="AJ340">
        <v>0</v>
      </c>
      <c r="AK340">
        <v>0</v>
      </c>
      <c r="AL340">
        <v>0</v>
      </c>
      <c r="AM340">
        <v>0</v>
      </c>
      <c r="AN340">
        <v>0</v>
      </c>
      <c r="AO340">
        <v>0</v>
      </c>
      <c r="AP340">
        <v>0</v>
      </c>
      <c r="AQ340">
        <v>0</v>
      </c>
      <c r="AR340">
        <v>0</v>
      </c>
      <c r="AS340">
        <v>0</v>
      </c>
      <c r="AT340">
        <v>0</v>
      </c>
      <c r="AU340">
        <v>0</v>
      </c>
      <c r="AV340">
        <v>0</v>
      </c>
      <c r="AW340">
        <v>0</v>
      </c>
      <c r="AX340">
        <v>0</v>
      </c>
      <c r="AY340">
        <v>0</v>
      </c>
      <c r="AZ340">
        <v>0</v>
      </c>
      <c r="BA340">
        <v>0</v>
      </c>
      <c r="BB340">
        <v>0</v>
      </c>
      <c r="BC340">
        <v>0</v>
      </c>
      <c r="BD340">
        <v>0</v>
      </c>
      <c r="BE340">
        <v>0</v>
      </c>
      <c r="BF340">
        <v>0</v>
      </c>
      <c r="BG340">
        <v>0</v>
      </c>
      <c r="BH340">
        <v>0</v>
      </c>
      <c r="BI340">
        <v>0</v>
      </c>
      <c r="BJ340">
        <v>0</v>
      </c>
      <c r="BK340">
        <v>0</v>
      </c>
      <c r="BL340">
        <v>0</v>
      </c>
      <c r="BM340">
        <v>0</v>
      </c>
      <c r="BN340">
        <v>0</v>
      </c>
      <c r="BO340">
        <v>0</v>
      </c>
      <c r="BP340">
        <v>0</v>
      </c>
      <c r="BQ340">
        <v>0</v>
      </c>
      <c r="BR340">
        <v>0</v>
      </c>
      <c r="BS340">
        <v>1</v>
      </c>
    </row>
    <row r="341" spans="1:71" x14ac:dyDescent="0.3">
      <c r="A341" t="s">
        <v>1533</v>
      </c>
      <c r="B341" t="s">
        <v>1534</v>
      </c>
      <c r="C341" t="s">
        <v>29</v>
      </c>
      <c r="D341" t="s">
        <v>29</v>
      </c>
      <c r="E341" t="s">
        <v>29</v>
      </c>
      <c r="F341" t="s">
        <v>1535</v>
      </c>
      <c r="G341" t="s">
        <v>1536</v>
      </c>
      <c r="H341">
        <v>2023</v>
      </c>
      <c r="I341">
        <v>14</v>
      </c>
      <c r="J341">
        <v>3</v>
      </c>
      <c r="K341" t="s">
        <v>29</v>
      </c>
      <c r="L341" t="s">
        <v>29</v>
      </c>
      <c r="M341" t="s">
        <v>29</v>
      </c>
      <c r="N341">
        <v>163</v>
      </c>
      <c r="O341">
        <v>175</v>
      </c>
      <c r="P341" t="s">
        <v>29</v>
      </c>
      <c r="Q341" t="s">
        <v>1537</v>
      </c>
      <c r="R341" t="s">
        <v>29</v>
      </c>
      <c r="S341" t="s">
        <v>29</v>
      </c>
      <c r="T341">
        <v>1</v>
      </c>
      <c r="U341">
        <v>0.5</v>
      </c>
      <c r="V341">
        <v>0</v>
      </c>
      <c r="W341">
        <v>0</v>
      </c>
      <c r="X341">
        <v>0</v>
      </c>
      <c r="Y341">
        <v>0</v>
      </c>
      <c r="Z341">
        <v>0</v>
      </c>
      <c r="AA341">
        <v>0</v>
      </c>
      <c r="AB341">
        <v>0</v>
      </c>
      <c r="AC341">
        <v>0</v>
      </c>
      <c r="AD341">
        <v>0</v>
      </c>
      <c r="AE341">
        <v>0</v>
      </c>
      <c r="AF341">
        <v>0</v>
      </c>
      <c r="AG341">
        <v>0</v>
      </c>
      <c r="AH341">
        <v>0</v>
      </c>
      <c r="AI341">
        <v>0</v>
      </c>
      <c r="AJ341">
        <v>0</v>
      </c>
      <c r="AK341">
        <v>0</v>
      </c>
      <c r="AL341">
        <v>0</v>
      </c>
      <c r="AM341">
        <v>0</v>
      </c>
      <c r="AN341">
        <v>0</v>
      </c>
      <c r="AO341">
        <v>0</v>
      </c>
      <c r="AP341">
        <v>0</v>
      </c>
      <c r="AQ341">
        <v>0</v>
      </c>
      <c r="AR341">
        <v>0</v>
      </c>
      <c r="AS341">
        <v>0</v>
      </c>
      <c r="AT341">
        <v>0</v>
      </c>
      <c r="AU341">
        <v>0</v>
      </c>
      <c r="AV341">
        <v>0</v>
      </c>
      <c r="AW341">
        <v>0</v>
      </c>
      <c r="AX341">
        <v>0</v>
      </c>
      <c r="AY341">
        <v>0</v>
      </c>
      <c r="AZ341">
        <v>0</v>
      </c>
      <c r="BA341">
        <v>0</v>
      </c>
      <c r="BB341">
        <v>0</v>
      </c>
      <c r="BC341">
        <v>0</v>
      </c>
      <c r="BD341">
        <v>0</v>
      </c>
      <c r="BE341">
        <v>0</v>
      </c>
      <c r="BF341">
        <v>0</v>
      </c>
      <c r="BG341">
        <v>0</v>
      </c>
      <c r="BH341">
        <v>0</v>
      </c>
      <c r="BI341">
        <v>0</v>
      </c>
      <c r="BJ341">
        <v>0</v>
      </c>
      <c r="BK341">
        <v>0</v>
      </c>
      <c r="BL341">
        <v>0</v>
      </c>
      <c r="BM341">
        <v>0</v>
      </c>
      <c r="BN341">
        <v>0</v>
      </c>
      <c r="BO341">
        <v>0</v>
      </c>
      <c r="BP341">
        <v>0</v>
      </c>
      <c r="BQ341">
        <v>0</v>
      </c>
      <c r="BR341">
        <v>1</v>
      </c>
      <c r="BS341">
        <v>0</v>
      </c>
    </row>
    <row r="342" spans="1:71" x14ac:dyDescent="0.3">
      <c r="A342" t="s">
        <v>1538</v>
      </c>
      <c r="B342" t="s">
        <v>1539</v>
      </c>
      <c r="C342" t="s">
        <v>29</v>
      </c>
      <c r="D342" t="s">
        <v>29</v>
      </c>
      <c r="E342" t="s">
        <v>29</v>
      </c>
      <c r="F342" t="s">
        <v>1540</v>
      </c>
      <c r="G342" t="s">
        <v>1541</v>
      </c>
      <c r="H342">
        <v>2024</v>
      </c>
      <c r="I342">
        <v>43</v>
      </c>
      <c r="J342">
        <v>2</v>
      </c>
      <c r="K342" t="s">
        <v>29</v>
      </c>
      <c r="L342" t="s">
        <v>29</v>
      </c>
      <c r="M342" t="s">
        <v>29</v>
      </c>
      <c r="N342">
        <v>503</v>
      </c>
      <c r="O342">
        <v>520</v>
      </c>
      <c r="P342" t="s">
        <v>29</v>
      </c>
      <c r="Q342" t="s">
        <v>1542</v>
      </c>
      <c r="R342" t="s">
        <v>29</v>
      </c>
      <c r="S342" t="s">
        <v>29</v>
      </c>
      <c r="T342">
        <v>1</v>
      </c>
      <c r="U342">
        <v>0.5</v>
      </c>
      <c r="V342">
        <v>0</v>
      </c>
      <c r="W342">
        <v>0</v>
      </c>
      <c r="X342">
        <v>0</v>
      </c>
      <c r="Y342">
        <v>0</v>
      </c>
      <c r="Z342">
        <v>0</v>
      </c>
      <c r="AA342">
        <v>0</v>
      </c>
      <c r="AB342">
        <v>0</v>
      </c>
      <c r="AC342">
        <v>0</v>
      </c>
      <c r="AD342">
        <v>0</v>
      </c>
      <c r="AE342">
        <v>0</v>
      </c>
      <c r="AF342">
        <v>0</v>
      </c>
      <c r="AG342">
        <v>0</v>
      </c>
      <c r="AH342">
        <v>0</v>
      </c>
      <c r="AI342">
        <v>0</v>
      </c>
      <c r="AJ342">
        <v>0</v>
      </c>
      <c r="AK342">
        <v>0</v>
      </c>
      <c r="AL342">
        <v>0</v>
      </c>
      <c r="AM342">
        <v>0</v>
      </c>
      <c r="AN342">
        <v>0</v>
      </c>
      <c r="AO342">
        <v>0</v>
      </c>
      <c r="AP342">
        <v>0</v>
      </c>
      <c r="AQ342">
        <v>0</v>
      </c>
      <c r="AR342">
        <v>0</v>
      </c>
      <c r="AS342">
        <v>0</v>
      </c>
      <c r="AT342">
        <v>0</v>
      </c>
      <c r="AU342">
        <v>0</v>
      </c>
      <c r="AV342">
        <v>0</v>
      </c>
      <c r="AW342">
        <v>0</v>
      </c>
      <c r="AX342">
        <v>0</v>
      </c>
      <c r="AY342">
        <v>0</v>
      </c>
      <c r="AZ342">
        <v>0</v>
      </c>
      <c r="BA342">
        <v>0</v>
      </c>
      <c r="BB342">
        <v>0</v>
      </c>
      <c r="BC342">
        <v>0</v>
      </c>
      <c r="BD342">
        <v>0</v>
      </c>
      <c r="BE342">
        <v>0</v>
      </c>
      <c r="BF342">
        <v>0</v>
      </c>
      <c r="BG342">
        <v>0</v>
      </c>
      <c r="BH342">
        <v>0</v>
      </c>
      <c r="BI342">
        <v>0</v>
      </c>
      <c r="BJ342">
        <v>0</v>
      </c>
      <c r="BK342">
        <v>0</v>
      </c>
      <c r="BL342">
        <v>0</v>
      </c>
      <c r="BM342">
        <v>0</v>
      </c>
      <c r="BN342">
        <v>0</v>
      </c>
      <c r="BO342">
        <v>0</v>
      </c>
      <c r="BP342">
        <v>0</v>
      </c>
      <c r="BQ342">
        <v>0</v>
      </c>
      <c r="BR342">
        <v>0</v>
      </c>
      <c r="BS342">
        <v>1</v>
      </c>
    </row>
    <row r="343" spans="1:71" x14ac:dyDescent="0.3">
      <c r="A343" t="s">
        <v>1543</v>
      </c>
      <c r="B343" t="s">
        <v>1544</v>
      </c>
      <c r="C343" t="s">
        <v>29</v>
      </c>
      <c r="D343" t="s">
        <v>29</v>
      </c>
      <c r="E343" t="s">
        <v>29</v>
      </c>
      <c r="F343" t="s">
        <v>1545</v>
      </c>
      <c r="G343" t="s">
        <v>800</v>
      </c>
      <c r="H343">
        <v>2023</v>
      </c>
      <c r="I343">
        <v>26</v>
      </c>
      <c r="J343">
        <v>5</v>
      </c>
      <c r="K343" t="s">
        <v>29</v>
      </c>
      <c r="L343" t="s">
        <v>29</v>
      </c>
      <c r="M343" t="s">
        <v>32</v>
      </c>
      <c r="N343">
        <v>1133</v>
      </c>
      <c r="O343">
        <v>1146</v>
      </c>
      <c r="P343" t="s">
        <v>29</v>
      </c>
      <c r="Q343" t="s">
        <v>1546</v>
      </c>
      <c r="R343" t="s">
        <v>1547</v>
      </c>
      <c r="S343" t="s">
        <v>1548</v>
      </c>
      <c r="T343">
        <v>1</v>
      </c>
      <c r="U343">
        <v>0.5</v>
      </c>
      <c r="V343">
        <v>0</v>
      </c>
      <c r="W343">
        <v>0</v>
      </c>
      <c r="X343">
        <v>0</v>
      </c>
      <c r="Y343">
        <v>0</v>
      </c>
      <c r="Z343">
        <v>0</v>
      </c>
      <c r="AA343">
        <v>0</v>
      </c>
      <c r="AB343">
        <v>0</v>
      </c>
      <c r="AC343">
        <v>0</v>
      </c>
      <c r="AD343">
        <v>0</v>
      </c>
      <c r="AE343">
        <v>0</v>
      </c>
      <c r="AF343">
        <v>0</v>
      </c>
      <c r="AG343">
        <v>0</v>
      </c>
      <c r="AH343">
        <v>0</v>
      </c>
      <c r="AI343">
        <v>0</v>
      </c>
      <c r="AJ343">
        <v>0</v>
      </c>
      <c r="AK343">
        <v>0</v>
      </c>
      <c r="AL343">
        <v>0</v>
      </c>
      <c r="AM343">
        <v>0</v>
      </c>
      <c r="AN343">
        <v>0</v>
      </c>
      <c r="AO343">
        <v>0</v>
      </c>
      <c r="AP343">
        <v>0</v>
      </c>
      <c r="AQ343">
        <v>0</v>
      </c>
      <c r="AR343">
        <v>0</v>
      </c>
      <c r="AS343">
        <v>0</v>
      </c>
      <c r="AT343">
        <v>0</v>
      </c>
      <c r="AU343">
        <v>0</v>
      </c>
      <c r="AV343">
        <v>0</v>
      </c>
      <c r="AW343">
        <v>0</v>
      </c>
      <c r="AX343">
        <v>0</v>
      </c>
      <c r="AY343">
        <v>0</v>
      </c>
      <c r="AZ343">
        <v>0</v>
      </c>
      <c r="BA343">
        <v>0</v>
      </c>
      <c r="BB343">
        <v>0</v>
      </c>
      <c r="BC343">
        <v>0</v>
      </c>
      <c r="BD343">
        <v>0</v>
      </c>
      <c r="BE343">
        <v>0</v>
      </c>
      <c r="BF343">
        <v>0</v>
      </c>
      <c r="BG343">
        <v>0</v>
      </c>
      <c r="BH343">
        <v>0</v>
      </c>
      <c r="BI343">
        <v>0</v>
      </c>
      <c r="BJ343">
        <v>0</v>
      </c>
      <c r="BK343">
        <v>0</v>
      </c>
      <c r="BL343">
        <v>0</v>
      </c>
      <c r="BM343">
        <v>0</v>
      </c>
      <c r="BN343">
        <v>0</v>
      </c>
      <c r="BO343">
        <v>0</v>
      </c>
      <c r="BP343">
        <v>0</v>
      </c>
      <c r="BQ343">
        <v>0</v>
      </c>
      <c r="BR343">
        <v>0</v>
      </c>
      <c r="BS343">
        <v>1</v>
      </c>
    </row>
    <row r="344" spans="1:71" x14ac:dyDescent="0.3">
      <c r="A344" t="s">
        <v>1549</v>
      </c>
      <c r="B344" t="s">
        <v>1550</v>
      </c>
      <c r="C344" t="s">
        <v>29</v>
      </c>
      <c r="D344" t="s">
        <v>29</v>
      </c>
      <c r="E344" t="s">
        <v>29</v>
      </c>
      <c r="F344" t="s">
        <v>1551</v>
      </c>
      <c r="G344" t="s">
        <v>1309</v>
      </c>
      <c r="H344">
        <v>2023</v>
      </c>
      <c r="I344">
        <v>56</v>
      </c>
      <c r="J344">
        <v>4</v>
      </c>
      <c r="K344" t="s">
        <v>29</v>
      </c>
      <c r="L344" t="s">
        <v>29</v>
      </c>
      <c r="M344" t="s">
        <v>29</v>
      </c>
      <c r="N344">
        <v>512</v>
      </c>
      <c r="O344">
        <v>518</v>
      </c>
      <c r="P344" t="s">
        <v>1552</v>
      </c>
      <c r="Q344" t="s">
        <v>1553</v>
      </c>
      <c r="R344" t="s">
        <v>29</v>
      </c>
      <c r="S344" t="s">
        <v>29</v>
      </c>
      <c r="T344">
        <v>1</v>
      </c>
      <c r="U344">
        <v>0.5</v>
      </c>
      <c r="V344">
        <v>0</v>
      </c>
      <c r="W344">
        <v>0</v>
      </c>
      <c r="X344">
        <v>0</v>
      </c>
      <c r="Y344">
        <v>0</v>
      </c>
      <c r="Z344">
        <v>0</v>
      </c>
      <c r="AA344">
        <v>0</v>
      </c>
      <c r="AB344">
        <v>0</v>
      </c>
      <c r="AC344">
        <v>0</v>
      </c>
      <c r="AD344">
        <v>0</v>
      </c>
      <c r="AE344">
        <v>0</v>
      </c>
      <c r="AF344">
        <v>0</v>
      </c>
      <c r="AG344">
        <v>0</v>
      </c>
      <c r="AH344">
        <v>0</v>
      </c>
      <c r="AI344">
        <v>0</v>
      </c>
      <c r="AJ344">
        <v>0</v>
      </c>
      <c r="AK344">
        <v>0</v>
      </c>
      <c r="AL344">
        <v>0</v>
      </c>
      <c r="AM344">
        <v>0</v>
      </c>
      <c r="AN344">
        <v>0</v>
      </c>
      <c r="AO344">
        <v>0</v>
      </c>
      <c r="AP344">
        <v>0</v>
      </c>
      <c r="AQ344">
        <v>0</v>
      </c>
      <c r="AR344">
        <v>0</v>
      </c>
      <c r="AS344">
        <v>0</v>
      </c>
      <c r="AT344">
        <v>0</v>
      </c>
      <c r="AU344">
        <v>0</v>
      </c>
      <c r="AV344">
        <v>0</v>
      </c>
      <c r="AW344">
        <v>0</v>
      </c>
      <c r="AX344">
        <v>0</v>
      </c>
      <c r="AY344">
        <v>0</v>
      </c>
      <c r="AZ344">
        <v>0</v>
      </c>
      <c r="BA344">
        <v>0</v>
      </c>
      <c r="BB344">
        <v>0</v>
      </c>
      <c r="BC344">
        <v>0</v>
      </c>
      <c r="BD344">
        <v>0</v>
      </c>
      <c r="BE344">
        <v>0</v>
      </c>
      <c r="BF344">
        <v>0</v>
      </c>
      <c r="BG344">
        <v>0</v>
      </c>
      <c r="BH344">
        <v>0</v>
      </c>
      <c r="BI344">
        <v>0</v>
      </c>
      <c r="BJ344">
        <v>0</v>
      </c>
      <c r="BK344">
        <v>0</v>
      </c>
      <c r="BL344">
        <v>0</v>
      </c>
      <c r="BM344">
        <v>0</v>
      </c>
      <c r="BN344">
        <v>0</v>
      </c>
      <c r="BO344">
        <v>0</v>
      </c>
      <c r="BP344">
        <v>0</v>
      </c>
      <c r="BQ344">
        <v>0</v>
      </c>
      <c r="BR344">
        <v>0</v>
      </c>
      <c r="BS344">
        <v>1</v>
      </c>
    </row>
    <row r="345" spans="1:71" x14ac:dyDescent="0.3">
      <c r="A345" t="s">
        <v>1554</v>
      </c>
      <c r="B345" t="s">
        <v>1555</v>
      </c>
      <c r="C345" t="s">
        <v>29</v>
      </c>
      <c r="D345" t="s">
        <v>29</v>
      </c>
      <c r="E345" t="s">
        <v>29</v>
      </c>
      <c r="F345" t="s">
        <v>200</v>
      </c>
      <c r="G345" t="s">
        <v>1070</v>
      </c>
      <c r="H345">
        <v>2023</v>
      </c>
      <c r="I345">
        <v>13</v>
      </c>
      <c r="J345">
        <v>1</v>
      </c>
      <c r="K345" t="s">
        <v>29</v>
      </c>
      <c r="L345" t="s">
        <v>29</v>
      </c>
      <c r="M345" t="s">
        <v>29</v>
      </c>
      <c r="N345" t="s">
        <v>29</v>
      </c>
      <c r="O345" t="s">
        <v>29</v>
      </c>
      <c r="P345">
        <v>93</v>
      </c>
      <c r="Q345" t="s">
        <v>1556</v>
      </c>
      <c r="R345" t="s">
        <v>29</v>
      </c>
      <c r="S345" t="s">
        <v>29</v>
      </c>
      <c r="T345">
        <v>1</v>
      </c>
      <c r="U345">
        <v>0.5</v>
      </c>
      <c r="V345">
        <v>0</v>
      </c>
      <c r="W345">
        <v>0</v>
      </c>
      <c r="X345">
        <v>0</v>
      </c>
      <c r="Y345">
        <v>0</v>
      </c>
      <c r="Z345">
        <v>0</v>
      </c>
      <c r="AA345">
        <v>0</v>
      </c>
      <c r="AB345">
        <v>0</v>
      </c>
      <c r="AC345">
        <v>0</v>
      </c>
      <c r="AD345">
        <v>0</v>
      </c>
      <c r="AE345">
        <v>0</v>
      </c>
      <c r="AF345">
        <v>0</v>
      </c>
      <c r="AG345">
        <v>0</v>
      </c>
      <c r="AH345">
        <v>0</v>
      </c>
      <c r="AI345">
        <v>0</v>
      </c>
      <c r="AJ345">
        <v>0</v>
      </c>
      <c r="AK345">
        <v>0</v>
      </c>
      <c r="AL345">
        <v>0</v>
      </c>
      <c r="AM345">
        <v>0</v>
      </c>
      <c r="AN345">
        <v>0</v>
      </c>
      <c r="AO345">
        <v>0</v>
      </c>
      <c r="AP345">
        <v>0</v>
      </c>
      <c r="AQ345">
        <v>0</v>
      </c>
      <c r="AR345">
        <v>0</v>
      </c>
      <c r="AS345">
        <v>0</v>
      </c>
      <c r="AT345">
        <v>0</v>
      </c>
      <c r="AU345">
        <v>0</v>
      </c>
      <c r="AV345">
        <v>0</v>
      </c>
      <c r="AW345">
        <v>0</v>
      </c>
      <c r="AX345">
        <v>0</v>
      </c>
      <c r="AY345">
        <v>0</v>
      </c>
      <c r="AZ345">
        <v>0</v>
      </c>
      <c r="BA345">
        <v>0</v>
      </c>
      <c r="BB345">
        <v>0</v>
      </c>
      <c r="BC345">
        <v>0</v>
      </c>
      <c r="BD345">
        <v>0</v>
      </c>
      <c r="BE345">
        <v>0</v>
      </c>
      <c r="BF345">
        <v>0</v>
      </c>
      <c r="BG345">
        <v>0</v>
      </c>
      <c r="BH345">
        <v>0</v>
      </c>
      <c r="BI345">
        <v>0</v>
      </c>
      <c r="BJ345">
        <v>0</v>
      </c>
      <c r="BK345">
        <v>0</v>
      </c>
      <c r="BL345">
        <v>0</v>
      </c>
      <c r="BM345">
        <v>0</v>
      </c>
      <c r="BN345">
        <v>0</v>
      </c>
      <c r="BO345">
        <v>0</v>
      </c>
      <c r="BP345">
        <v>0</v>
      </c>
      <c r="BQ345">
        <v>0</v>
      </c>
      <c r="BR345">
        <v>1</v>
      </c>
      <c r="BS345">
        <v>0</v>
      </c>
    </row>
    <row r="346" spans="1:71" x14ac:dyDescent="0.3">
      <c r="A346" t="s">
        <v>1557</v>
      </c>
      <c r="B346" t="s">
        <v>1558</v>
      </c>
      <c r="C346" t="s">
        <v>29</v>
      </c>
      <c r="D346" t="s">
        <v>29</v>
      </c>
      <c r="E346" t="s">
        <v>29</v>
      </c>
      <c r="F346" t="s">
        <v>1559</v>
      </c>
      <c r="G346" t="s">
        <v>1560</v>
      </c>
      <c r="H346">
        <v>2023</v>
      </c>
      <c r="I346" t="s">
        <v>29</v>
      </c>
      <c r="J346">
        <v>42</v>
      </c>
      <c r="K346" t="s">
        <v>29</v>
      </c>
      <c r="L346" t="s">
        <v>29</v>
      </c>
      <c r="M346" t="s">
        <v>29</v>
      </c>
      <c r="N346">
        <v>93</v>
      </c>
      <c r="O346">
        <v>105</v>
      </c>
      <c r="P346" t="s">
        <v>29</v>
      </c>
      <c r="Q346" t="s">
        <v>1561</v>
      </c>
      <c r="R346" t="s">
        <v>29</v>
      </c>
      <c r="S346" t="s">
        <v>29</v>
      </c>
      <c r="T346">
        <v>1</v>
      </c>
      <c r="U346">
        <v>0.5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v>0</v>
      </c>
      <c r="AB346">
        <v>0</v>
      </c>
      <c r="AC346">
        <v>0</v>
      </c>
      <c r="AD346">
        <v>0</v>
      </c>
      <c r="AE346">
        <v>0</v>
      </c>
      <c r="AF346">
        <v>0</v>
      </c>
      <c r="AG346">
        <v>0</v>
      </c>
      <c r="AH346">
        <v>0</v>
      </c>
      <c r="AI346">
        <v>0</v>
      </c>
      <c r="AJ346">
        <v>0</v>
      </c>
      <c r="AK346">
        <v>0</v>
      </c>
      <c r="AL346">
        <v>0</v>
      </c>
      <c r="AM346">
        <v>0</v>
      </c>
      <c r="AN346">
        <v>0</v>
      </c>
      <c r="AO346">
        <v>0</v>
      </c>
      <c r="AP346">
        <v>0</v>
      </c>
      <c r="AQ346">
        <v>0</v>
      </c>
      <c r="AR346">
        <v>0</v>
      </c>
      <c r="AS346">
        <v>0</v>
      </c>
      <c r="AT346">
        <v>0</v>
      </c>
      <c r="AU346">
        <v>0</v>
      </c>
      <c r="AV346">
        <v>0</v>
      </c>
      <c r="AW346">
        <v>0</v>
      </c>
      <c r="AX346">
        <v>0</v>
      </c>
      <c r="AY346">
        <v>0</v>
      </c>
      <c r="AZ346">
        <v>0</v>
      </c>
      <c r="BA346">
        <v>0</v>
      </c>
      <c r="BB346">
        <v>0</v>
      </c>
      <c r="BC346">
        <v>0</v>
      </c>
      <c r="BD346">
        <v>0</v>
      </c>
      <c r="BE346">
        <v>0</v>
      </c>
      <c r="BF346">
        <v>0</v>
      </c>
      <c r="BG346">
        <v>0</v>
      </c>
      <c r="BH346">
        <v>0</v>
      </c>
      <c r="BI346">
        <v>0</v>
      </c>
      <c r="BJ346">
        <v>0</v>
      </c>
      <c r="BK346">
        <v>0</v>
      </c>
      <c r="BL346">
        <v>0</v>
      </c>
      <c r="BM346">
        <v>0</v>
      </c>
      <c r="BN346">
        <v>0</v>
      </c>
      <c r="BO346">
        <v>0</v>
      </c>
      <c r="BP346">
        <v>0</v>
      </c>
      <c r="BQ346">
        <v>0</v>
      </c>
      <c r="BR346">
        <v>1</v>
      </c>
      <c r="BS346">
        <v>0</v>
      </c>
    </row>
    <row r="347" spans="1:71" x14ac:dyDescent="0.3">
      <c r="A347" t="s">
        <v>1562</v>
      </c>
      <c r="B347" t="s">
        <v>1563</v>
      </c>
      <c r="C347" t="s">
        <v>29</v>
      </c>
      <c r="D347" t="s">
        <v>29</v>
      </c>
      <c r="E347" t="s">
        <v>29</v>
      </c>
      <c r="F347" t="s">
        <v>1564</v>
      </c>
      <c r="G347">
        <v>2023</v>
      </c>
      <c r="H347">
        <v>2023</v>
      </c>
      <c r="I347">
        <v>22</v>
      </c>
      <c r="J347" t="s">
        <v>29</v>
      </c>
      <c r="K347" t="s">
        <v>29</v>
      </c>
      <c r="L347" t="s">
        <v>29</v>
      </c>
      <c r="M347" t="s">
        <v>29</v>
      </c>
      <c r="N347" t="s">
        <v>29</v>
      </c>
      <c r="O347" t="s">
        <v>29</v>
      </c>
      <c r="P347" t="s">
        <v>1565</v>
      </c>
      <c r="Q347" t="s">
        <v>1566</v>
      </c>
      <c r="R347" t="s">
        <v>29</v>
      </c>
      <c r="S347" t="s">
        <v>29</v>
      </c>
      <c r="T347">
        <v>1</v>
      </c>
      <c r="U347">
        <v>0.5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0</v>
      </c>
      <c r="AB347">
        <v>0</v>
      </c>
      <c r="AC347">
        <v>0</v>
      </c>
      <c r="AD347">
        <v>0</v>
      </c>
      <c r="AE347">
        <v>0</v>
      </c>
      <c r="AF347">
        <v>0</v>
      </c>
      <c r="AG347">
        <v>0</v>
      </c>
      <c r="AH347">
        <v>0</v>
      </c>
      <c r="AI347">
        <v>0</v>
      </c>
      <c r="AJ347">
        <v>0</v>
      </c>
      <c r="AK347">
        <v>0</v>
      </c>
      <c r="AL347">
        <v>0</v>
      </c>
      <c r="AM347">
        <v>0</v>
      </c>
      <c r="AN347">
        <v>0</v>
      </c>
      <c r="AO347">
        <v>0</v>
      </c>
      <c r="AP347">
        <v>0</v>
      </c>
      <c r="AQ347">
        <v>0</v>
      </c>
      <c r="AR347">
        <v>0</v>
      </c>
      <c r="AS347">
        <v>0</v>
      </c>
      <c r="AT347">
        <v>0</v>
      </c>
      <c r="AU347">
        <v>0</v>
      </c>
      <c r="AV347">
        <v>0</v>
      </c>
      <c r="AW347">
        <v>0</v>
      </c>
      <c r="AX347">
        <v>0</v>
      </c>
      <c r="AY347">
        <v>0</v>
      </c>
      <c r="AZ347">
        <v>0</v>
      </c>
      <c r="BA347">
        <v>0</v>
      </c>
      <c r="BB347">
        <v>0</v>
      </c>
      <c r="BC347">
        <v>0</v>
      </c>
      <c r="BD347">
        <v>0</v>
      </c>
      <c r="BE347">
        <v>0</v>
      </c>
      <c r="BF347">
        <v>0</v>
      </c>
      <c r="BG347">
        <v>0</v>
      </c>
      <c r="BH347">
        <v>0</v>
      </c>
      <c r="BI347">
        <v>0</v>
      </c>
      <c r="BJ347">
        <v>0</v>
      </c>
      <c r="BK347">
        <v>0</v>
      </c>
      <c r="BL347">
        <v>0</v>
      </c>
      <c r="BM347">
        <v>0</v>
      </c>
      <c r="BN347">
        <v>0</v>
      </c>
      <c r="BO347">
        <v>0</v>
      </c>
      <c r="BP347">
        <v>0</v>
      </c>
      <c r="BQ347">
        <v>0</v>
      </c>
      <c r="BR347">
        <v>1</v>
      </c>
      <c r="BS347">
        <v>0</v>
      </c>
    </row>
    <row r="348" spans="1:71" x14ac:dyDescent="0.3">
      <c r="A348" t="s">
        <v>1567</v>
      </c>
      <c r="B348" t="s">
        <v>1568</v>
      </c>
      <c r="C348" t="s">
        <v>29</v>
      </c>
      <c r="D348" t="s">
        <v>29</v>
      </c>
      <c r="E348" t="s">
        <v>29</v>
      </c>
      <c r="F348" t="s">
        <v>1569</v>
      </c>
      <c r="G348">
        <v>2023</v>
      </c>
      <c r="H348">
        <v>2023</v>
      </c>
      <c r="I348" t="s">
        <v>29</v>
      </c>
      <c r="J348" t="s">
        <v>29</v>
      </c>
      <c r="K348" t="s">
        <v>29</v>
      </c>
      <c r="L348" t="s">
        <v>29</v>
      </c>
      <c r="M348" t="s">
        <v>29</v>
      </c>
      <c r="N348">
        <v>11</v>
      </c>
      <c r="O348">
        <v>21</v>
      </c>
      <c r="P348" t="s">
        <v>29</v>
      </c>
      <c r="Q348" t="s">
        <v>1570</v>
      </c>
      <c r="R348" t="s">
        <v>1571</v>
      </c>
      <c r="S348" t="s">
        <v>1572</v>
      </c>
      <c r="T348">
        <v>1</v>
      </c>
      <c r="U348">
        <v>0.5</v>
      </c>
      <c r="V348">
        <v>0</v>
      </c>
      <c r="W348">
        <v>0</v>
      </c>
      <c r="X348">
        <v>0</v>
      </c>
      <c r="Y348">
        <v>0</v>
      </c>
      <c r="Z348">
        <v>0</v>
      </c>
      <c r="AA348">
        <v>0</v>
      </c>
      <c r="AB348">
        <v>0</v>
      </c>
      <c r="AC348">
        <v>0</v>
      </c>
      <c r="AD348">
        <v>0</v>
      </c>
      <c r="AE348">
        <v>0</v>
      </c>
      <c r="AF348">
        <v>0</v>
      </c>
      <c r="AG348">
        <v>0</v>
      </c>
      <c r="AH348">
        <v>0</v>
      </c>
      <c r="AI348">
        <v>0</v>
      </c>
      <c r="AJ348">
        <v>0</v>
      </c>
      <c r="AK348">
        <v>0</v>
      </c>
      <c r="AL348">
        <v>0</v>
      </c>
      <c r="AM348">
        <v>0</v>
      </c>
      <c r="AN348">
        <v>0</v>
      </c>
      <c r="AO348">
        <v>0</v>
      </c>
      <c r="AP348">
        <v>0</v>
      </c>
      <c r="AQ348">
        <v>0</v>
      </c>
      <c r="AR348">
        <v>0</v>
      </c>
      <c r="AS348">
        <v>0</v>
      </c>
      <c r="AT348">
        <v>0</v>
      </c>
      <c r="AU348">
        <v>0</v>
      </c>
      <c r="AV348">
        <v>0</v>
      </c>
      <c r="AW348">
        <v>0</v>
      </c>
      <c r="AX348">
        <v>0</v>
      </c>
      <c r="AY348">
        <v>0</v>
      </c>
      <c r="AZ348">
        <v>0</v>
      </c>
      <c r="BA348">
        <v>0</v>
      </c>
      <c r="BB348">
        <v>0</v>
      </c>
      <c r="BC348">
        <v>0</v>
      </c>
      <c r="BD348">
        <v>0</v>
      </c>
      <c r="BE348">
        <v>0</v>
      </c>
      <c r="BF348">
        <v>0</v>
      </c>
      <c r="BG348">
        <v>0</v>
      </c>
      <c r="BH348">
        <v>0</v>
      </c>
      <c r="BI348">
        <v>0</v>
      </c>
      <c r="BJ348">
        <v>0</v>
      </c>
      <c r="BK348">
        <v>0</v>
      </c>
      <c r="BL348">
        <v>0</v>
      </c>
      <c r="BM348">
        <v>0</v>
      </c>
      <c r="BN348">
        <v>0</v>
      </c>
      <c r="BO348">
        <v>0</v>
      </c>
      <c r="BP348">
        <v>0</v>
      </c>
      <c r="BQ348">
        <v>0</v>
      </c>
      <c r="BR348">
        <v>0</v>
      </c>
      <c r="BS348">
        <v>1</v>
      </c>
    </row>
    <row r="349" spans="1:71" x14ac:dyDescent="0.3">
      <c r="A349" t="s">
        <v>1573</v>
      </c>
      <c r="B349" t="s">
        <v>1574</v>
      </c>
      <c r="C349" t="s">
        <v>29</v>
      </c>
      <c r="D349" t="s">
        <v>29</v>
      </c>
      <c r="E349" t="s">
        <v>29</v>
      </c>
      <c r="F349" t="s">
        <v>1575</v>
      </c>
      <c r="G349">
        <v>2023</v>
      </c>
      <c r="H349">
        <v>2023</v>
      </c>
      <c r="I349">
        <v>81</v>
      </c>
      <c r="J349" t="s">
        <v>29</v>
      </c>
      <c r="K349" t="s">
        <v>29</v>
      </c>
      <c r="L349" t="s">
        <v>29</v>
      </c>
      <c r="M349" t="s">
        <v>29</v>
      </c>
      <c r="N349">
        <v>575</v>
      </c>
      <c r="O349">
        <v>591</v>
      </c>
      <c r="P349" t="s">
        <v>29</v>
      </c>
      <c r="Q349" t="s">
        <v>1576</v>
      </c>
      <c r="R349" t="s">
        <v>29</v>
      </c>
      <c r="S349" t="s">
        <v>29</v>
      </c>
      <c r="T349">
        <v>1</v>
      </c>
      <c r="U349">
        <v>0.5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0</v>
      </c>
      <c r="AB349">
        <v>0</v>
      </c>
      <c r="AC349">
        <v>0</v>
      </c>
      <c r="AD349">
        <v>0</v>
      </c>
      <c r="AE349">
        <v>0</v>
      </c>
      <c r="AF349">
        <v>0</v>
      </c>
      <c r="AG349">
        <v>0</v>
      </c>
      <c r="AH349">
        <v>0</v>
      </c>
      <c r="AI349">
        <v>0</v>
      </c>
      <c r="AJ349">
        <v>0</v>
      </c>
      <c r="AK349">
        <v>0</v>
      </c>
      <c r="AL349">
        <v>0</v>
      </c>
      <c r="AM349">
        <v>0</v>
      </c>
      <c r="AN349">
        <v>0</v>
      </c>
      <c r="AO349">
        <v>0</v>
      </c>
      <c r="AP349">
        <v>0</v>
      </c>
      <c r="AQ349">
        <v>0</v>
      </c>
      <c r="AR349">
        <v>0</v>
      </c>
      <c r="AS349">
        <v>0</v>
      </c>
      <c r="AT349">
        <v>0</v>
      </c>
      <c r="AU349">
        <v>0</v>
      </c>
      <c r="AV349">
        <v>0</v>
      </c>
      <c r="AW349">
        <v>0</v>
      </c>
      <c r="AX349">
        <v>0</v>
      </c>
      <c r="AY349">
        <v>0</v>
      </c>
      <c r="AZ349">
        <v>0</v>
      </c>
      <c r="BA349">
        <v>0</v>
      </c>
      <c r="BB349">
        <v>0</v>
      </c>
      <c r="BC349">
        <v>0</v>
      </c>
      <c r="BD349">
        <v>0</v>
      </c>
      <c r="BE349">
        <v>0</v>
      </c>
      <c r="BF349">
        <v>0</v>
      </c>
      <c r="BG349">
        <v>0</v>
      </c>
      <c r="BH349">
        <v>0</v>
      </c>
      <c r="BI349">
        <v>0</v>
      </c>
      <c r="BJ349">
        <v>0</v>
      </c>
      <c r="BK349">
        <v>0</v>
      </c>
      <c r="BL349">
        <v>0</v>
      </c>
      <c r="BM349">
        <v>0</v>
      </c>
      <c r="BN349">
        <v>0</v>
      </c>
      <c r="BO349">
        <v>0</v>
      </c>
      <c r="BP349">
        <v>0</v>
      </c>
      <c r="BQ349">
        <v>0</v>
      </c>
      <c r="BR349">
        <v>0</v>
      </c>
      <c r="BS349">
        <v>1</v>
      </c>
    </row>
    <row r="350" spans="1:71" x14ac:dyDescent="0.3">
      <c r="A350" t="s">
        <v>1577</v>
      </c>
      <c r="B350" t="s">
        <v>1578</v>
      </c>
      <c r="C350" t="s">
        <v>29</v>
      </c>
      <c r="D350" t="s">
        <v>29</v>
      </c>
      <c r="E350" t="s">
        <v>29</v>
      </c>
      <c r="F350" t="s">
        <v>696</v>
      </c>
      <c r="G350">
        <v>2023</v>
      </c>
      <c r="H350">
        <v>2023</v>
      </c>
      <c r="I350">
        <v>15</v>
      </c>
      <c r="J350">
        <v>3</v>
      </c>
      <c r="K350" t="s">
        <v>29</v>
      </c>
      <c r="L350" t="s">
        <v>29</v>
      </c>
      <c r="M350" t="s">
        <v>32</v>
      </c>
      <c r="N350">
        <v>118</v>
      </c>
      <c r="O350">
        <v>130</v>
      </c>
      <c r="P350" t="s">
        <v>29</v>
      </c>
      <c r="Q350" t="s">
        <v>1579</v>
      </c>
      <c r="R350" t="s">
        <v>29</v>
      </c>
      <c r="S350" t="s">
        <v>29</v>
      </c>
      <c r="T350">
        <v>1</v>
      </c>
      <c r="U350">
        <v>0.5</v>
      </c>
      <c r="V350">
        <v>0</v>
      </c>
      <c r="W350">
        <v>0</v>
      </c>
      <c r="X350">
        <v>0</v>
      </c>
      <c r="Y350">
        <v>0</v>
      </c>
      <c r="Z350">
        <v>0</v>
      </c>
      <c r="AA350">
        <v>0</v>
      </c>
      <c r="AB350">
        <v>0</v>
      </c>
      <c r="AC350">
        <v>0</v>
      </c>
      <c r="AD350">
        <v>0</v>
      </c>
      <c r="AE350">
        <v>0</v>
      </c>
      <c r="AF350">
        <v>0</v>
      </c>
      <c r="AG350">
        <v>0</v>
      </c>
      <c r="AH350">
        <v>0</v>
      </c>
      <c r="AI350">
        <v>0</v>
      </c>
      <c r="AJ350">
        <v>0</v>
      </c>
      <c r="AK350">
        <v>0</v>
      </c>
      <c r="AL350">
        <v>0</v>
      </c>
      <c r="AM350">
        <v>0</v>
      </c>
      <c r="AN350">
        <v>0</v>
      </c>
      <c r="AO350">
        <v>0</v>
      </c>
      <c r="AP350">
        <v>0</v>
      </c>
      <c r="AQ350">
        <v>0</v>
      </c>
      <c r="AR350">
        <v>0</v>
      </c>
      <c r="AS350">
        <v>0</v>
      </c>
      <c r="AT350">
        <v>0</v>
      </c>
      <c r="AU350">
        <v>0</v>
      </c>
      <c r="AV350">
        <v>0</v>
      </c>
      <c r="AW350">
        <v>0</v>
      </c>
      <c r="AX350">
        <v>0</v>
      </c>
      <c r="AY350">
        <v>0</v>
      </c>
      <c r="AZ350">
        <v>0</v>
      </c>
      <c r="BA350">
        <v>0</v>
      </c>
      <c r="BB350">
        <v>0</v>
      </c>
      <c r="BC350">
        <v>0</v>
      </c>
      <c r="BD350">
        <v>0</v>
      </c>
      <c r="BE350">
        <v>0</v>
      </c>
      <c r="BF350">
        <v>0</v>
      </c>
      <c r="BG350">
        <v>0</v>
      </c>
      <c r="BH350">
        <v>0</v>
      </c>
      <c r="BI350">
        <v>0</v>
      </c>
      <c r="BJ350">
        <v>0</v>
      </c>
      <c r="BK350">
        <v>0</v>
      </c>
      <c r="BL350">
        <v>0</v>
      </c>
      <c r="BM350">
        <v>0</v>
      </c>
      <c r="BN350">
        <v>0</v>
      </c>
      <c r="BO350">
        <v>0</v>
      </c>
      <c r="BP350">
        <v>0</v>
      </c>
      <c r="BQ350">
        <v>0</v>
      </c>
      <c r="BR350">
        <v>0</v>
      </c>
      <c r="BS350">
        <v>1</v>
      </c>
    </row>
    <row r="351" spans="1:71" x14ac:dyDescent="0.3">
      <c r="A351" t="s">
        <v>1580</v>
      </c>
      <c r="B351" t="s">
        <v>1581</v>
      </c>
      <c r="C351" t="s">
        <v>29</v>
      </c>
      <c r="D351" t="s">
        <v>29</v>
      </c>
      <c r="E351" t="s">
        <v>29</v>
      </c>
      <c r="F351" t="s">
        <v>1582</v>
      </c>
      <c r="G351">
        <v>2023</v>
      </c>
      <c r="H351">
        <v>2023</v>
      </c>
      <c r="I351">
        <v>13</v>
      </c>
      <c r="J351">
        <v>1</v>
      </c>
      <c r="K351" t="s">
        <v>29</v>
      </c>
      <c r="L351" t="s">
        <v>29</v>
      </c>
      <c r="M351" t="s">
        <v>29</v>
      </c>
      <c r="N351">
        <v>34</v>
      </c>
      <c r="O351">
        <v>47</v>
      </c>
      <c r="P351" t="s">
        <v>29</v>
      </c>
      <c r="Q351" t="s">
        <v>1583</v>
      </c>
      <c r="R351" t="s">
        <v>29</v>
      </c>
      <c r="S351" t="s">
        <v>29</v>
      </c>
      <c r="T351">
        <v>1</v>
      </c>
      <c r="U351">
        <v>0.5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0</v>
      </c>
      <c r="AB351">
        <v>0</v>
      </c>
      <c r="AC351">
        <v>0</v>
      </c>
      <c r="AD351">
        <v>0</v>
      </c>
      <c r="AE351">
        <v>0</v>
      </c>
      <c r="AF351">
        <v>0</v>
      </c>
      <c r="AG351">
        <v>0</v>
      </c>
      <c r="AH351">
        <v>0</v>
      </c>
      <c r="AI351">
        <v>0</v>
      </c>
      <c r="AJ351">
        <v>0</v>
      </c>
      <c r="AK351">
        <v>0</v>
      </c>
      <c r="AL351">
        <v>0</v>
      </c>
      <c r="AM351">
        <v>0</v>
      </c>
      <c r="AN351">
        <v>0</v>
      </c>
      <c r="AO351">
        <v>0</v>
      </c>
      <c r="AP351">
        <v>0</v>
      </c>
      <c r="AQ351">
        <v>0</v>
      </c>
      <c r="AR351">
        <v>0</v>
      </c>
      <c r="AS351">
        <v>0</v>
      </c>
      <c r="AT351">
        <v>0</v>
      </c>
      <c r="AU351">
        <v>0</v>
      </c>
      <c r="AV351">
        <v>0</v>
      </c>
      <c r="AW351">
        <v>0</v>
      </c>
      <c r="AX351">
        <v>0</v>
      </c>
      <c r="AY351">
        <v>0</v>
      </c>
      <c r="AZ351">
        <v>0</v>
      </c>
      <c r="BA351">
        <v>0</v>
      </c>
      <c r="BB351">
        <v>0</v>
      </c>
      <c r="BC351">
        <v>0</v>
      </c>
      <c r="BD351">
        <v>0</v>
      </c>
      <c r="BE351">
        <v>0</v>
      </c>
      <c r="BF351">
        <v>0</v>
      </c>
      <c r="BG351">
        <v>0</v>
      </c>
      <c r="BH351">
        <v>0</v>
      </c>
      <c r="BI351">
        <v>0</v>
      </c>
      <c r="BJ351">
        <v>0</v>
      </c>
      <c r="BK351">
        <v>0</v>
      </c>
      <c r="BL351">
        <v>0</v>
      </c>
      <c r="BM351">
        <v>0</v>
      </c>
      <c r="BN351">
        <v>0</v>
      </c>
      <c r="BO351">
        <v>0</v>
      </c>
      <c r="BP351">
        <v>0</v>
      </c>
      <c r="BQ351">
        <v>0</v>
      </c>
      <c r="BR351">
        <v>0</v>
      </c>
      <c r="BS351">
        <v>1</v>
      </c>
    </row>
    <row r="352" spans="1:71" x14ac:dyDescent="0.3">
      <c r="A352" t="s">
        <v>1584</v>
      </c>
      <c r="B352" t="s">
        <v>1585</v>
      </c>
      <c r="C352" t="s">
        <v>29</v>
      </c>
      <c r="D352" t="s">
        <v>29</v>
      </c>
      <c r="E352" t="s">
        <v>29</v>
      </c>
      <c r="F352" t="s">
        <v>1586</v>
      </c>
      <c r="G352">
        <v>2023</v>
      </c>
      <c r="H352">
        <v>2023</v>
      </c>
      <c r="I352" t="s">
        <v>29</v>
      </c>
      <c r="J352" t="s">
        <v>29</v>
      </c>
      <c r="K352" t="s">
        <v>29</v>
      </c>
      <c r="L352" t="s">
        <v>29</v>
      </c>
      <c r="M352" t="s">
        <v>29</v>
      </c>
      <c r="N352">
        <v>972</v>
      </c>
      <c r="O352">
        <v>983</v>
      </c>
      <c r="P352" t="s">
        <v>29</v>
      </c>
      <c r="Q352" t="s">
        <v>1587</v>
      </c>
      <c r="R352" t="s">
        <v>1588</v>
      </c>
      <c r="S352" t="s">
        <v>1589</v>
      </c>
      <c r="T352">
        <v>1</v>
      </c>
      <c r="U352">
        <v>0.5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0</v>
      </c>
      <c r="AB352">
        <v>0</v>
      </c>
      <c r="AC352">
        <v>0</v>
      </c>
      <c r="AD352">
        <v>0</v>
      </c>
      <c r="AE352">
        <v>0</v>
      </c>
      <c r="AF352">
        <v>0</v>
      </c>
      <c r="AG352">
        <v>0</v>
      </c>
      <c r="AH352">
        <v>0</v>
      </c>
      <c r="AI352">
        <v>0</v>
      </c>
      <c r="AJ352">
        <v>0</v>
      </c>
      <c r="AK352">
        <v>0</v>
      </c>
      <c r="AL352">
        <v>0</v>
      </c>
      <c r="AM352">
        <v>0</v>
      </c>
      <c r="AN352">
        <v>0</v>
      </c>
      <c r="AO352">
        <v>0</v>
      </c>
      <c r="AP352">
        <v>0</v>
      </c>
      <c r="AQ352">
        <v>0</v>
      </c>
      <c r="AR352">
        <v>0</v>
      </c>
      <c r="AS352">
        <v>0</v>
      </c>
      <c r="AT352">
        <v>0</v>
      </c>
      <c r="AU352">
        <v>0</v>
      </c>
      <c r="AV352">
        <v>0</v>
      </c>
      <c r="AW352">
        <v>0</v>
      </c>
      <c r="AX352">
        <v>0</v>
      </c>
      <c r="AY352">
        <v>0</v>
      </c>
      <c r="AZ352">
        <v>0</v>
      </c>
      <c r="BA352">
        <v>0</v>
      </c>
      <c r="BB352">
        <v>0</v>
      </c>
      <c r="BC352">
        <v>0</v>
      </c>
      <c r="BD352">
        <v>0</v>
      </c>
      <c r="BE352">
        <v>0</v>
      </c>
      <c r="BF352">
        <v>0</v>
      </c>
      <c r="BG352">
        <v>0</v>
      </c>
      <c r="BH352">
        <v>0</v>
      </c>
      <c r="BI352">
        <v>0</v>
      </c>
      <c r="BJ352">
        <v>0</v>
      </c>
      <c r="BK352">
        <v>0</v>
      </c>
      <c r="BL352">
        <v>0</v>
      </c>
      <c r="BM352">
        <v>0</v>
      </c>
      <c r="BN352">
        <v>0</v>
      </c>
      <c r="BO352">
        <v>0</v>
      </c>
      <c r="BP352">
        <v>0</v>
      </c>
      <c r="BQ352">
        <v>0</v>
      </c>
      <c r="BR352">
        <v>0</v>
      </c>
      <c r="BS352">
        <v>1</v>
      </c>
    </row>
    <row r="353" spans="1:71" x14ac:dyDescent="0.3">
      <c r="A353" t="s">
        <v>1590</v>
      </c>
      <c r="B353" t="s">
        <v>1591</v>
      </c>
      <c r="C353" t="s">
        <v>29</v>
      </c>
      <c r="D353" t="s">
        <v>29</v>
      </c>
      <c r="E353" t="s">
        <v>29</v>
      </c>
      <c r="F353" t="s">
        <v>1592</v>
      </c>
      <c r="G353">
        <v>2023</v>
      </c>
      <c r="H353">
        <v>2023</v>
      </c>
      <c r="I353">
        <v>32</v>
      </c>
      <c r="J353">
        <v>1</v>
      </c>
      <c r="K353" t="s">
        <v>29</v>
      </c>
      <c r="L353" t="s">
        <v>29</v>
      </c>
      <c r="M353" t="s">
        <v>29</v>
      </c>
      <c r="N353">
        <v>37</v>
      </c>
      <c r="O353">
        <v>60</v>
      </c>
      <c r="P353" t="s">
        <v>29</v>
      </c>
      <c r="Q353" t="s">
        <v>1593</v>
      </c>
      <c r="R353" t="s">
        <v>29</v>
      </c>
      <c r="S353" t="s">
        <v>29</v>
      </c>
      <c r="T353">
        <v>1</v>
      </c>
      <c r="U353">
        <v>0.5</v>
      </c>
      <c r="V353">
        <v>0</v>
      </c>
      <c r="W353">
        <v>0</v>
      </c>
      <c r="X353">
        <v>0</v>
      </c>
      <c r="Y353">
        <v>0</v>
      </c>
      <c r="Z353">
        <v>0</v>
      </c>
      <c r="AA353">
        <v>0</v>
      </c>
      <c r="AB353">
        <v>0</v>
      </c>
      <c r="AC353">
        <v>0</v>
      </c>
      <c r="AD353">
        <v>0</v>
      </c>
      <c r="AE353">
        <v>0</v>
      </c>
      <c r="AF353">
        <v>0</v>
      </c>
      <c r="AG353">
        <v>0</v>
      </c>
      <c r="AH353">
        <v>0</v>
      </c>
      <c r="AI353">
        <v>0</v>
      </c>
      <c r="AJ353">
        <v>0</v>
      </c>
      <c r="AK353">
        <v>0</v>
      </c>
      <c r="AL353">
        <v>0</v>
      </c>
      <c r="AM353">
        <v>0</v>
      </c>
      <c r="AN353">
        <v>0</v>
      </c>
      <c r="AO353">
        <v>0</v>
      </c>
      <c r="AP353">
        <v>0</v>
      </c>
      <c r="AQ353">
        <v>0</v>
      </c>
      <c r="AR353">
        <v>0</v>
      </c>
      <c r="AS353">
        <v>0</v>
      </c>
      <c r="AT353">
        <v>0</v>
      </c>
      <c r="AU353">
        <v>0</v>
      </c>
      <c r="AV353">
        <v>0</v>
      </c>
      <c r="AW353">
        <v>0</v>
      </c>
      <c r="AX353">
        <v>0</v>
      </c>
      <c r="AY353">
        <v>0</v>
      </c>
      <c r="AZ353">
        <v>0</v>
      </c>
      <c r="BA353">
        <v>0</v>
      </c>
      <c r="BB353">
        <v>0</v>
      </c>
      <c r="BC353">
        <v>0</v>
      </c>
      <c r="BD353">
        <v>0</v>
      </c>
      <c r="BE353">
        <v>0</v>
      </c>
      <c r="BF353">
        <v>0</v>
      </c>
      <c r="BG353">
        <v>0</v>
      </c>
      <c r="BH353">
        <v>0</v>
      </c>
      <c r="BI353">
        <v>0</v>
      </c>
      <c r="BJ353">
        <v>0</v>
      </c>
      <c r="BK353">
        <v>0</v>
      </c>
      <c r="BL353">
        <v>0</v>
      </c>
      <c r="BM353">
        <v>0</v>
      </c>
      <c r="BN353">
        <v>0</v>
      </c>
      <c r="BO353">
        <v>0</v>
      </c>
      <c r="BP353">
        <v>0</v>
      </c>
      <c r="BQ353">
        <v>0</v>
      </c>
      <c r="BR353">
        <v>0</v>
      </c>
      <c r="BS353">
        <v>1</v>
      </c>
    </row>
    <row r="354" spans="1:71" x14ac:dyDescent="0.3">
      <c r="A354" t="s">
        <v>1594</v>
      </c>
      <c r="B354" t="s">
        <v>1595</v>
      </c>
      <c r="C354" t="s">
        <v>29</v>
      </c>
      <c r="D354" t="s">
        <v>29</v>
      </c>
      <c r="E354" t="s">
        <v>29</v>
      </c>
      <c r="F354" t="s">
        <v>1596</v>
      </c>
      <c r="G354" t="s">
        <v>804</v>
      </c>
      <c r="H354">
        <v>2022</v>
      </c>
      <c r="I354">
        <v>78</v>
      </c>
      <c r="J354" t="s">
        <v>29</v>
      </c>
      <c r="K354" t="s">
        <v>29</v>
      </c>
      <c r="L354" t="s">
        <v>29</v>
      </c>
      <c r="M354" t="s">
        <v>29</v>
      </c>
      <c r="N354">
        <v>54</v>
      </c>
      <c r="O354">
        <v>65</v>
      </c>
      <c r="P354" t="s">
        <v>29</v>
      </c>
      <c r="Q354" t="s">
        <v>1597</v>
      </c>
      <c r="R354" t="s">
        <v>29</v>
      </c>
      <c r="S354" t="s">
        <v>29</v>
      </c>
      <c r="T354">
        <v>1</v>
      </c>
      <c r="U354">
        <v>0.33</v>
      </c>
      <c r="V354">
        <v>0</v>
      </c>
      <c r="W354">
        <v>0</v>
      </c>
      <c r="X354">
        <v>0</v>
      </c>
      <c r="Y354">
        <v>0</v>
      </c>
      <c r="Z354">
        <v>0</v>
      </c>
      <c r="AA354">
        <v>0</v>
      </c>
      <c r="AB354">
        <v>0</v>
      </c>
      <c r="AC354">
        <v>0</v>
      </c>
      <c r="AD354">
        <v>0</v>
      </c>
      <c r="AE354">
        <v>0</v>
      </c>
      <c r="AF354">
        <v>0</v>
      </c>
      <c r="AG354">
        <v>0</v>
      </c>
      <c r="AH354">
        <v>0</v>
      </c>
      <c r="AI354">
        <v>0</v>
      </c>
      <c r="AJ354">
        <v>0</v>
      </c>
      <c r="AK354">
        <v>0</v>
      </c>
      <c r="AL354">
        <v>0</v>
      </c>
      <c r="AM354">
        <v>0</v>
      </c>
      <c r="AN354">
        <v>0</v>
      </c>
      <c r="AO354">
        <v>0</v>
      </c>
      <c r="AP354">
        <v>0</v>
      </c>
      <c r="AQ354">
        <v>0</v>
      </c>
      <c r="AR354">
        <v>0</v>
      </c>
      <c r="AS354">
        <v>0</v>
      </c>
      <c r="AT354">
        <v>0</v>
      </c>
      <c r="AU354">
        <v>0</v>
      </c>
      <c r="AV354">
        <v>0</v>
      </c>
      <c r="AW354">
        <v>0</v>
      </c>
      <c r="AX354">
        <v>0</v>
      </c>
      <c r="AY354">
        <v>0</v>
      </c>
      <c r="AZ354">
        <v>0</v>
      </c>
      <c r="BA354">
        <v>0</v>
      </c>
      <c r="BB354">
        <v>0</v>
      </c>
      <c r="BC354">
        <v>0</v>
      </c>
      <c r="BD354">
        <v>0</v>
      </c>
      <c r="BE354">
        <v>0</v>
      </c>
      <c r="BF354">
        <v>0</v>
      </c>
      <c r="BG354">
        <v>0</v>
      </c>
      <c r="BH354">
        <v>0</v>
      </c>
      <c r="BI354">
        <v>0</v>
      </c>
      <c r="BJ354">
        <v>0</v>
      </c>
      <c r="BK354">
        <v>0</v>
      </c>
      <c r="BL354">
        <v>0</v>
      </c>
      <c r="BM354">
        <v>0</v>
      </c>
      <c r="BN354">
        <v>0</v>
      </c>
      <c r="BO354">
        <v>0</v>
      </c>
      <c r="BP354">
        <v>0</v>
      </c>
      <c r="BQ354">
        <v>0</v>
      </c>
      <c r="BR354">
        <v>0</v>
      </c>
      <c r="BS354">
        <v>1</v>
      </c>
    </row>
    <row r="355" spans="1:71" x14ac:dyDescent="0.3">
      <c r="A355" t="s">
        <v>1598</v>
      </c>
      <c r="B355" t="s">
        <v>1599</v>
      </c>
      <c r="C355" t="s">
        <v>29</v>
      </c>
      <c r="D355" t="s">
        <v>29</v>
      </c>
      <c r="E355" t="s">
        <v>29</v>
      </c>
      <c r="F355" t="s">
        <v>1600</v>
      </c>
      <c r="G355" t="s">
        <v>1601</v>
      </c>
      <c r="H355">
        <v>2023</v>
      </c>
      <c r="I355">
        <v>32</v>
      </c>
      <c r="J355">
        <v>3</v>
      </c>
      <c r="K355" t="s">
        <v>29</v>
      </c>
      <c r="L355" t="s">
        <v>29</v>
      </c>
      <c r="M355" t="s">
        <v>29</v>
      </c>
      <c r="N355">
        <v>296</v>
      </c>
      <c r="O355">
        <v>328</v>
      </c>
      <c r="P355" t="s">
        <v>29</v>
      </c>
      <c r="Q355" t="s">
        <v>1602</v>
      </c>
      <c r="R355" t="s">
        <v>29</v>
      </c>
      <c r="S355" t="s">
        <v>29</v>
      </c>
      <c r="T355">
        <v>1</v>
      </c>
      <c r="U355">
        <v>0.33</v>
      </c>
      <c r="V355">
        <v>0</v>
      </c>
      <c r="W355">
        <v>0</v>
      </c>
      <c r="X355">
        <v>0</v>
      </c>
      <c r="Y355">
        <v>0</v>
      </c>
      <c r="Z355">
        <v>0</v>
      </c>
      <c r="AA355">
        <v>0</v>
      </c>
      <c r="AB355">
        <v>0</v>
      </c>
      <c r="AC355">
        <v>0</v>
      </c>
      <c r="AD355">
        <v>0</v>
      </c>
      <c r="AE355">
        <v>0</v>
      </c>
      <c r="AF355">
        <v>0</v>
      </c>
      <c r="AG355">
        <v>0</v>
      </c>
      <c r="AH355">
        <v>0</v>
      </c>
      <c r="AI355">
        <v>0</v>
      </c>
      <c r="AJ355">
        <v>0</v>
      </c>
      <c r="AK355">
        <v>0</v>
      </c>
      <c r="AL355">
        <v>0</v>
      </c>
      <c r="AM355">
        <v>0</v>
      </c>
      <c r="AN355">
        <v>0</v>
      </c>
      <c r="AO355">
        <v>0</v>
      </c>
      <c r="AP355">
        <v>0</v>
      </c>
      <c r="AQ355">
        <v>0</v>
      </c>
      <c r="AR355">
        <v>0</v>
      </c>
      <c r="AS355">
        <v>0</v>
      </c>
      <c r="AT355">
        <v>0</v>
      </c>
      <c r="AU355">
        <v>0</v>
      </c>
      <c r="AV355">
        <v>0</v>
      </c>
      <c r="AW355">
        <v>0</v>
      </c>
      <c r="AX355">
        <v>0</v>
      </c>
      <c r="AY355">
        <v>0</v>
      </c>
      <c r="AZ355">
        <v>0</v>
      </c>
      <c r="BA355">
        <v>0</v>
      </c>
      <c r="BB355">
        <v>0</v>
      </c>
      <c r="BC355">
        <v>0</v>
      </c>
      <c r="BD355">
        <v>0</v>
      </c>
      <c r="BE355">
        <v>0</v>
      </c>
      <c r="BF355">
        <v>0</v>
      </c>
      <c r="BG355">
        <v>0</v>
      </c>
      <c r="BH355">
        <v>0</v>
      </c>
      <c r="BI355">
        <v>0</v>
      </c>
      <c r="BJ355">
        <v>0</v>
      </c>
      <c r="BK355">
        <v>0</v>
      </c>
      <c r="BL355">
        <v>0</v>
      </c>
      <c r="BM355">
        <v>0</v>
      </c>
      <c r="BN355">
        <v>0</v>
      </c>
      <c r="BO355">
        <v>0</v>
      </c>
      <c r="BP355">
        <v>0</v>
      </c>
      <c r="BQ355">
        <v>0</v>
      </c>
      <c r="BR355">
        <v>0</v>
      </c>
      <c r="BS355">
        <v>1</v>
      </c>
    </row>
    <row r="356" spans="1:71" x14ac:dyDescent="0.3">
      <c r="A356" t="s">
        <v>1603</v>
      </c>
      <c r="B356" t="s">
        <v>1604</v>
      </c>
      <c r="C356" t="s">
        <v>29</v>
      </c>
      <c r="D356" t="s">
        <v>29</v>
      </c>
      <c r="E356" t="s">
        <v>29</v>
      </c>
      <c r="F356" t="s">
        <v>1605</v>
      </c>
      <c r="G356" t="s">
        <v>1606</v>
      </c>
      <c r="H356">
        <v>2022</v>
      </c>
      <c r="I356">
        <v>18</v>
      </c>
      <c r="J356">
        <v>1</v>
      </c>
      <c r="K356" t="s">
        <v>29</v>
      </c>
      <c r="L356" t="s">
        <v>29</v>
      </c>
      <c r="M356" t="s">
        <v>29</v>
      </c>
      <c r="N356">
        <v>44</v>
      </c>
      <c r="O356">
        <v>55</v>
      </c>
      <c r="P356" t="s">
        <v>29</v>
      </c>
      <c r="Q356" t="s">
        <v>1607</v>
      </c>
      <c r="R356" t="s">
        <v>29</v>
      </c>
      <c r="S356" t="s">
        <v>29</v>
      </c>
      <c r="T356">
        <v>1</v>
      </c>
      <c r="U356">
        <v>0.33</v>
      </c>
      <c r="V356">
        <v>0</v>
      </c>
      <c r="W356">
        <v>0</v>
      </c>
      <c r="X356">
        <v>0</v>
      </c>
      <c r="Y356">
        <v>0</v>
      </c>
      <c r="Z356">
        <v>0</v>
      </c>
      <c r="AA356">
        <v>0</v>
      </c>
      <c r="AB356">
        <v>0</v>
      </c>
      <c r="AC356">
        <v>0</v>
      </c>
      <c r="AD356">
        <v>0</v>
      </c>
      <c r="AE356">
        <v>0</v>
      </c>
      <c r="AF356">
        <v>0</v>
      </c>
      <c r="AG356">
        <v>0</v>
      </c>
      <c r="AH356">
        <v>0</v>
      </c>
      <c r="AI356">
        <v>0</v>
      </c>
      <c r="AJ356">
        <v>0</v>
      </c>
      <c r="AK356">
        <v>0</v>
      </c>
      <c r="AL356">
        <v>0</v>
      </c>
      <c r="AM356">
        <v>0</v>
      </c>
      <c r="AN356">
        <v>0</v>
      </c>
      <c r="AO356">
        <v>0</v>
      </c>
      <c r="AP356">
        <v>0</v>
      </c>
      <c r="AQ356">
        <v>0</v>
      </c>
      <c r="AR356">
        <v>0</v>
      </c>
      <c r="AS356">
        <v>0</v>
      </c>
      <c r="AT356">
        <v>0</v>
      </c>
      <c r="AU356">
        <v>0</v>
      </c>
      <c r="AV356">
        <v>0</v>
      </c>
      <c r="AW356">
        <v>0</v>
      </c>
      <c r="AX356">
        <v>0</v>
      </c>
      <c r="AY356">
        <v>0</v>
      </c>
      <c r="AZ356">
        <v>0</v>
      </c>
      <c r="BA356">
        <v>0</v>
      </c>
      <c r="BB356">
        <v>0</v>
      </c>
      <c r="BC356">
        <v>0</v>
      </c>
      <c r="BD356">
        <v>0</v>
      </c>
      <c r="BE356">
        <v>0</v>
      </c>
      <c r="BF356">
        <v>0</v>
      </c>
      <c r="BG356">
        <v>0</v>
      </c>
      <c r="BH356">
        <v>0</v>
      </c>
      <c r="BI356">
        <v>0</v>
      </c>
      <c r="BJ356">
        <v>0</v>
      </c>
      <c r="BK356">
        <v>0</v>
      </c>
      <c r="BL356">
        <v>0</v>
      </c>
      <c r="BM356">
        <v>0</v>
      </c>
      <c r="BN356">
        <v>0</v>
      </c>
      <c r="BO356">
        <v>0</v>
      </c>
      <c r="BP356">
        <v>0</v>
      </c>
      <c r="BQ356">
        <v>0</v>
      </c>
      <c r="BR356">
        <v>0</v>
      </c>
      <c r="BS356">
        <v>1</v>
      </c>
    </row>
    <row r="357" spans="1:71" x14ac:dyDescent="0.3">
      <c r="A357" t="s">
        <v>1608</v>
      </c>
      <c r="B357" t="s">
        <v>1609</v>
      </c>
      <c r="C357" t="s">
        <v>29</v>
      </c>
      <c r="D357" t="s">
        <v>29</v>
      </c>
      <c r="E357" t="s">
        <v>29</v>
      </c>
      <c r="F357" t="s">
        <v>1610</v>
      </c>
      <c r="G357" t="s">
        <v>1611</v>
      </c>
      <c r="H357">
        <v>2022</v>
      </c>
      <c r="I357">
        <v>25</v>
      </c>
      <c r="J357">
        <v>1</v>
      </c>
      <c r="K357" t="s">
        <v>29</v>
      </c>
      <c r="L357" t="s">
        <v>29</v>
      </c>
      <c r="M357" t="s">
        <v>29</v>
      </c>
      <c r="N357" t="s">
        <v>29</v>
      </c>
      <c r="O357" t="s">
        <v>29</v>
      </c>
      <c r="P357">
        <v>2250005</v>
      </c>
      <c r="Q357" t="s">
        <v>1612</v>
      </c>
      <c r="R357" t="s">
        <v>29</v>
      </c>
      <c r="S357" t="s">
        <v>29</v>
      </c>
      <c r="T357">
        <v>1</v>
      </c>
      <c r="U357">
        <v>0.33</v>
      </c>
      <c r="V357">
        <v>0</v>
      </c>
      <c r="W357">
        <v>0</v>
      </c>
      <c r="X357">
        <v>0</v>
      </c>
      <c r="Y357">
        <v>0</v>
      </c>
      <c r="Z357">
        <v>0</v>
      </c>
      <c r="AA357">
        <v>0</v>
      </c>
      <c r="AB357">
        <v>0</v>
      </c>
      <c r="AC357">
        <v>0</v>
      </c>
      <c r="AD357">
        <v>0</v>
      </c>
      <c r="AE357">
        <v>0</v>
      </c>
      <c r="AF357">
        <v>0</v>
      </c>
      <c r="AG357">
        <v>0</v>
      </c>
      <c r="AH357">
        <v>0</v>
      </c>
      <c r="AI357">
        <v>0</v>
      </c>
      <c r="AJ357">
        <v>0</v>
      </c>
      <c r="AK357">
        <v>0</v>
      </c>
      <c r="AL357">
        <v>0</v>
      </c>
      <c r="AM357">
        <v>0</v>
      </c>
      <c r="AN357">
        <v>0</v>
      </c>
      <c r="AO357">
        <v>0</v>
      </c>
      <c r="AP357">
        <v>0</v>
      </c>
      <c r="AQ357">
        <v>0</v>
      </c>
      <c r="AR357">
        <v>0</v>
      </c>
      <c r="AS357">
        <v>0</v>
      </c>
      <c r="AT357">
        <v>0</v>
      </c>
      <c r="AU357">
        <v>0</v>
      </c>
      <c r="AV357">
        <v>0</v>
      </c>
      <c r="AW357">
        <v>0</v>
      </c>
      <c r="AX357">
        <v>0</v>
      </c>
      <c r="AY357">
        <v>0</v>
      </c>
      <c r="AZ357">
        <v>0</v>
      </c>
      <c r="BA357">
        <v>0</v>
      </c>
      <c r="BB357">
        <v>0</v>
      </c>
      <c r="BC357">
        <v>0</v>
      </c>
      <c r="BD357">
        <v>0</v>
      </c>
      <c r="BE357">
        <v>0</v>
      </c>
      <c r="BF357">
        <v>0</v>
      </c>
      <c r="BG357">
        <v>0</v>
      </c>
      <c r="BH357">
        <v>0</v>
      </c>
      <c r="BI357">
        <v>0</v>
      </c>
      <c r="BJ357">
        <v>0</v>
      </c>
      <c r="BK357">
        <v>0</v>
      </c>
      <c r="BL357">
        <v>0</v>
      </c>
      <c r="BM357">
        <v>0</v>
      </c>
      <c r="BN357">
        <v>0</v>
      </c>
      <c r="BO357">
        <v>0</v>
      </c>
      <c r="BP357">
        <v>0</v>
      </c>
      <c r="BQ357">
        <v>0</v>
      </c>
      <c r="BR357">
        <v>0</v>
      </c>
      <c r="BS357">
        <v>1</v>
      </c>
    </row>
    <row r="358" spans="1:71" x14ac:dyDescent="0.3">
      <c r="A358" t="s">
        <v>1613</v>
      </c>
      <c r="B358" t="s">
        <v>1614</v>
      </c>
      <c r="C358" t="s">
        <v>29</v>
      </c>
      <c r="D358" t="s">
        <v>29</v>
      </c>
      <c r="E358" t="s">
        <v>29</v>
      </c>
      <c r="F358" t="s">
        <v>1615</v>
      </c>
      <c r="G358">
        <v>2022</v>
      </c>
      <c r="H358">
        <v>2022</v>
      </c>
      <c r="I358">
        <v>44</v>
      </c>
      <c r="J358">
        <v>1</v>
      </c>
      <c r="K358" t="s">
        <v>29</v>
      </c>
      <c r="L358" t="s">
        <v>29</v>
      </c>
      <c r="M358" t="s">
        <v>29</v>
      </c>
      <c r="N358">
        <v>13</v>
      </c>
      <c r="O358">
        <v>19</v>
      </c>
      <c r="P358" t="s">
        <v>29</v>
      </c>
      <c r="Q358" t="s">
        <v>1616</v>
      </c>
      <c r="R358" t="s">
        <v>29</v>
      </c>
      <c r="S358" t="s">
        <v>29</v>
      </c>
      <c r="T358">
        <v>1</v>
      </c>
      <c r="U358">
        <v>0.33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0</v>
      </c>
      <c r="AB358">
        <v>0</v>
      </c>
      <c r="AC358">
        <v>0</v>
      </c>
      <c r="AD358">
        <v>0</v>
      </c>
      <c r="AE358">
        <v>0</v>
      </c>
      <c r="AF358">
        <v>0</v>
      </c>
      <c r="AG358">
        <v>0</v>
      </c>
      <c r="AH358">
        <v>0</v>
      </c>
      <c r="AI358">
        <v>0</v>
      </c>
      <c r="AJ358">
        <v>0</v>
      </c>
      <c r="AK358">
        <v>0</v>
      </c>
      <c r="AL358">
        <v>0</v>
      </c>
      <c r="AM358">
        <v>0</v>
      </c>
      <c r="AN358">
        <v>0</v>
      </c>
      <c r="AO358">
        <v>0</v>
      </c>
      <c r="AP358">
        <v>0</v>
      </c>
      <c r="AQ358">
        <v>0</v>
      </c>
      <c r="AR358">
        <v>0</v>
      </c>
      <c r="AS358">
        <v>0</v>
      </c>
      <c r="AT358">
        <v>0</v>
      </c>
      <c r="AU358">
        <v>0</v>
      </c>
      <c r="AV358">
        <v>0</v>
      </c>
      <c r="AW358">
        <v>0</v>
      </c>
      <c r="AX358">
        <v>0</v>
      </c>
      <c r="AY358">
        <v>0</v>
      </c>
      <c r="AZ358">
        <v>0</v>
      </c>
      <c r="BA358">
        <v>0</v>
      </c>
      <c r="BB358">
        <v>0</v>
      </c>
      <c r="BC358">
        <v>0</v>
      </c>
      <c r="BD358">
        <v>0</v>
      </c>
      <c r="BE358">
        <v>0</v>
      </c>
      <c r="BF358">
        <v>0</v>
      </c>
      <c r="BG358">
        <v>0</v>
      </c>
      <c r="BH358">
        <v>0</v>
      </c>
      <c r="BI358">
        <v>0</v>
      </c>
      <c r="BJ358">
        <v>0</v>
      </c>
      <c r="BK358">
        <v>0</v>
      </c>
      <c r="BL358">
        <v>0</v>
      </c>
      <c r="BM358">
        <v>0</v>
      </c>
      <c r="BN358">
        <v>0</v>
      </c>
      <c r="BO358">
        <v>0</v>
      </c>
      <c r="BP358">
        <v>0</v>
      </c>
      <c r="BQ358">
        <v>0</v>
      </c>
      <c r="BR358">
        <v>0</v>
      </c>
      <c r="BS358">
        <v>1</v>
      </c>
    </row>
    <row r="359" spans="1:71" x14ac:dyDescent="0.3">
      <c r="A359" t="s">
        <v>1617</v>
      </c>
      <c r="B359" t="s">
        <v>1618</v>
      </c>
      <c r="C359" t="s">
        <v>29</v>
      </c>
      <c r="D359" t="s">
        <v>29</v>
      </c>
      <c r="E359" t="s">
        <v>29</v>
      </c>
      <c r="F359" t="s">
        <v>1619</v>
      </c>
      <c r="G359">
        <v>2022</v>
      </c>
      <c r="H359">
        <v>2022</v>
      </c>
      <c r="I359" t="s">
        <v>29</v>
      </c>
      <c r="J359" t="s">
        <v>29</v>
      </c>
      <c r="K359" t="s">
        <v>29</v>
      </c>
      <c r="L359" t="s">
        <v>29</v>
      </c>
      <c r="M359" t="s">
        <v>29</v>
      </c>
      <c r="N359">
        <v>81</v>
      </c>
      <c r="O359">
        <v>91</v>
      </c>
      <c r="P359" t="s">
        <v>29</v>
      </c>
      <c r="Q359" t="s">
        <v>29</v>
      </c>
      <c r="R359" t="s">
        <v>1620</v>
      </c>
      <c r="S359" t="s">
        <v>1621</v>
      </c>
      <c r="T359">
        <v>1</v>
      </c>
      <c r="U359">
        <v>0.33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0</v>
      </c>
      <c r="AB359">
        <v>0</v>
      </c>
      <c r="AC359">
        <v>0</v>
      </c>
      <c r="AD359">
        <v>0</v>
      </c>
      <c r="AE359">
        <v>0</v>
      </c>
      <c r="AF359">
        <v>0</v>
      </c>
      <c r="AG359">
        <v>0</v>
      </c>
      <c r="AH359">
        <v>0</v>
      </c>
      <c r="AI359">
        <v>0</v>
      </c>
      <c r="AJ359">
        <v>0</v>
      </c>
      <c r="AK359">
        <v>0</v>
      </c>
      <c r="AL359">
        <v>0</v>
      </c>
      <c r="AM359">
        <v>0</v>
      </c>
      <c r="AN359">
        <v>0</v>
      </c>
      <c r="AO359">
        <v>0</v>
      </c>
      <c r="AP359">
        <v>0</v>
      </c>
      <c r="AQ359">
        <v>0</v>
      </c>
      <c r="AR359">
        <v>0</v>
      </c>
      <c r="AS359">
        <v>0</v>
      </c>
      <c r="AT359">
        <v>0</v>
      </c>
      <c r="AU359">
        <v>0</v>
      </c>
      <c r="AV359">
        <v>0</v>
      </c>
      <c r="AW359">
        <v>0</v>
      </c>
      <c r="AX359">
        <v>0</v>
      </c>
      <c r="AY359">
        <v>0</v>
      </c>
      <c r="AZ359">
        <v>0</v>
      </c>
      <c r="BA359">
        <v>0</v>
      </c>
      <c r="BB359">
        <v>0</v>
      </c>
      <c r="BC359">
        <v>0</v>
      </c>
      <c r="BD359">
        <v>0</v>
      </c>
      <c r="BE359">
        <v>0</v>
      </c>
      <c r="BF359">
        <v>0</v>
      </c>
      <c r="BG359">
        <v>0</v>
      </c>
      <c r="BH359">
        <v>0</v>
      </c>
      <c r="BI359">
        <v>0</v>
      </c>
      <c r="BJ359">
        <v>0</v>
      </c>
      <c r="BK359">
        <v>0</v>
      </c>
      <c r="BL359">
        <v>0</v>
      </c>
      <c r="BM359">
        <v>0</v>
      </c>
      <c r="BN359">
        <v>0</v>
      </c>
      <c r="BO359">
        <v>0</v>
      </c>
      <c r="BP359">
        <v>0</v>
      </c>
      <c r="BQ359">
        <v>0</v>
      </c>
      <c r="BR359">
        <v>1</v>
      </c>
      <c r="BS359">
        <v>0</v>
      </c>
    </row>
    <row r="360" spans="1:71" x14ac:dyDescent="0.3">
      <c r="A360" t="s">
        <v>1622</v>
      </c>
      <c r="B360" t="s">
        <v>1623</v>
      </c>
      <c r="C360" t="s">
        <v>29</v>
      </c>
      <c r="D360" t="s">
        <v>29</v>
      </c>
      <c r="E360" t="s">
        <v>29</v>
      </c>
      <c r="F360" t="s">
        <v>1624</v>
      </c>
      <c r="G360">
        <v>2022</v>
      </c>
      <c r="H360">
        <v>2022</v>
      </c>
      <c r="I360">
        <v>22</v>
      </c>
      <c r="J360">
        <v>1</v>
      </c>
      <c r="K360" t="s">
        <v>29</v>
      </c>
      <c r="L360" t="s">
        <v>29</v>
      </c>
      <c r="M360" t="s">
        <v>29</v>
      </c>
      <c r="N360">
        <v>123</v>
      </c>
      <c r="O360">
        <v>129</v>
      </c>
      <c r="P360" t="s">
        <v>29</v>
      </c>
      <c r="Q360" t="s">
        <v>1625</v>
      </c>
      <c r="R360" t="s">
        <v>29</v>
      </c>
      <c r="S360" t="s">
        <v>29</v>
      </c>
      <c r="T360">
        <v>1</v>
      </c>
      <c r="U360">
        <v>0.33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0</v>
      </c>
      <c r="AB360">
        <v>0</v>
      </c>
      <c r="AC360">
        <v>0</v>
      </c>
      <c r="AD360">
        <v>0</v>
      </c>
      <c r="AE360">
        <v>0</v>
      </c>
      <c r="AF360">
        <v>0</v>
      </c>
      <c r="AG360">
        <v>0</v>
      </c>
      <c r="AH360">
        <v>0</v>
      </c>
      <c r="AI360">
        <v>0</v>
      </c>
      <c r="AJ360">
        <v>0</v>
      </c>
      <c r="AK360">
        <v>0</v>
      </c>
      <c r="AL360">
        <v>0</v>
      </c>
      <c r="AM360">
        <v>0</v>
      </c>
      <c r="AN360">
        <v>0</v>
      </c>
      <c r="AO360">
        <v>0</v>
      </c>
      <c r="AP360">
        <v>0</v>
      </c>
      <c r="AQ360">
        <v>0</v>
      </c>
      <c r="AR360">
        <v>0</v>
      </c>
      <c r="AS360">
        <v>0</v>
      </c>
      <c r="AT360">
        <v>0</v>
      </c>
      <c r="AU360">
        <v>0</v>
      </c>
      <c r="AV360">
        <v>0</v>
      </c>
      <c r="AW360">
        <v>0</v>
      </c>
      <c r="AX360">
        <v>0</v>
      </c>
      <c r="AY360">
        <v>0</v>
      </c>
      <c r="AZ360">
        <v>0</v>
      </c>
      <c r="BA360">
        <v>0</v>
      </c>
      <c r="BB360">
        <v>0</v>
      </c>
      <c r="BC360">
        <v>0</v>
      </c>
      <c r="BD360">
        <v>0</v>
      </c>
      <c r="BE360">
        <v>0</v>
      </c>
      <c r="BF360">
        <v>0</v>
      </c>
      <c r="BG360">
        <v>0</v>
      </c>
      <c r="BH360">
        <v>0</v>
      </c>
      <c r="BI360">
        <v>0</v>
      </c>
      <c r="BJ360">
        <v>0</v>
      </c>
      <c r="BK360">
        <v>0</v>
      </c>
      <c r="BL360">
        <v>0</v>
      </c>
      <c r="BM360">
        <v>0</v>
      </c>
      <c r="BN360">
        <v>0</v>
      </c>
      <c r="BO360">
        <v>0</v>
      </c>
      <c r="BP360">
        <v>0</v>
      </c>
      <c r="BQ360">
        <v>0</v>
      </c>
      <c r="BR360">
        <v>0</v>
      </c>
      <c r="BS360">
        <v>1</v>
      </c>
    </row>
    <row r="361" spans="1:71" x14ac:dyDescent="0.3">
      <c r="A361" t="s">
        <v>1626</v>
      </c>
      <c r="B361" t="s">
        <v>1627</v>
      </c>
      <c r="C361" t="s">
        <v>29</v>
      </c>
      <c r="D361" t="s">
        <v>29</v>
      </c>
      <c r="E361" t="s">
        <v>29</v>
      </c>
      <c r="F361" t="s">
        <v>1628</v>
      </c>
      <c r="G361">
        <v>2022</v>
      </c>
      <c r="H361">
        <v>2022</v>
      </c>
      <c r="I361">
        <v>156</v>
      </c>
      <c r="J361">
        <v>2</v>
      </c>
      <c r="K361" t="s">
        <v>29</v>
      </c>
      <c r="L361" t="s">
        <v>29</v>
      </c>
      <c r="M361" t="s">
        <v>29</v>
      </c>
      <c r="N361">
        <v>33</v>
      </c>
      <c r="O361">
        <v>42</v>
      </c>
      <c r="P361" t="s">
        <v>29</v>
      </c>
      <c r="Q361" t="s">
        <v>1629</v>
      </c>
      <c r="R361" t="s">
        <v>29</v>
      </c>
      <c r="S361" t="s">
        <v>29</v>
      </c>
      <c r="T361">
        <v>1</v>
      </c>
      <c r="U361">
        <v>0.33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0</v>
      </c>
      <c r="AB361">
        <v>0</v>
      </c>
      <c r="AC361">
        <v>0</v>
      </c>
      <c r="AD361">
        <v>0</v>
      </c>
      <c r="AE361">
        <v>0</v>
      </c>
      <c r="AF361">
        <v>0</v>
      </c>
      <c r="AG361">
        <v>0</v>
      </c>
      <c r="AH361">
        <v>0</v>
      </c>
      <c r="AI361">
        <v>0</v>
      </c>
      <c r="AJ361">
        <v>0</v>
      </c>
      <c r="AK361">
        <v>0</v>
      </c>
      <c r="AL361">
        <v>0</v>
      </c>
      <c r="AM361">
        <v>0</v>
      </c>
      <c r="AN361">
        <v>0</v>
      </c>
      <c r="AO361">
        <v>0</v>
      </c>
      <c r="AP361">
        <v>0</v>
      </c>
      <c r="AQ361">
        <v>0</v>
      </c>
      <c r="AR361">
        <v>0</v>
      </c>
      <c r="AS361">
        <v>0</v>
      </c>
      <c r="AT361">
        <v>0</v>
      </c>
      <c r="AU361">
        <v>0</v>
      </c>
      <c r="AV361">
        <v>0</v>
      </c>
      <c r="AW361">
        <v>0</v>
      </c>
      <c r="AX361">
        <v>0</v>
      </c>
      <c r="AY361">
        <v>0</v>
      </c>
      <c r="AZ361">
        <v>0</v>
      </c>
      <c r="BA361">
        <v>0</v>
      </c>
      <c r="BB361">
        <v>0</v>
      </c>
      <c r="BC361">
        <v>0</v>
      </c>
      <c r="BD361">
        <v>0</v>
      </c>
      <c r="BE361">
        <v>0</v>
      </c>
      <c r="BF361">
        <v>0</v>
      </c>
      <c r="BG361">
        <v>0</v>
      </c>
      <c r="BH361">
        <v>0</v>
      </c>
      <c r="BI361">
        <v>0</v>
      </c>
      <c r="BJ361">
        <v>0</v>
      </c>
      <c r="BK361">
        <v>0</v>
      </c>
      <c r="BL361">
        <v>0</v>
      </c>
      <c r="BM361">
        <v>0</v>
      </c>
      <c r="BN361">
        <v>0</v>
      </c>
      <c r="BO361">
        <v>0</v>
      </c>
      <c r="BP361">
        <v>0</v>
      </c>
      <c r="BQ361">
        <v>0</v>
      </c>
      <c r="BR361">
        <v>0</v>
      </c>
      <c r="BS361">
        <v>1</v>
      </c>
    </row>
    <row r="362" spans="1:71" x14ac:dyDescent="0.3">
      <c r="A362" t="s">
        <v>1630</v>
      </c>
      <c r="B362" t="s">
        <v>1631</v>
      </c>
      <c r="C362" t="s">
        <v>29</v>
      </c>
      <c r="D362" t="s">
        <v>29</v>
      </c>
      <c r="E362" t="s">
        <v>1632</v>
      </c>
      <c r="F362" t="s">
        <v>1633</v>
      </c>
      <c r="G362">
        <v>2022</v>
      </c>
      <c r="H362">
        <v>2022</v>
      </c>
      <c r="I362">
        <v>1720</v>
      </c>
      <c r="J362" t="s">
        <v>29</v>
      </c>
      <c r="K362" t="s">
        <v>29</v>
      </c>
      <c r="L362" t="s">
        <v>29</v>
      </c>
      <c r="M362" t="s">
        <v>29</v>
      </c>
      <c r="N362">
        <v>342</v>
      </c>
      <c r="O362">
        <v>353</v>
      </c>
      <c r="P362" t="s">
        <v>29</v>
      </c>
      <c r="Q362" t="s">
        <v>1634</v>
      </c>
      <c r="R362" t="s">
        <v>1635</v>
      </c>
      <c r="S362" t="s">
        <v>1636</v>
      </c>
      <c r="T362">
        <v>1</v>
      </c>
      <c r="U362">
        <v>0.33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  <c r="AB362">
        <v>0</v>
      </c>
      <c r="AC362">
        <v>0</v>
      </c>
      <c r="AD362">
        <v>0</v>
      </c>
      <c r="AE362">
        <v>0</v>
      </c>
      <c r="AF362">
        <v>0</v>
      </c>
      <c r="AG362">
        <v>0</v>
      </c>
      <c r="AH362">
        <v>0</v>
      </c>
      <c r="AI362">
        <v>0</v>
      </c>
      <c r="AJ362">
        <v>0</v>
      </c>
      <c r="AK362">
        <v>0</v>
      </c>
      <c r="AL362">
        <v>0</v>
      </c>
      <c r="AM362">
        <v>0</v>
      </c>
      <c r="AN362">
        <v>0</v>
      </c>
      <c r="AO362">
        <v>0</v>
      </c>
      <c r="AP362">
        <v>0</v>
      </c>
      <c r="AQ362">
        <v>0</v>
      </c>
      <c r="AR362">
        <v>0</v>
      </c>
      <c r="AS362">
        <v>0</v>
      </c>
      <c r="AT362">
        <v>0</v>
      </c>
      <c r="AU362">
        <v>0</v>
      </c>
      <c r="AV362">
        <v>0</v>
      </c>
      <c r="AW362">
        <v>0</v>
      </c>
      <c r="AX362">
        <v>0</v>
      </c>
      <c r="AY362">
        <v>0</v>
      </c>
      <c r="AZ362">
        <v>0</v>
      </c>
      <c r="BA362">
        <v>0</v>
      </c>
      <c r="BB362">
        <v>0</v>
      </c>
      <c r="BC362">
        <v>0</v>
      </c>
      <c r="BD362">
        <v>0</v>
      </c>
      <c r="BE362">
        <v>0</v>
      </c>
      <c r="BF362">
        <v>0</v>
      </c>
      <c r="BG362">
        <v>0</v>
      </c>
      <c r="BH362">
        <v>0</v>
      </c>
      <c r="BI362">
        <v>0</v>
      </c>
      <c r="BJ362">
        <v>0</v>
      </c>
      <c r="BK362">
        <v>0</v>
      </c>
      <c r="BL362">
        <v>0</v>
      </c>
      <c r="BM362">
        <v>0</v>
      </c>
      <c r="BN362">
        <v>0</v>
      </c>
      <c r="BO362">
        <v>0</v>
      </c>
      <c r="BP362">
        <v>0</v>
      </c>
      <c r="BQ362">
        <v>0</v>
      </c>
      <c r="BR362">
        <v>1</v>
      </c>
      <c r="BS362">
        <v>0</v>
      </c>
    </row>
    <row r="363" spans="1:71" x14ac:dyDescent="0.3">
      <c r="A363" t="s">
        <v>1637</v>
      </c>
      <c r="B363" t="s">
        <v>1638</v>
      </c>
      <c r="C363" t="s">
        <v>29</v>
      </c>
      <c r="D363" t="s">
        <v>29</v>
      </c>
      <c r="E363" t="s">
        <v>29</v>
      </c>
      <c r="F363" t="s">
        <v>1148</v>
      </c>
      <c r="G363">
        <v>2022</v>
      </c>
      <c r="H363">
        <v>2022</v>
      </c>
      <c r="I363">
        <v>5</v>
      </c>
      <c r="J363">
        <v>46</v>
      </c>
      <c r="K363" t="s">
        <v>29</v>
      </c>
      <c r="L363" t="s">
        <v>29</v>
      </c>
      <c r="M363" t="s">
        <v>29</v>
      </c>
      <c r="N363">
        <v>334</v>
      </c>
      <c r="O363">
        <v>348</v>
      </c>
      <c r="P363" t="s">
        <v>29</v>
      </c>
      <c r="Q363" t="s">
        <v>1639</v>
      </c>
      <c r="R363" t="s">
        <v>29</v>
      </c>
      <c r="S363" t="s">
        <v>29</v>
      </c>
      <c r="T363">
        <v>1</v>
      </c>
      <c r="U363">
        <v>0.33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0</v>
      </c>
      <c r="AB363">
        <v>0</v>
      </c>
      <c r="AC363">
        <v>0</v>
      </c>
      <c r="AD363">
        <v>0</v>
      </c>
      <c r="AE363">
        <v>0</v>
      </c>
      <c r="AF363">
        <v>0</v>
      </c>
      <c r="AG363">
        <v>0</v>
      </c>
      <c r="AH363">
        <v>0</v>
      </c>
      <c r="AI363">
        <v>0</v>
      </c>
      <c r="AJ363">
        <v>0</v>
      </c>
      <c r="AK363">
        <v>0</v>
      </c>
      <c r="AL363">
        <v>0</v>
      </c>
      <c r="AM363">
        <v>0</v>
      </c>
      <c r="AN363">
        <v>0</v>
      </c>
      <c r="AO363">
        <v>0</v>
      </c>
      <c r="AP363">
        <v>0</v>
      </c>
      <c r="AQ363">
        <v>0</v>
      </c>
      <c r="AR363">
        <v>0</v>
      </c>
      <c r="AS363">
        <v>0</v>
      </c>
      <c r="AT363">
        <v>0</v>
      </c>
      <c r="AU363">
        <v>0</v>
      </c>
      <c r="AV363">
        <v>0</v>
      </c>
      <c r="AW363">
        <v>0</v>
      </c>
      <c r="AX363">
        <v>0</v>
      </c>
      <c r="AY363">
        <v>0</v>
      </c>
      <c r="AZ363">
        <v>0</v>
      </c>
      <c r="BA363">
        <v>0</v>
      </c>
      <c r="BB363">
        <v>0</v>
      </c>
      <c r="BC363">
        <v>0</v>
      </c>
      <c r="BD363">
        <v>0</v>
      </c>
      <c r="BE363">
        <v>0</v>
      </c>
      <c r="BF363">
        <v>0</v>
      </c>
      <c r="BG363">
        <v>0</v>
      </c>
      <c r="BH363">
        <v>0</v>
      </c>
      <c r="BI363">
        <v>0</v>
      </c>
      <c r="BJ363">
        <v>0</v>
      </c>
      <c r="BK363">
        <v>0</v>
      </c>
      <c r="BL363">
        <v>0</v>
      </c>
      <c r="BM363">
        <v>0</v>
      </c>
      <c r="BN363">
        <v>0</v>
      </c>
      <c r="BO363">
        <v>0</v>
      </c>
      <c r="BP363">
        <v>0</v>
      </c>
      <c r="BQ363">
        <v>0</v>
      </c>
      <c r="BR363">
        <v>0</v>
      </c>
      <c r="BS363">
        <v>1</v>
      </c>
    </row>
    <row r="364" spans="1:71" x14ac:dyDescent="0.3">
      <c r="A364" t="s">
        <v>1640</v>
      </c>
      <c r="B364" t="s">
        <v>1641</v>
      </c>
      <c r="C364" t="s">
        <v>29</v>
      </c>
      <c r="D364" t="s">
        <v>29</v>
      </c>
      <c r="E364" t="s">
        <v>29</v>
      </c>
      <c r="F364" t="s">
        <v>1449</v>
      </c>
      <c r="G364">
        <v>2022</v>
      </c>
      <c r="H364">
        <v>2022</v>
      </c>
      <c r="I364">
        <v>71</v>
      </c>
      <c r="J364">
        <v>4</v>
      </c>
      <c r="K364" t="s">
        <v>29</v>
      </c>
      <c r="L364" t="s">
        <v>29</v>
      </c>
      <c r="M364" t="s">
        <v>29</v>
      </c>
      <c r="N364">
        <v>1029</v>
      </c>
      <c r="O364">
        <v>1041</v>
      </c>
      <c r="P364" t="s">
        <v>29</v>
      </c>
      <c r="Q364" t="s">
        <v>1642</v>
      </c>
      <c r="R364" t="s">
        <v>29</v>
      </c>
      <c r="S364" t="s">
        <v>29</v>
      </c>
      <c r="T364">
        <v>1</v>
      </c>
      <c r="U364">
        <v>0.33</v>
      </c>
      <c r="V364">
        <v>0</v>
      </c>
      <c r="W364">
        <v>0</v>
      </c>
      <c r="X364">
        <v>0</v>
      </c>
      <c r="Y364">
        <v>0</v>
      </c>
      <c r="Z364">
        <v>0</v>
      </c>
      <c r="AA364">
        <v>0</v>
      </c>
      <c r="AB364">
        <v>0</v>
      </c>
      <c r="AC364">
        <v>0</v>
      </c>
      <c r="AD364">
        <v>0</v>
      </c>
      <c r="AE364">
        <v>0</v>
      </c>
      <c r="AF364">
        <v>0</v>
      </c>
      <c r="AG364">
        <v>0</v>
      </c>
      <c r="AH364">
        <v>0</v>
      </c>
      <c r="AI364">
        <v>0</v>
      </c>
      <c r="AJ364">
        <v>0</v>
      </c>
      <c r="AK364">
        <v>0</v>
      </c>
      <c r="AL364">
        <v>0</v>
      </c>
      <c r="AM364">
        <v>0</v>
      </c>
      <c r="AN364">
        <v>0</v>
      </c>
      <c r="AO364">
        <v>0</v>
      </c>
      <c r="AP364">
        <v>0</v>
      </c>
      <c r="AQ364">
        <v>0</v>
      </c>
      <c r="AR364">
        <v>0</v>
      </c>
      <c r="AS364">
        <v>0</v>
      </c>
      <c r="AT364">
        <v>0</v>
      </c>
      <c r="AU364">
        <v>0</v>
      </c>
      <c r="AV364">
        <v>0</v>
      </c>
      <c r="AW364">
        <v>0</v>
      </c>
      <c r="AX364">
        <v>0</v>
      </c>
      <c r="AY364">
        <v>0</v>
      </c>
      <c r="AZ364">
        <v>0</v>
      </c>
      <c r="BA364">
        <v>0</v>
      </c>
      <c r="BB364">
        <v>0</v>
      </c>
      <c r="BC364">
        <v>0</v>
      </c>
      <c r="BD364">
        <v>0</v>
      </c>
      <c r="BE364">
        <v>0</v>
      </c>
      <c r="BF364">
        <v>0</v>
      </c>
      <c r="BG364">
        <v>0</v>
      </c>
      <c r="BH364">
        <v>0</v>
      </c>
      <c r="BI364">
        <v>0</v>
      </c>
      <c r="BJ364">
        <v>0</v>
      </c>
      <c r="BK364">
        <v>0</v>
      </c>
      <c r="BL364">
        <v>0</v>
      </c>
      <c r="BM364">
        <v>0</v>
      </c>
      <c r="BN364">
        <v>0</v>
      </c>
      <c r="BO364">
        <v>0</v>
      </c>
      <c r="BP364">
        <v>0</v>
      </c>
      <c r="BQ364">
        <v>0</v>
      </c>
      <c r="BR364">
        <v>1</v>
      </c>
      <c r="BS364">
        <v>0</v>
      </c>
    </row>
    <row r="365" spans="1:71" x14ac:dyDescent="0.3">
      <c r="A365" t="s">
        <v>1643</v>
      </c>
      <c r="B365" t="s">
        <v>1644</v>
      </c>
      <c r="C365" t="s">
        <v>29</v>
      </c>
      <c r="D365" t="s">
        <v>29</v>
      </c>
      <c r="E365" t="s">
        <v>29</v>
      </c>
      <c r="F365" t="s">
        <v>1624</v>
      </c>
      <c r="G365">
        <v>2022</v>
      </c>
      <c r="H365">
        <v>2022</v>
      </c>
      <c r="I365">
        <v>22</v>
      </c>
      <c r="J365">
        <v>2</v>
      </c>
      <c r="K365" t="s">
        <v>29</v>
      </c>
      <c r="L365" t="s">
        <v>29</v>
      </c>
      <c r="M365" t="s">
        <v>29</v>
      </c>
      <c r="N365">
        <v>250</v>
      </c>
      <c r="O365">
        <v>265</v>
      </c>
      <c r="P365" t="s">
        <v>29</v>
      </c>
      <c r="Q365" t="s">
        <v>1645</v>
      </c>
      <c r="R365" t="s">
        <v>29</v>
      </c>
      <c r="S365" t="s">
        <v>29</v>
      </c>
      <c r="T365">
        <v>1</v>
      </c>
      <c r="U365">
        <v>0.33</v>
      </c>
      <c r="V365">
        <v>0</v>
      </c>
      <c r="W365">
        <v>0</v>
      </c>
      <c r="X365">
        <v>0</v>
      </c>
      <c r="Y365">
        <v>0</v>
      </c>
      <c r="Z365">
        <v>0</v>
      </c>
      <c r="AA365">
        <v>0</v>
      </c>
      <c r="AB365">
        <v>0</v>
      </c>
      <c r="AC365">
        <v>0</v>
      </c>
      <c r="AD365">
        <v>0</v>
      </c>
      <c r="AE365">
        <v>0</v>
      </c>
      <c r="AF365">
        <v>0</v>
      </c>
      <c r="AG365">
        <v>0</v>
      </c>
      <c r="AH365">
        <v>0</v>
      </c>
      <c r="AI365">
        <v>0</v>
      </c>
      <c r="AJ365">
        <v>0</v>
      </c>
      <c r="AK365">
        <v>0</v>
      </c>
      <c r="AL365">
        <v>0</v>
      </c>
      <c r="AM365">
        <v>0</v>
      </c>
      <c r="AN365">
        <v>0</v>
      </c>
      <c r="AO365">
        <v>0</v>
      </c>
      <c r="AP365">
        <v>0</v>
      </c>
      <c r="AQ365">
        <v>0</v>
      </c>
      <c r="AR365">
        <v>0</v>
      </c>
      <c r="AS365">
        <v>0</v>
      </c>
      <c r="AT365">
        <v>0</v>
      </c>
      <c r="AU365">
        <v>0</v>
      </c>
      <c r="AV365">
        <v>0</v>
      </c>
      <c r="AW365">
        <v>0</v>
      </c>
      <c r="AX365">
        <v>0</v>
      </c>
      <c r="AY365">
        <v>0</v>
      </c>
      <c r="AZ365">
        <v>0</v>
      </c>
      <c r="BA365">
        <v>0</v>
      </c>
      <c r="BB365">
        <v>0</v>
      </c>
      <c r="BC365">
        <v>0</v>
      </c>
      <c r="BD365">
        <v>0</v>
      </c>
      <c r="BE365">
        <v>0</v>
      </c>
      <c r="BF365">
        <v>0</v>
      </c>
      <c r="BG365">
        <v>0</v>
      </c>
      <c r="BH365">
        <v>0</v>
      </c>
      <c r="BI365">
        <v>0</v>
      </c>
      <c r="BJ365">
        <v>0</v>
      </c>
      <c r="BK365">
        <v>0</v>
      </c>
      <c r="BL365">
        <v>0</v>
      </c>
      <c r="BM365">
        <v>0</v>
      </c>
      <c r="BN365">
        <v>0</v>
      </c>
      <c r="BO365">
        <v>0</v>
      </c>
      <c r="BP365">
        <v>0</v>
      </c>
      <c r="BQ365">
        <v>0</v>
      </c>
      <c r="BR365">
        <v>1</v>
      </c>
      <c r="BS365">
        <v>0</v>
      </c>
    </row>
    <row r="366" spans="1:71" x14ac:dyDescent="0.3">
      <c r="A366" t="s">
        <v>1646</v>
      </c>
      <c r="B366" t="s">
        <v>1647</v>
      </c>
      <c r="C366" t="s">
        <v>29</v>
      </c>
      <c r="D366" t="s">
        <v>29</v>
      </c>
      <c r="E366" t="s">
        <v>29</v>
      </c>
      <c r="F366" t="s">
        <v>546</v>
      </c>
      <c r="G366">
        <v>2022</v>
      </c>
      <c r="H366">
        <v>2022</v>
      </c>
      <c r="I366">
        <v>21</v>
      </c>
      <c r="J366" t="s">
        <v>29</v>
      </c>
      <c r="K366" t="s">
        <v>29</v>
      </c>
      <c r="L366" t="s">
        <v>29</v>
      </c>
      <c r="M366" t="s">
        <v>29</v>
      </c>
      <c r="N366">
        <v>137</v>
      </c>
      <c r="O366">
        <v>167</v>
      </c>
      <c r="P366" t="s">
        <v>29</v>
      </c>
      <c r="Q366" t="s">
        <v>1648</v>
      </c>
      <c r="R366" t="s">
        <v>29</v>
      </c>
      <c r="S366" t="s">
        <v>29</v>
      </c>
      <c r="T366">
        <v>1</v>
      </c>
      <c r="U366">
        <v>0.33</v>
      </c>
      <c r="V366">
        <v>0</v>
      </c>
      <c r="W366">
        <v>0</v>
      </c>
      <c r="X366">
        <v>0</v>
      </c>
      <c r="Y366">
        <v>0</v>
      </c>
      <c r="Z366">
        <v>0</v>
      </c>
      <c r="AA366">
        <v>0</v>
      </c>
      <c r="AB366">
        <v>0</v>
      </c>
      <c r="AC366">
        <v>0</v>
      </c>
      <c r="AD366">
        <v>0</v>
      </c>
      <c r="AE366">
        <v>0</v>
      </c>
      <c r="AF366">
        <v>0</v>
      </c>
      <c r="AG366">
        <v>0</v>
      </c>
      <c r="AH366">
        <v>0</v>
      </c>
      <c r="AI366">
        <v>0</v>
      </c>
      <c r="AJ366">
        <v>0</v>
      </c>
      <c r="AK366">
        <v>0</v>
      </c>
      <c r="AL366">
        <v>0</v>
      </c>
      <c r="AM366">
        <v>0</v>
      </c>
      <c r="AN366">
        <v>0</v>
      </c>
      <c r="AO366">
        <v>0</v>
      </c>
      <c r="AP366">
        <v>0</v>
      </c>
      <c r="AQ366">
        <v>0</v>
      </c>
      <c r="AR366">
        <v>0</v>
      </c>
      <c r="AS366">
        <v>0</v>
      </c>
      <c r="AT366">
        <v>0</v>
      </c>
      <c r="AU366">
        <v>0</v>
      </c>
      <c r="AV366">
        <v>0</v>
      </c>
      <c r="AW366">
        <v>0</v>
      </c>
      <c r="AX366">
        <v>0</v>
      </c>
      <c r="AY366">
        <v>0</v>
      </c>
      <c r="AZ366">
        <v>0</v>
      </c>
      <c r="BA366">
        <v>0</v>
      </c>
      <c r="BB366">
        <v>0</v>
      </c>
      <c r="BC366">
        <v>0</v>
      </c>
      <c r="BD366">
        <v>0</v>
      </c>
      <c r="BE366">
        <v>0</v>
      </c>
      <c r="BF366">
        <v>0</v>
      </c>
      <c r="BG366">
        <v>0</v>
      </c>
      <c r="BH366">
        <v>0</v>
      </c>
      <c r="BI366">
        <v>0</v>
      </c>
      <c r="BJ366">
        <v>0</v>
      </c>
      <c r="BK366">
        <v>0</v>
      </c>
      <c r="BL366">
        <v>0</v>
      </c>
      <c r="BM366">
        <v>0</v>
      </c>
      <c r="BN366">
        <v>0</v>
      </c>
      <c r="BO366">
        <v>0</v>
      </c>
      <c r="BP366">
        <v>0</v>
      </c>
      <c r="BQ366">
        <v>0</v>
      </c>
      <c r="BR366">
        <v>0</v>
      </c>
      <c r="BS366">
        <v>1</v>
      </c>
    </row>
    <row r="367" spans="1:71" x14ac:dyDescent="0.3">
      <c r="A367" t="s">
        <v>1649</v>
      </c>
      <c r="B367" t="s">
        <v>1650</v>
      </c>
      <c r="C367" t="s">
        <v>29</v>
      </c>
      <c r="D367" t="s">
        <v>29</v>
      </c>
      <c r="E367" t="s">
        <v>29</v>
      </c>
      <c r="F367" t="s">
        <v>1651</v>
      </c>
      <c r="G367" t="s">
        <v>1652</v>
      </c>
      <c r="H367">
        <v>2021</v>
      </c>
      <c r="I367">
        <v>21</v>
      </c>
      <c r="J367">
        <v>12</v>
      </c>
      <c r="K367" t="s">
        <v>29</v>
      </c>
      <c r="L367" t="s">
        <v>29</v>
      </c>
      <c r="M367" t="s">
        <v>29</v>
      </c>
      <c r="N367">
        <v>427</v>
      </c>
      <c r="O367">
        <v>436</v>
      </c>
      <c r="P367" t="s">
        <v>29</v>
      </c>
      <c r="Q367" t="s">
        <v>1653</v>
      </c>
      <c r="R367" t="s">
        <v>29</v>
      </c>
      <c r="S367" t="s">
        <v>29</v>
      </c>
      <c r="T367">
        <v>1</v>
      </c>
      <c r="U367">
        <v>0.25</v>
      </c>
      <c r="V367">
        <v>0</v>
      </c>
      <c r="W367">
        <v>0</v>
      </c>
      <c r="X367">
        <v>0</v>
      </c>
      <c r="Y367">
        <v>0</v>
      </c>
      <c r="Z367">
        <v>0</v>
      </c>
      <c r="AA367">
        <v>0</v>
      </c>
      <c r="AB367">
        <v>0</v>
      </c>
      <c r="AC367">
        <v>0</v>
      </c>
      <c r="AD367">
        <v>0</v>
      </c>
      <c r="AE367">
        <v>0</v>
      </c>
      <c r="AF367">
        <v>0</v>
      </c>
      <c r="AG367">
        <v>0</v>
      </c>
      <c r="AH367">
        <v>0</v>
      </c>
      <c r="AI367">
        <v>0</v>
      </c>
      <c r="AJ367">
        <v>0</v>
      </c>
      <c r="AK367">
        <v>0</v>
      </c>
      <c r="AL367">
        <v>0</v>
      </c>
      <c r="AM367">
        <v>0</v>
      </c>
      <c r="AN367">
        <v>0</v>
      </c>
      <c r="AO367">
        <v>0</v>
      </c>
      <c r="AP367">
        <v>0</v>
      </c>
      <c r="AQ367">
        <v>0</v>
      </c>
      <c r="AR367">
        <v>0</v>
      </c>
      <c r="AS367">
        <v>0</v>
      </c>
      <c r="AT367">
        <v>0</v>
      </c>
      <c r="AU367">
        <v>0</v>
      </c>
      <c r="AV367">
        <v>0</v>
      </c>
      <c r="AW367">
        <v>0</v>
      </c>
      <c r="AX367">
        <v>0</v>
      </c>
      <c r="AY367">
        <v>0</v>
      </c>
      <c r="AZ367">
        <v>0</v>
      </c>
      <c r="BA367">
        <v>0</v>
      </c>
      <c r="BB367">
        <v>0</v>
      </c>
      <c r="BC367">
        <v>0</v>
      </c>
      <c r="BD367">
        <v>0</v>
      </c>
      <c r="BE367">
        <v>0</v>
      </c>
      <c r="BF367">
        <v>0</v>
      </c>
      <c r="BG367">
        <v>0</v>
      </c>
      <c r="BH367">
        <v>0</v>
      </c>
      <c r="BI367">
        <v>0</v>
      </c>
      <c r="BJ367">
        <v>0</v>
      </c>
      <c r="BK367">
        <v>0</v>
      </c>
      <c r="BL367">
        <v>0</v>
      </c>
      <c r="BM367">
        <v>0</v>
      </c>
      <c r="BN367">
        <v>0</v>
      </c>
      <c r="BO367">
        <v>0</v>
      </c>
      <c r="BP367">
        <v>0</v>
      </c>
      <c r="BQ367">
        <v>0</v>
      </c>
      <c r="BR367">
        <v>1</v>
      </c>
      <c r="BS367">
        <v>0</v>
      </c>
    </row>
    <row r="368" spans="1:71" x14ac:dyDescent="0.3">
      <c r="A368" t="s">
        <v>1654</v>
      </c>
      <c r="B368" t="s">
        <v>1655</v>
      </c>
      <c r="C368" t="s">
        <v>29</v>
      </c>
      <c r="D368" t="s">
        <v>29</v>
      </c>
      <c r="E368" t="s">
        <v>29</v>
      </c>
      <c r="F368" t="s">
        <v>356</v>
      </c>
      <c r="G368" t="s">
        <v>884</v>
      </c>
      <c r="H368">
        <v>2021</v>
      </c>
      <c r="I368">
        <v>11</v>
      </c>
      <c r="J368">
        <v>4</v>
      </c>
      <c r="K368" t="s">
        <v>29</v>
      </c>
      <c r="L368" t="s">
        <v>29</v>
      </c>
      <c r="M368" t="s">
        <v>29</v>
      </c>
      <c r="N368" t="s">
        <v>29</v>
      </c>
      <c r="O368" t="s">
        <v>29</v>
      </c>
      <c r="P368">
        <v>154</v>
      </c>
      <c r="Q368" t="s">
        <v>1656</v>
      </c>
      <c r="R368" t="s">
        <v>29</v>
      </c>
      <c r="S368" t="s">
        <v>29</v>
      </c>
      <c r="T368">
        <v>1</v>
      </c>
      <c r="U368">
        <v>0.25</v>
      </c>
      <c r="V368">
        <v>0</v>
      </c>
      <c r="W368">
        <v>0</v>
      </c>
      <c r="X368">
        <v>0</v>
      </c>
      <c r="Y368">
        <v>0</v>
      </c>
      <c r="Z368">
        <v>0</v>
      </c>
      <c r="AA368">
        <v>0</v>
      </c>
      <c r="AB368">
        <v>0</v>
      </c>
      <c r="AC368">
        <v>0</v>
      </c>
      <c r="AD368">
        <v>0</v>
      </c>
      <c r="AE368">
        <v>0</v>
      </c>
      <c r="AF368">
        <v>0</v>
      </c>
      <c r="AG368">
        <v>0</v>
      </c>
      <c r="AH368">
        <v>0</v>
      </c>
      <c r="AI368">
        <v>0</v>
      </c>
      <c r="AJ368">
        <v>0</v>
      </c>
      <c r="AK368">
        <v>0</v>
      </c>
      <c r="AL368">
        <v>0</v>
      </c>
      <c r="AM368">
        <v>0</v>
      </c>
      <c r="AN368">
        <v>0</v>
      </c>
      <c r="AO368">
        <v>0</v>
      </c>
      <c r="AP368">
        <v>0</v>
      </c>
      <c r="AQ368">
        <v>0</v>
      </c>
      <c r="AR368">
        <v>0</v>
      </c>
      <c r="AS368">
        <v>0</v>
      </c>
      <c r="AT368">
        <v>0</v>
      </c>
      <c r="AU368">
        <v>0</v>
      </c>
      <c r="AV368">
        <v>0</v>
      </c>
      <c r="AW368">
        <v>0</v>
      </c>
      <c r="AX368">
        <v>0</v>
      </c>
      <c r="AY368">
        <v>0</v>
      </c>
      <c r="AZ368">
        <v>0</v>
      </c>
      <c r="BA368">
        <v>0</v>
      </c>
      <c r="BB368">
        <v>0</v>
      </c>
      <c r="BC368">
        <v>0</v>
      </c>
      <c r="BD368">
        <v>0</v>
      </c>
      <c r="BE368">
        <v>0</v>
      </c>
      <c r="BF368">
        <v>0</v>
      </c>
      <c r="BG368">
        <v>0</v>
      </c>
      <c r="BH368">
        <v>0</v>
      </c>
      <c r="BI368">
        <v>0</v>
      </c>
      <c r="BJ368">
        <v>0</v>
      </c>
      <c r="BK368">
        <v>0</v>
      </c>
      <c r="BL368">
        <v>0</v>
      </c>
      <c r="BM368">
        <v>0</v>
      </c>
      <c r="BN368">
        <v>0</v>
      </c>
      <c r="BO368">
        <v>0</v>
      </c>
      <c r="BP368">
        <v>0</v>
      </c>
      <c r="BQ368">
        <v>1</v>
      </c>
      <c r="BR368">
        <v>0</v>
      </c>
      <c r="BS368">
        <v>0</v>
      </c>
    </row>
    <row r="369" spans="1:71" x14ac:dyDescent="0.3">
      <c r="A369" t="s">
        <v>1657</v>
      </c>
      <c r="B369" t="s">
        <v>1658</v>
      </c>
      <c r="C369" t="s">
        <v>29</v>
      </c>
      <c r="D369" t="s">
        <v>29</v>
      </c>
      <c r="E369" t="s">
        <v>29</v>
      </c>
      <c r="F369" t="s">
        <v>53</v>
      </c>
      <c r="G369" t="s">
        <v>381</v>
      </c>
      <c r="H369">
        <v>2022</v>
      </c>
      <c r="I369">
        <v>75</v>
      </c>
      <c r="J369">
        <v>3</v>
      </c>
      <c r="K369" t="s">
        <v>29</v>
      </c>
      <c r="L369" t="s">
        <v>29</v>
      </c>
      <c r="M369" t="s">
        <v>29</v>
      </c>
      <c r="N369">
        <v>608</v>
      </c>
      <c r="O369">
        <v>637</v>
      </c>
      <c r="P369">
        <v>19793920985261</v>
      </c>
      <c r="Q369" t="s">
        <v>1659</v>
      </c>
      <c r="R369" t="s">
        <v>29</v>
      </c>
      <c r="S369" t="s">
        <v>29</v>
      </c>
      <c r="T369">
        <v>1</v>
      </c>
      <c r="U369">
        <v>0.25</v>
      </c>
      <c r="V369">
        <v>0</v>
      </c>
      <c r="W369">
        <v>0</v>
      </c>
      <c r="X369">
        <v>0</v>
      </c>
      <c r="Y369">
        <v>0</v>
      </c>
      <c r="Z369">
        <v>0</v>
      </c>
      <c r="AA369">
        <v>0</v>
      </c>
      <c r="AB369">
        <v>0</v>
      </c>
      <c r="AC369">
        <v>0</v>
      </c>
      <c r="AD369">
        <v>0</v>
      </c>
      <c r="AE369">
        <v>0</v>
      </c>
      <c r="AF369">
        <v>0</v>
      </c>
      <c r="AG369">
        <v>0</v>
      </c>
      <c r="AH369">
        <v>0</v>
      </c>
      <c r="AI369">
        <v>0</v>
      </c>
      <c r="AJ369">
        <v>0</v>
      </c>
      <c r="AK369">
        <v>0</v>
      </c>
      <c r="AL369">
        <v>0</v>
      </c>
      <c r="AM369">
        <v>0</v>
      </c>
      <c r="AN369">
        <v>0</v>
      </c>
      <c r="AO369">
        <v>0</v>
      </c>
      <c r="AP369">
        <v>0</v>
      </c>
      <c r="AQ369">
        <v>0</v>
      </c>
      <c r="AR369">
        <v>0</v>
      </c>
      <c r="AS369">
        <v>0</v>
      </c>
      <c r="AT369">
        <v>0</v>
      </c>
      <c r="AU369">
        <v>0</v>
      </c>
      <c r="AV369">
        <v>0</v>
      </c>
      <c r="AW369">
        <v>0</v>
      </c>
      <c r="AX369">
        <v>0</v>
      </c>
      <c r="AY369">
        <v>0</v>
      </c>
      <c r="AZ369">
        <v>0</v>
      </c>
      <c r="BA369">
        <v>0</v>
      </c>
      <c r="BB369">
        <v>0</v>
      </c>
      <c r="BC369">
        <v>0</v>
      </c>
      <c r="BD369">
        <v>0</v>
      </c>
      <c r="BE369">
        <v>0</v>
      </c>
      <c r="BF369">
        <v>0</v>
      </c>
      <c r="BG369">
        <v>0</v>
      </c>
      <c r="BH369">
        <v>0</v>
      </c>
      <c r="BI369">
        <v>0</v>
      </c>
      <c r="BJ369">
        <v>0</v>
      </c>
      <c r="BK369">
        <v>0</v>
      </c>
      <c r="BL369">
        <v>0</v>
      </c>
      <c r="BM369">
        <v>0</v>
      </c>
      <c r="BN369">
        <v>0</v>
      </c>
      <c r="BO369">
        <v>0</v>
      </c>
      <c r="BP369">
        <v>0</v>
      </c>
      <c r="BQ369">
        <v>1</v>
      </c>
      <c r="BR369">
        <v>0</v>
      </c>
      <c r="BS369">
        <v>0</v>
      </c>
    </row>
    <row r="370" spans="1:71" x14ac:dyDescent="0.3">
      <c r="A370" t="s">
        <v>1660</v>
      </c>
      <c r="B370" t="s">
        <v>1661</v>
      </c>
      <c r="C370" t="s">
        <v>29</v>
      </c>
      <c r="D370" t="s">
        <v>29</v>
      </c>
      <c r="E370" t="s">
        <v>29</v>
      </c>
      <c r="F370" t="s">
        <v>1662</v>
      </c>
      <c r="G370" t="s">
        <v>1663</v>
      </c>
      <c r="H370">
        <v>2022</v>
      </c>
      <c r="I370">
        <v>44</v>
      </c>
      <c r="J370">
        <v>3</v>
      </c>
      <c r="K370" t="s">
        <v>29</v>
      </c>
      <c r="L370" t="s">
        <v>29</v>
      </c>
      <c r="M370" t="s">
        <v>29</v>
      </c>
      <c r="N370">
        <v>392</v>
      </c>
      <c r="O370">
        <v>408</v>
      </c>
      <c r="P370" t="s">
        <v>29</v>
      </c>
      <c r="Q370" t="s">
        <v>1664</v>
      </c>
      <c r="R370" t="s">
        <v>29</v>
      </c>
      <c r="S370" t="s">
        <v>29</v>
      </c>
      <c r="T370">
        <v>1</v>
      </c>
      <c r="U370">
        <v>0.25</v>
      </c>
      <c r="V370">
        <v>0</v>
      </c>
      <c r="W370">
        <v>0</v>
      </c>
      <c r="X370">
        <v>0</v>
      </c>
      <c r="Y370">
        <v>0</v>
      </c>
      <c r="Z370">
        <v>0</v>
      </c>
      <c r="AA370">
        <v>0</v>
      </c>
      <c r="AB370">
        <v>0</v>
      </c>
      <c r="AC370">
        <v>0</v>
      </c>
      <c r="AD370">
        <v>0</v>
      </c>
      <c r="AE370">
        <v>0</v>
      </c>
      <c r="AF370">
        <v>0</v>
      </c>
      <c r="AG370">
        <v>0</v>
      </c>
      <c r="AH370">
        <v>0</v>
      </c>
      <c r="AI370">
        <v>0</v>
      </c>
      <c r="AJ370">
        <v>0</v>
      </c>
      <c r="AK370">
        <v>0</v>
      </c>
      <c r="AL370">
        <v>0</v>
      </c>
      <c r="AM370">
        <v>0</v>
      </c>
      <c r="AN370">
        <v>0</v>
      </c>
      <c r="AO370">
        <v>0</v>
      </c>
      <c r="AP370">
        <v>0</v>
      </c>
      <c r="AQ370">
        <v>0</v>
      </c>
      <c r="AR370">
        <v>0</v>
      </c>
      <c r="AS370">
        <v>0</v>
      </c>
      <c r="AT370">
        <v>0</v>
      </c>
      <c r="AU370">
        <v>0</v>
      </c>
      <c r="AV370">
        <v>0</v>
      </c>
      <c r="AW370">
        <v>0</v>
      </c>
      <c r="AX370">
        <v>0</v>
      </c>
      <c r="AY370">
        <v>0</v>
      </c>
      <c r="AZ370">
        <v>0</v>
      </c>
      <c r="BA370">
        <v>0</v>
      </c>
      <c r="BB370">
        <v>0</v>
      </c>
      <c r="BC370">
        <v>0</v>
      </c>
      <c r="BD370">
        <v>0</v>
      </c>
      <c r="BE370">
        <v>0</v>
      </c>
      <c r="BF370">
        <v>0</v>
      </c>
      <c r="BG370">
        <v>0</v>
      </c>
      <c r="BH370">
        <v>0</v>
      </c>
      <c r="BI370">
        <v>0</v>
      </c>
      <c r="BJ370">
        <v>0</v>
      </c>
      <c r="BK370">
        <v>0</v>
      </c>
      <c r="BL370">
        <v>0</v>
      </c>
      <c r="BM370">
        <v>0</v>
      </c>
      <c r="BN370">
        <v>0</v>
      </c>
      <c r="BO370">
        <v>0</v>
      </c>
      <c r="BP370">
        <v>0</v>
      </c>
      <c r="BQ370">
        <v>0</v>
      </c>
      <c r="BR370">
        <v>1</v>
      </c>
      <c r="BS370">
        <v>0</v>
      </c>
    </row>
    <row r="371" spans="1:71" x14ac:dyDescent="0.3">
      <c r="A371" t="s">
        <v>1665</v>
      </c>
      <c r="B371" t="s">
        <v>1666</v>
      </c>
      <c r="C371" t="s">
        <v>29</v>
      </c>
      <c r="D371" t="s">
        <v>29</v>
      </c>
      <c r="E371" t="s">
        <v>29</v>
      </c>
      <c r="F371" t="s">
        <v>1667</v>
      </c>
      <c r="G371">
        <v>2021</v>
      </c>
      <c r="H371">
        <v>2021</v>
      </c>
      <c r="I371">
        <v>30</v>
      </c>
      <c r="J371">
        <v>1</v>
      </c>
      <c r="K371" t="s">
        <v>29</v>
      </c>
      <c r="L371" t="s">
        <v>29</v>
      </c>
      <c r="M371" t="s">
        <v>29</v>
      </c>
      <c r="N371">
        <v>1</v>
      </c>
      <c r="O371">
        <v>18</v>
      </c>
      <c r="P371" t="s">
        <v>29</v>
      </c>
      <c r="Q371" t="s">
        <v>29</v>
      </c>
      <c r="R371" t="s">
        <v>29</v>
      </c>
      <c r="S371" t="s">
        <v>29</v>
      </c>
      <c r="T371">
        <v>1</v>
      </c>
      <c r="U371">
        <v>0.25</v>
      </c>
      <c r="V371">
        <v>0</v>
      </c>
      <c r="W371">
        <v>0</v>
      </c>
      <c r="X371">
        <v>0</v>
      </c>
      <c r="Y371">
        <v>0</v>
      </c>
      <c r="Z371">
        <v>0</v>
      </c>
      <c r="AA371">
        <v>0</v>
      </c>
      <c r="AB371">
        <v>0</v>
      </c>
      <c r="AC371">
        <v>0</v>
      </c>
      <c r="AD371">
        <v>0</v>
      </c>
      <c r="AE371">
        <v>0</v>
      </c>
      <c r="AF371">
        <v>0</v>
      </c>
      <c r="AG371">
        <v>0</v>
      </c>
      <c r="AH371">
        <v>0</v>
      </c>
      <c r="AI371">
        <v>0</v>
      </c>
      <c r="AJ371">
        <v>0</v>
      </c>
      <c r="AK371">
        <v>0</v>
      </c>
      <c r="AL371">
        <v>0</v>
      </c>
      <c r="AM371">
        <v>0</v>
      </c>
      <c r="AN371">
        <v>0</v>
      </c>
      <c r="AO371">
        <v>0</v>
      </c>
      <c r="AP371">
        <v>0</v>
      </c>
      <c r="AQ371">
        <v>0</v>
      </c>
      <c r="AR371">
        <v>0</v>
      </c>
      <c r="AS371">
        <v>0</v>
      </c>
      <c r="AT371">
        <v>0</v>
      </c>
      <c r="AU371">
        <v>0</v>
      </c>
      <c r="AV371">
        <v>0</v>
      </c>
      <c r="AW371">
        <v>0</v>
      </c>
      <c r="AX371">
        <v>0</v>
      </c>
      <c r="AY371">
        <v>0</v>
      </c>
      <c r="AZ371">
        <v>0</v>
      </c>
      <c r="BA371">
        <v>0</v>
      </c>
      <c r="BB371">
        <v>0</v>
      </c>
      <c r="BC371">
        <v>0</v>
      </c>
      <c r="BD371">
        <v>0</v>
      </c>
      <c r="BE371">
        <v>0</v>
      </c>
      <c r="BF371">
        <v>0</v>
      </c>
      <c r="BG371">
        <v>0</v>
      </c>
      <c r="BH371">
        <v>0</v>
      </c>
      <c r="BI371">
        <v>0</v>
      </c>
      <c r="BJ371">
        <v>0</v>
      </c>
      <c r="BK371">
        <v>0</v>
      </c>
      <c r="BL371">
        <v>0</v>
      </c>
      <c r="BM371">
        <v>0</v>
      </c>
      <c r="BN371">
        <v>0</v>
      </c>
      <c r="BO371">
        <v>0</v>
      </c>
      <c r="BP371">
        <v>0</v>
      </c>
      <c r="BQ371">
        <v>0</v>
      </c>
      <c r="BR371">
        <v>1</v>
      </c>
      <c r="BS371">
        <v>0</v>
      </c>
    </row>
    <row r="372" spans="1:71" x14ac:dyDescent="0.3">
      <c r="A372" t="s">
        <v>1668</v>
      </c>
      <c r="B372" t="s">
        <v>1669</v>
      </c>
      <c r="C372" t="s">
        <v>29</v>
      </c>
      <c r="D372" t="s">
        <v>29</v>
      </c>
      <c r="E372" t="s">
        <v>29</v>
      </c>
      <c r="F372" t="s">
        <v>1670</v>
      </c>
      <c r="G372">
        <v>2021</v>
      </c>
      <c r="H372">
        <v>2021</v>
      </c>
      <c r="I372">
        <v>20</v>
      </c>
      <c r="J372">
        <v>2</v>
      </c>
      <c r="K372" t="s">
        <v>29</v>
      </c>
      <c r="L372" t="s">
        <v>29</v>
      </c>
      <c r="M372" t="s">
        <v>29</v>
      </c>
      <c r="N372">
        <v>84</v>
      </c>
      <c r="O372">
        <v>93</v>
      </c>
      <c r="P372" t="s">
        <v>29</v>
      </c>
      <c r="Q372" t="s">
        <v>29</v>
      </c>
      <c r="R372" t="s">
        <v>29</v>
      </c>
      <c r="S372" t="s">
        <v>29</v>
      </c>
      <c r="T372">
        <v>1</v>
      </c>
      <c r="U372">
        <v>0.25</v>
      </c>
      <c r="V372">
        <v>0</v>
      </c>
      <c r="W372">
        <v>0</v>
      </c>
      <c r="X372">
        <v>0</v>
      </c>
      <c r="Y372">
        <v>0</v>
      </c>
      <c r="Z372">
        <v>0</v>
      </c>
      <c r="AA372">
        <v>0</v>
      </c>
      <c r="AB372">
        <v>0</v>
      </c>
      <c r="AC372">
        <v>0</v>
      </c>
      <c r="AD372">
        <v>0</v>
      </c>
      <c r="AE372">
        <v>0</v>
      </c>
      <c r="AF372">
        <v>0</v>
      </c>
      <c r="AG372">
        <v>0</v>
      </c>
      <c r="AH372">
        <v>0</v>
      </c>
      <c r="AI372">
        <v>0</v>
      </c>
      <c r="AJ372">
        <v>0</v>
      </c>
      <c r="AK372">
        <v>0</v>
      </c>
      <c r="AL372">
        <v>0</v>
      </c>
      <c r="AM372">
        <v>0</v>
      </c>
      <c r="AN372">
        <v>0</v>
      </c>
      <c r="AO372">
        <v>0</v>
      </c>
      <c r="AP372">
        <v>0</v>
      </c>
      <c r="AQ372">
        <v>0</v>
      </c>
      <c r="AR372">
        <v>0</v>
      </c>
      <c r="AS372">
        <v>0</v>
      </c>
      <c r="AT372">
        <v>0</v>
      </c>
      <c r="AU372">
        <v>0</v>
      </c>
      <c r="AV372">
        <v>0</v>
      </c>
      <c r="AW372">
        <v>0</v>
      </c>
      <c r="AX372">
        <v>0</v>
      </c>
      <c r="AY372">
        <v>0</v>
      </c>
      <c r="AZ372">
        <v>0</v>
      </c>
      <c r="BA372">
        <v>0</v>
      </c>
      <c r="BB372">
        <v>0</v>
      </c>
      <c r="BC372">
        <v>0</v>
      </c>
      <c r="BD372">
        <v>0</v>
      </c>
      <c r="BE372">
        <v>0</v>
      </c>
      <c r="BF372">
        <v>0</v>
      </c>
      <c r="BG372">
        <v>0</v>
      </c>
      <c r="BH372">
        <v>0</v>
      </c>
      <c r="BI372">
        <v>0</v>
      </c>
      <c r="BJ372">
        <v>0</v>
      </c>
      <c r="BK372">
        <v>0</v>
      </c>
      <c r="BL372">
        <v>0</v>
      </c>
      <c r="BM372">
        <v>0</v>
      </c>
      <c r="BN372">
        <v>0</v>
      </c>
      <c r="BO372">
        <v>0</v>
      </c>
      <c r="BP372">
        <v>0</v>
      </c>
      <c r="BQ372">
        <v>1</v>
      </c>
      <c r="BR372">
        <v>0</v>
      </c>
      <c r="BS372">
        <v>0</v>
      </c>
    </row>
    <row r="373" spans="1:71" x14ac:dyDescent="0.3">
      <c r="A373" t="s">
        <v>1671</v>
      </c>
      <c r="B373" t="s">
        <v>1672</v>
      </c>
      <c r="C373" t="s">
        <v>29</v>
      </c>
      <c r="D373" t="s">
        <v>29</v>
      </c>
      <c r="E373" t="s">
        <v>29</v>
      </c>
      <c r="F373" t="s">
        <v>1148</v>
      </c>
      <c r="G373">
        <v>2021</v>
      </c>
      <c r="H373">
        <v>2021</v>
      </c>
      <c r="I373">
        <v>4</v>
      </c>
      <c r="J373">
        <v>39</v>
      </c>
      <c r="K373" t="s">
        <v>29</v>
      </c>
      <c r="L373" t="s">
        <v>29</v>
      </c>
      <c r="M373" t="s">
        <v>29</v>
      </c>
      <c r="N373">
        <v>284</v>
      </c>
      <c r="O373">
        <v>293</v>
      </c>
      <c r="P373" t="s">
        <v>29</v>
      </c>
      <c r="Q373" t="s">
        <v>29</v>
      </c>
      <c r="R373" t="s">
        <v>29</v>
      </c>
      <c r="S373" t="s">
        <v>29</v>
      </c>
      <c r="T373">
        <v>1</v>
      </c>
      <c r="U373">
        <v>0.25</v>
      </c>
      <c r="V373">
        <v>0</v>
      </c>
      <c r="W373">
        <v>0</v>
      </c>
      <c r="X373">
        <v>0</v>
      </c>
      <c r="Y373">
        <v>0</v>
      </c>
      <c r="Z373">
        <v>0</v>
      </c>
      <c r="AA373">
        <v>0</v>
      </c>
      <c r="AB373">
        <v>0</v>
      </c>
      <c r="AC373">
        <v>0</v>
      </c>
      <c r="AD373">
        <v>0</v>
      </c>
      <c r="AE373">
        <v>0</v>
      </c>
      <c r="AF373">
        <v>0</v>
      </c>
      <c r="AG373">
        <v>0</v>
      </c>
      <c r="AH373">
        <v>0</v>
      </c>
      <c r="AI373">
        <v>0</v>
      </c>
      <c r="AJ373">
        <v>0</v>
      </c>
      <c r="AK373">
        <v>0</v>
      </c>
      <c r="AL373">
        <v>0</v>
      </c>
      <c r="AM373">
        <v>0</v>
      </c>
      <c r="AN373">
        <v>0</v>
      </c>
      <c r="AO373">
        <v>0</v>
      </c>
      <c r="AP373">
        <v>0</v>
      </c>
      <c r="AQ373">
        <v>0</v>
      </c>
      <c r="AR373">
        <v>0</v>
      </c>
      <c r="AS373">
        <v>0</v>
      </c>
      <c r="AT373">
        <v>0</v>
      </c>
      <c r="AU373">
        <v>0</v>
      </c>
      <c r="AV373">
        <v>0</v>
      </c>
      <c r="AW373">
        <v>0</v>
      </c>
      <c r="AX373">
        <v>0</v>
      </c>
      <c r="AY373">
        <v>0</v>
      </c>
      <c r="AZ373">
        <v>0</v>
      </c>
      <c r="BA373">
        <v>0</v>
      </c>
      <c r="BB373">
        <v>0</v>
      </c>
      <c r="BC373">
        <v>0</v>
      </c>
      <c r="BD373">
        <v>0</v>
      </c>
      <c r="BE373">
        <v>0</v>
      </c>
      <c r="BF373">
        <v>0</v>
      </c>
      <c r="BG373">
        <v>0</v>
      </c>
      <c r="BH373">
        <v>0</v>
      </c>
      <c r="BI373">
        <v>0</v>
      </c>
      <c r="BJ373">
        <v>0</v>
      </c>
      <c r="BK373">
        <v>0</v>
      </c>
      <c r="BL373">
        <v>0</v>
      </c>
      <c r="BM373">
        <v>0</v>
      </c>
      <c r="BN373">
        <v>0</v>
      </c>
      <c r="BO373">
        <v>0</v>
      </c>
      <c r="BP373">
        <v>0</v>
      </c>
      <c r="BQ373">
        <v>0</v>
      </c>
      <c r="BR373">
        <v>0</v>
      </c>
      <c r="BS373">
        <v>1</v>
      </c>
    </row>
    <row r="374" spans="1:71" x14ac:dyDescent="0.3">
      <c r="A374" t="s">
        <v>1673</v>
      </c>
      <c r="B374" t="s">
        <v>1674</v>
      </c>
      <c r="C374" t="s">
        <v>29</v>
      </c>
      <c r="D374" t="s">
        <v>29</v>
      </c>
      <c r="E374" t="s">
        <v>29</v>
      </c>
      <c r="F374" t="s">
        <v>1675</v>
      </c>
      <c r="G374">
        <v>2021</v>
      </c>
      <c r="H374">
        <v>2021</v>
      </c>
      <c r="I374" t="s">
        <v>29</v>
      </c>
      <c r="J374" t="s">
        <v>29</v>
      </c>
      <c r="K374" t="s">
        <v>29</v>
      </c>
      <c r="L374" t="s">
        <v>29</v>
      </c>
      <c r="M374" t="s">
        <v>29</v>
      </c>
      <c r="N374" t="s">
        <v>29</v>
      </c>
      <c r="O374" t="s">
        <v>29</v>
      </c>
      <c r="P374" t="s">
        <v>29</v>
      </c>
      <c r="Q374" t="s">
        <v>1676</v>
      </c>
      <c r="R374" t="s">
        <v>1677</v>
      </c>
      <c r="S374" t="s">
        <v>1678</v>
      </c>
      <c r="T374">
        <v>1</v>
      </c>
      <c r="U374">
        <v>0.25</v>
      </c>
      <c r="V374">
        <v>0</v>
      </c>
      <c r="W374">
        <v>0</v>
      </c>
      <c r="X374">
        <v>0</v>
      </c>
      <c r="Y374">
        <v>0</v>
      </c>
      <c r="Z374">
        <v>0</v>
      </c>
      <c r="AA374">
        <v>0</v>
      </c>
      <c r="AB374">
        <v>0</v>
      </c>
      <c r="AC374">
        <v>0</v>
      </c>
      <c r="AD374">
        <v>0</v>
      </c>
      <c r="AE374">
        <v>0</v>
      </c>
      <c r="AF374">
        <v>0</v>
      </c>
      <c r="AG374">
        <v>0</v>
      </c>
      <c r="AH374">
        <v>0</v>
      </c>
      <c r="AI374">
        <v>0</v>
      </c>
      <c r="AJ374">
        <v>0</v>
      </c>
      <c r="AK374">
        <v>0</v>
      </c>
      <c r="AL374">
        <v>0</v>
      </c>
      <c r="AM374">
        <v>0</v>
      </c>
      <c r="AN374">
        <v>0</v>
      </c>
      <c r="AO374">
        <v>0</v>
      </c>
      <c r="AP374">
        <v>0</v>
      </c>
      <c r="AQ374">
        <v>0</v>
      </c>
      <c r="AR374">
        <v>0</v>
      </c>
      <c r="AS374">
        <v>0</v>
      </c>
      <c r="AT374">
        <v>0</v>
      </c>
      <c r="AU374">
        <v>0</v>
      </c>
      <c r="AV374">
        <v>0</v>
      </c>
      <c r="AW374">
        <v>0</v>
      </c>
      <c r="AX374">
        <v>0</v>
      </c>
      <c r="AY374">
        <v>0</v>
      </c>
      <c r="AZ374">
        <v>0</v>
      </c>
      <c r="BA374">
        <v>0</v>
      </c>
      <c r="BB374">
        <v>0</v>
      </c>
      <c r="BC374">
        <v>0</v>
      </c>
      <c r="BD374">
        <v>0</v>
      </c>
      <c r="BE374">
        <v>0</v>
      </c>
      <c r="BF374">
        <v>0</v>
      </c>
      <c r="BG374">
        <v>0</v>
      </c>
      <c r="BH374">
        <v>0</v>
      </c>
      <c r="BI374">
        <v>0</v>
      </c>
      <c r="BJ374">
        <v>0</v>
      </c>
      <c r="BK374">
        <v>0</v>
      </c>
      <c r="BL374">
        <v>0</v>
      </c>
      <c r="BM374">
        <v>0</v>
      </c>
      <c r="BN374">
        <v>0</v>
      </c>
      <c r="BO374">
        <v>0</v>
      </c>
      <c r="BP374">
        <v>0</v>
      </c>
      <c r="BQ374">
        <v>0</v>
      </c>
      <c r="BR374">
        <v>0</v>
      </c>
      <c r="BS374">
        <v>1</v>
      </c>
    </row>
    <row r="375" spans="1:71" x14ac:dyDescent="0.3">
      <c r="A375" t="s">
        <v>1679</v>
      </c>
      <c r="B375" t="s">
        <v>1680</v>
      </c>
      <c r="C375" t="s">
        <v>29</v>
      </c>
      <c r="D375" t="s">
        <v>29</v>
      </c>
      <c r="E375" t="s">
        <v>29</v>
      </c>
      <c r="F375" t="s">
        <v>556</v>
      </c>
      <c r="G375">
        <v>2021</v>
      </c>
      <c r="H375">
        <v>2021</v>
      </c>
      <c r="I375">
        <v>39</v>
      </c>
      <c r="J375">
        <v>2</v>
      </c>
      <c r="K375" t="s">
        <v>29</v>
      </c>
      <c r="L375" t="s">
        <v>29</v>
      </c>
      <c r="M375" t="s">
        <v>29</v>
      </c>
      <c r="N375">
        <v>279</v>
      </c>
      <c r="O375">
        <v>297</v>
      </c>
      <c r="P375" t="s">
        <v>29</v>
      </c>
      <c r="Q375" t="s">
        <v>1681</v>
      </c>
      <c r="R375" t="s">
        <v>29</v>
      </c>
      <c r="S375" t="s">
        <v>29</v>
      </c>
      <c r="T375">
        <v>1</v>
      </c>
      <c r="U375">
        <v>0.25</v>
      </c>
      <c r="V375">
        <v>0</v>
      </c>
      <c r="W375">
        <v>0</v>
      </c>
      <c r="X375">
        <v>0</v>
      </c>
      <c r="Y375">
        <v>0</v>
      </c>
      <c r="Z375">
        <v>0</v>
      </c>
      <c r="AA375">
        <v>0</v>
      </c>
      <c r="AB375">
        <v>0</v>
      </c>
      <c r="AC375">
        <v>0</v>
      </c>
      <c r="AD375">
        <v>0</v>
      </c>
      <c r="AE375">
        <v>0</v>
      </c>
      <c r="AF375">
        <v>0</v>
      </c>
      <c r="AG375">
        <v>0</v>
      </c>
      <c r="AH375">
        <v>0</v>
      </c>
      <c r="AI375">
        <v>0</v>
      </c>
      <c r="AJ375">
        <v>0</v>
      </c>
      <c r="AK375">
        <v>0</v>
      </c>
      <c r="AL375">
        <v>0</v>
      </c>
      <c r="AM375">
        <v>0</v>
      </c>
      <c r="AN375">
        <v>0</v>
      </c>
      <c r="AO375">
        <v>0</v>
      </c>
      <c r="AP375">
        <v>0</v>
      </c>
      <c r="AQ375">
        <v>0</v>
      </c>
      <c r="AR375">
        <v>0</v>
      </c>
      <c r="AS375">
        <v>0</v>
      </c>
      <c r="AT375">
        <v>0</v>
      </c>
      <c r="AU375">
        <v>0</v>
      </c>
      <c r="AV375">
        <v>0</v>
      </c>
      <c r="AW375">
        <v>0</v>
      </c>
      <c r="AX375">
        <v>0</v>
      </c>
      <c r="AY375">
        <v>0</v>
      </c>
      <c r="AZ375">
        <v>0</v>
      </c>
      <c r="BA375">
        <v>0</v>
      </c>
      <c r="BB375">
        <v>0</v>
      </c>
      <c r="BC375">
        <v>0</v>
      </c>
      <c r="BD375">
        <v>0</v>
      </c>
      <c r="BE375">
        <v>0</v>
      </c>
      <c r="BF375">
        <v>0</v>
      </c>
      <c r="BG375">
        <v>0</v>
      </c>
      <c r="BH375">
        <v>0</v>
      </c>
      <c r="BI375">
        <v>0</v>
      </c>
      <c r="BJ375">
        <v>0</v>
      </c>
      <c r="BK375">
        <v>0</v>
      </c>
      <c r="BL375">
        <v>0</v>
      </c>
      <c r="BM375">
        <v>0</v>
      </c>
      <c r="BN375">
        <v>0</v>
      </c>
      <c r="BO375">
        <v>0</v>
      </c>
      <c r="BP375">
        <v>0</v>
      </c>
      <c r="BQ375">
        <v>1</v>
      </c>
      <c r="BR375">
        <v>0</v>
      </c>
      <c r="BS375">
        <v>0</v>
      </c>
    </row>
    <row r="376" spans="1:71" x14ac:dyDescent="0.3">
      <c r="A376" t="s">
        <v>1682</v>
      </c>
      <c r="B376" t="s">
        <v>1683</v>
      </c>
      <c r="C376" t="s">
        <v>29</v>
      </c>
      <c r="D376" t="s">
        <v>29</v>
      </c>
      <c r="E376" t="s">
        <v>1684</v>
      </c>
      <c r="F376" t="s">
        <v>1685</v>
      </c>
      <c r="G376">
        <v>2021</v>
      </c>
      <c r="H376">
        <v>2021</v>
      </c>
      <c r="I376" t="s">
        <v>29</v>
      </c>
      <c r="J376" t="s">
        <v>29</v>
      </c>
      <c r="K376" t="s">
        <v>29</v>
      </c>
      <c r="L376" t="s">
        <v>29</v>
      </c>
      <c r="M376" t="s">
        <v>29</v>
      </c>
      <c r="N376">
        <v>283</v>
      </c>
      <c r="O376">
        <v>289</v>
      </c>
      <c r="P376" t="s">
        <v>29</v>
      </c>
      <c r="Q376" t="s">
        <v>29</v>
      </c>
      <c r="R376" t="s">
        <v>1686</v>
      </c>
      <c r="S376" t="s">
        <v>1687</v>
      </c>
      <c r="T376">
        <v>1</v>
      </c>
      <c r="U376">
        <v>0.25</v>
      </c>
      <c r="V376">
        <v>0</v>
      </c>
      <c r="W376">
        <v>0</v>
      </c>
      <c r="X376">
        <v>0</v>
      </c>
      <c r="Y376">
        <v>0</v>
      </c>
      <c r="Z376">
        <v>0</v>
      </c>
      <c r="AA376">
        <v>0</v>
      </c>
      <c r="AB376">
        <v>0</v>
      </c>
      <c r="AC376">
        <v>0</v>
      </c>
      <c r="AD376">
        <v>0</v>
      </c>
      <c r="AE376">
        <v>0</v>
      </c>
      <c r="AF376">
        <v>0</v>
      </c>
      <c r="AG376">
        <v>0</v>
      </c>
      <c r="AH376">
        <v>0</v>
      </c>
      <c r="AI376">
        <v>0</v>
      </c>
      <c r="AJ376">
        <v>0</v>
      </c>
      <c r="AK376">
        <v>0</v>
      </c>
      <c r="AL376">
        <v>0</v>
      </c>
      <c r="AM376">
        <v>0</v>
      </c>
      <c r="AN376">
        <v>0</v>
      </c>
      <c r="AO376">
        <v>0</v>
      </c>
      <c r="AP376">
        <v>0</v>
      </c>
      <c r="AQ376">
        <v>0</v>
      </c>
      <c r="AR376">
        <v>0</v>
      </c>
      <c r="AS376">
        <v>0</v>
      </c>
      <c r="AT376">
        <v>0</v>
      </c>
      <c r="AU376">
        <v>0</v>
      </c>
      <c r="AV376">
        <v>0</v>
      </c>
      <c r="AW376">
        <v>0</v>
      </c>
      <c r="AX376">
        <v>0</v>
      </c>
      <c r="AY376">
        <v>0</v>
      </c>
      <c r="AZ376">
        <v>0</v>
      </c>
      <c r="BA376">
        <v>0</v>
      </c>
      <c r="BB376">
        <v>0</v>
      </c>
      <c r="BC376">
        <v>0</v>
      </c>
      <c r="BD376">
        <v>0</v>
      </c>
      <c r="BE376">
        <v>0</v>
      </c>
      <c r="BF376">
        <v>0</v>
      </c>
      <c r="BG376">
        <v>0</v>
      </c>
      <c r="BH376">
        <v>0</v>
      </c>
      <c r="BI376">
        <v>0</v>
      </c>
      <c r="BJ376">
        <v>0</v>
      </c>
      <c r="BK376">
        <v>0</v>
      </c>
      <c r="BL376">
        <v>0</v>
      </c>
      <c r="BM376">
        <v>0</v>
      </c>
      <c r="BN376">
        <v>0</v>
      </c>
      <c r="BO376">
        <v>0</v>
      </c>
      <c r="BP376">
        <v>0</v>
      </c>
      <c r="BQ376">
        <v>0</v>
      </c>
      <c r="BR376">
        <v>0</v>
      </c>
      <c r="BS376">
        <v>1</v>
      </c>
    </row>
    <row r="377" spans="1:71" x14ac:dyDescent="0.3">
      <c r="A377" t="s">
        <v>1688</v>
      </c>
      <c r="B377" t="s">
        <v>1689</v>
      </c>
      <c r="C377" t="s">
        <v>29</v>
      </c>
      <c r="D377" t="s">
        <v>29</v>
      </c>
      <c r="E377" t="s">
        <v>29</v>
      </c>
      <c r="F377" t="s">
        <v>1690</v>
      </c>
      <c r="G377" t="s">
        <v>1691</v>
      </c>
      <c r="H377">
        <v>2020</v>
      </c>
      <c r="I377">
        <v>30</v>
      </c>
      <c r="J377">
        <v>4</v>
      </c>
      <c r="K377" t="s">
        <v>29</v>
      </c>
      <c r="L377" t="s">
        <v>29</v>
      </c>
      <c r="M377" t="s">
        <v>29</v>
      </c>
      <c r="N377">
        <v>315</v>
      </c>
      <c r="O377">
        <v>322</v>
      </c>
      <c r="P377" t="s">
        <v>29</v>
      </c>
      <c r="Q377" t="s">
        <v>1692</v>
      </c>
      <c r="R377" t="s">
        <v>29</v>
      </c>
      <c r="S377" t="s">
        <v>29</v>
      </c>
      <c r="T377">
        <v>1</v>
      </c>
      <c r="U377">
        <v>0.2</v>
      </c>
      <c r="V377">
        <v>0</v>
      </c>
      <c r="W377">
        <v>0</v>
      </c>
      <c r="X377">
        <v>0</v>
      </c>
      <c r="Y377">
        <v>0</v>
      </c>
      <c r="Z377">
        <v>0</v>
      </c>
      <c r="AA377">
        <v>0</v>
      </c>
      <c r="AB377">
        <v>0</v>
      </c>
      <c r="AC377">
        <v>0</v>
      </c>
      <c r="AD377">
        <v>0</v>
      </c>
      <c r="AE377">
        <v>0</v>
      </c>
      <c r="AF377">
        <v>0</v>
      </c>
      <c r="AG377">
        <v>0</v>
      </c>
      <c r="AH377">
        <v>0</v>
      </c>
      <c r="AI377">
        <v>0</v>
      </c>
      <c r="AJ377">
        <v>0</v>
      </c>
      <c r="AK377">
        <v>0</v>
      </c>
      <c r="AL377">
        <v>0</v>
      </c>
      <c r="AM377">
        <v>0</v>
      </c>
      <c r="AN377">
        <v>0</v>
      </c>
      <c r="AO377">
        <v>0</v>
      </c>
      <c r="AP377">
        <v>0</v>
      </c>
      <c r="AQ377">
        <v>0</v>
      </c>
      <c r="AR377">
        <v>0</v>
      </c>
      <c r="AS377">
        <v>0</v>
      </c>
      <c r="AT377">
        <v>0</v>
      </c>
      <c r="AU377">
        <v>0</v>
      </c>
      <c r="AV377">
        <v>0</v>
      </c>
      <c r="AW377">
        <v>0</v>
      </c>
      <c r="AX377">
        <v>0</v>
      </c>
      <c r="AY377">
        <v>0</v>
      </c>
      <c r="AZ377">
        <v>0</v>
      </c>
      <c r="BA377">
        <v>0</v>
      </c>
      <c r="BB377">
        <v>0</v>
      </c>
      <c r="BC377">
        <v>0</v>
      </c>
      <c r="BD377">
        <v>0</v>
      </c>
      <c r="BE377">
        <v>0</v>
      </c>
      <c r="BF377">
        <v>0</v>
      </c>
      <c r="BG377">
        <v>0</v>
      </c>
      <c r="BH377">
        <v>0</v>
      </c>
      <c r="BI377">
        <v>0</v>
      </c>
      <c r="BJ377">
        <v>0</v>
      </c>
      <c r="BK377">
        <v>0</v>
      </c>
      <c r="BL377">
        <v>0</v>
      </c>
      <c r="BM377">
        <v>0</v>
      </c>
      <c r="BN377">
        <v>0</v>
      </c>
      <c r="BO377">
        <v>0</v>
      </c>
      <c r="BP377">
        <v>0</v>
      </c>
      <c r="BQ377">
        <v>0</v>
      </c>
      <c r="BR377">
        <v>1</v>
      </c>
      <c r="BS377">
        <v>0</v>
      </c>
    </row>
    <row r="378" spans="1:71" x14ac:dyDescent="0.3">
      <c r="A378" t="s">
        <v>1693</v>
      </c>
      <c r="B378" t="s">
        <v>1694</v>
      </c>
      <c r="C378" t="s">
        <v>29</v>
      </c>
      <c r="D378" t="s">
        <v>29</v>
      </c>
      <c r="E378" t="s">
        <v>29</v>
      </c>
      <c r="F378" t="s">
        <v>1695</v>
      </c>
      <c r="G378" t="s">
        <v>1696</v>
      </c>
      <c r="H378">
        <v>2020</v>
      </c>
      <c r="I378">
        <v>6</v>
      </c>
      <c r="J378">
        <v>2</v>
      </c>
      <c r="K378" t="s">
        <v>29</v>
      </c>
      <c r="L378" t="s">
        <v>29</v>
      </c>
      <c r="M378" t="s">
        <v>29</v>
      </c>
      <c r="N378">
        <v>80</v>
      </c>
      <c r="O378">
        <v>96</v>
      </c>
      <c r="P378" t="s">
        <v>29</v>
      </c>
      <c r="Q378" t="s">
        <v>29</v>
      </c>
      <c r="R378" t="s">
        <v>29</v>
      </c>
      <c r="S378" t="s">
        <v>29</v>
      </c>
      <c r="T378">
        <v>1</v>
      </c>
      <c r="U378">
        <v>0.2</v>
      </c>
      <c r="V378">
        <v>0</v>
      </c>
      <c r="W378">
        <v>0</v>
      </c>
      <c r="X378">
        <v>0</v>
      </c>
      <c r="Y378">
        <v>0</v>
      </c>
      <c r="Z378">
        <v>0</v>
      </c>
      <c r="AA378">
        <v>0</v>
      </c>
      <c r="AB378">
        <v>0</v>
      </c>
      <c r="AC378">
        <v>0</v>
      </c>
      <c r="AD378">
        <v>0</v>
      </c>
      <c r="AE378">
        <v>0</v>
      </c>
      <c r="AF378">
        <v>0</v>
      </c>
      <c r="AG378">
        <v>0</v>
      </c>
      <c r="AH378">
        <v>0</v>
      </c>
      <c r="AI378">
        <v>0</v>
      </c>
      <c r="AJ378">
        <v>0</v>
      </c>
      <c r="AK378">
        <v>0</v>
      </c>
      <c r="AL378">
        <v>0</v>
      </c>
      <c r="AM378">
        <v>0</v>
      </c>
      <c r="AN378">
        <v>0</v>
      </c>
      <c r="AO378">
        <v>0</v>
      </c>
      <c r="AP378">
        <v>0</v>
      </c>
      <c r="AQ378">
        <v>0</v>
      </c>
      <c r="AR378">
        <v>0</v>
      </c>
      <c r="AS378">
        <v>0</v>
      </c>
      <c r="AT378">
        <v>0</v>
      </c>
      <c r="AU378">
        <v>0</v>
      </c>
      <c r="AV378">
        <v>0</v>
      </c>
      <c r="AW378">
        <v>0</v>
      </c>
      <c r="AX378">
        <v>0</v>
      </c>
      <c r="AY378">
        <v>0</v>
      </c>
      <c r="AZ378">
        <v>0</v>
      </c>
      <c r="BA378">
        <v>0</v>
      </c>
      <c r="BB378">
        <v>0</v>
      </c>
      <c r="BC378">
        <v>0</v>
      </c>
      <c r="BD378">
        <v>0</v>
      </c>
      <c r="BE378">
        <v>0</v>
      </c>
      <c r="BF378">
        <v>0</v>
      </c>
      <c r="BG378">
        <v>0</v>
      </c>
      <c r="BH378">
        <v>0</v>
      </c>
      <c r="BI378">
        <v>0</v>
      </c>
      <c r="BJ378">
        <v>0</v>
      </c>
      <c r="BK378">
        <v>0</v>
      </c>
      <c r="BL378">
        <v>0</v>
      </c>
      <c r="BM378">
        <v>0</v>
      </c>
      <c r="BN378">
        <v>0</v>
      </c>
      <c r="BO378">
        <v>0</v>
      </c>
      <c r="BP378">
        <v>1</v>
      </c>
      <c r="BQ378">
        <v>0</v>
      </c>
      <c r="BR378">
        <v>0</v>
      </c>
      <c r="BS378">
        <v>0</v>
      </c>
    </row>
    <row r="379" spans="1:71" x14ac:dyDescent="0.3">
      <c r="A379" t="s">
        <v>1697</v>
      </c>
      <c r="B379" t="s">
        <v>1160</v>
      </c>
      <c r="C379" t="s">
        <v>29</v>
      </c>
      <c r="D379" t="s">
        <v>29</v>
      </c>
      <c r="E379" t="s">
        <v>29</v>
      </c>
      <c r="F379" t="s">
        <v>1161</v>
      </c>
      <c r="G379">
        <v>2020</v>
      </c>
      <c r="H379">
        <v>2020</v>
      </c>
      <c r="I379" t="s">
        <v>29</v>
      </c>
      <c r="J379" t="s">
        <v>29</v>
      </c>
      <c r="K379" t="s">
        <v>29</v>
      </c>
      <c r="L379" t="s">
        <v>29</v>
      </c>
      <c r="M379" t="s">
        <v>29</v>
      </c>
      <c r="N379">
        <v>21</v>
      </c>
      <c r="O379">
        <v>39</v>
      </c>
      <c r="P379" t="s">
        <v>29</v>
      </c>
      <c r="Q379" t="s">
        <v>1698</v>
      </c>
      <c r="R379" t="s">
        <v>29</v>
      </c>
      <c r="S379" t="s">
        <v>29</v>
      </c>
      <c r="T379">
        <v>1</v>
      </c>
      <c r="U379">
        <v>0.2</v>
      </c>
      <c r="V379">
        <v>0</v>
      </c>
      <c r="W379">
        <v>0</v>
      </c>
      <c r="X379">
        <v>0</v>
      </c>
      <c r="Y379">
        <v>0</v>
      </c>
      <c r="Z379">
        <v>0</v>
      </c>
      <c r="AA379">
        <v>0</v>
      </c>
      <c r="AB379">
        <v>0</v>
      </c>
      <c r="AC379">
        <v>0</v>
      </c>
      <c r="AD379">
        <v>0</v>
      </c>
      <c r="AE379">
        <v>0</v>
      </c>
      <c r="AF379">
        <v>0</v>
      </c>
      <c r="AG379">
        <v>0</v>
      </c>
      <c r="AH379">
        <v>0</v>
      </c>
      <c r="AI379">
        <v>0</v>
      </c>
      <c r="AJ379">
        <v>0</v>
      </c>
      <c r="AK379">
        <v>0</v>
      </c>
      <c r="AL379">
        <v>0</v>
      </c>
      <c r="AM379">
        <v>0</v>
      </c>
      <c r="AN379">
        <v>0</v>
      </c>
      <c r="AO379">
        <v>0</v>
      </c>
      <c r="AP379">
        <v>0</v>
      </c>
      <c r="AQ379">
        <v>0</v>
      </c>
      <c r="AR379">
        <v>0</v>
      </c>
      <c r="AS379">
        <v>0</v>
      </c>
      <c r="AT379">
        <v>0</v>
      </c>
      <c r="AU379">
        <v>0</v>
      </c>
      <c r="AV379">
        <v>0</v>
      </c>
      <c r="AW379">
        <v>0</v>
      </c>
      <c r="AX379">
        <v>0</v>
      </c>
      <c r="AY379">
        <v>0</v>
      </c>
      <c r="AZ379">
        <v>0</v>
      </c>
      <c r="BA379">
        <v>0</v>
      </c>
      <c r="BB379">
        <v>0</v>
      </c>
      <c r="BC379">
        <v>0</v>
      </c>
      <c r="BD379">
        <v>0</v>
      </c>
      <c r="BE379">
        <v>0</v>
      </c>
      <c r="BF379">
        <v>0</v>
      </c>
      <c r="BG379">
        <v>0</v>
      </c>
      <c r="BH379">
        <v>0</v>
      </c>
      <c r="BI379">
        <v>0</v>
      </c>
      <c r="BJ379">
        <v>0</v>
      </c>
      <c r="BK379">
        <v>0</v>
      </c>
      <c r="BL379">
        <v>0</v>
      </c>
      <c r="BM379">
        <v>0</v>
      </c>
      <c r="BN379">
        <v>0</v>
      </c>
      <c r="BO379">
        <v>1</v>
      </c>
      <c r="BP379">
        <v>0</v>
      </c>
      <c r="BQ379">
        <v>0</v>
      </c>
      <c r="BR379">
        <v>0</v>
      </c>
      <c r="BS379">
        <v>0</v>
      </c>
    </row>
    <row r="380" spans="1:71" x14ac:dyDescent="0.3">
      <c r="A380" t="s">
        <v>1699</v>
      </c>
      <c r="B380" t="s">
        <v>1700</v>
      </c>
      <c r="C380" t="s">
        <v>29</v>
      </c>
      <c r="D380" t="s">
        <v>29</v>
      </c>
      <c r="E380" t="s">
        <v>1701</v>
      </c>
      <c r="F380" t="s">
        <v>1702</v>
      </c>
      <c r="G380">
        <v>2020</v>
      </c>
      <c r="H380">
        <v>2020</v>
      </c>
      <c r="I380" t="s">
        <v>29</v>
      </c>
      <c r="J380" t="s">
        <v>29</v>
      </c>
      <c r="K380" t="s">
        <v>29</v>
      </c>
      <c r="L380" t="s">
        <v>29</v>
      </c>
      <c r="M380" t="s">
        <v>29</v>
      </c>
      <c r="N380">
        <v>825</v>
      </c>
      <c r="O380">
        <v>840</v>
      </c>
      <c r="P380" t="s">
        <v>29</v>
      </c>
      <c r="Q380" t="s">
        <v>29</v>
      </c>
      <c r="R380" t="s">
        <v>1703</v>
      </c>
      <c r="S380" t="s">
        <v>1704</v>
      </c>
      <c r="T380">
        <v>1</v>
      </c>
      <c r="U380">
        <v>0.2</v>
      </c>
      <c r="V380">
        <v>0</v>
      </c>
      <c r="W380">
        <v>0</v>
      </c>
      <c r="X380">
        <v>0</v>
      </c>
      <c r="Y380">
        <v>0</v>
      </c>
      <c r="Z380">
        <v>0</v>
      </c>
      <c r="AA380">
        <v>0</v>
      </c>
      <c r="AB380">
        <v>0</v>
      </c>
      <c r="AC380">
        <v>0</v>
      </c>
      <c r="AD380">
        <v>0</v>
      </c>
      <c r="AE380">
        <v>0</v>
      </c>
      <c r="AF380">
        <v>0</v>
      </c>
      <c r="AG380">
        <v>0</v>
      </c>
      <c r="AH380">
        <v>0</v>
      </c>
      <c r="AI380">
        <v>0</v>
      </c>
      <c r="AJ380">
        <v>0</v>
      </c>
      <c r="AK380">
        <v>0</v>
      </c>
      <c r="AL380">
        <v>0</v>
      </c>
      <c r="AM380">
        <v>0</v>
      </c>
      <c r="AN380">
        <v>0</v>
      </c>
      <c r="AO380">
        <v>0</v>
      </c>
      <c r="AP380">
        <v>0</v>
      </c>
      <c r="AQ380">
        <v>0</v>
      </c>
      <c r="AR380">
        <v>0</v>
      </c>
      <c r="AS380">
        <v>0</v>
      </c>
      <c r="AT380">
        <v>0</v>
      </c>
      <c r="AU380">
        <v>0</v>
      </c>
      <c r="AV380">
        <v>0</v>
      </c>
      <c r="AW380">
        <v>0</v>
      </c>
      <c r="AX380">
        <v>0</v>
      </c>
      <c r="AY380">
        <v>0</v>
      </c>
      <c r="AZ380">
        <v>0</v>
      </c>
      <c r="BA380">
        <v>0</v>
      </c>
      <c r="BB380">
        <v>0</v>
      </c>
      <c r="BC380">
        <v>0</v>
      </c>
      <c r="BD380">
        <v>0</v>
      </c>
      <c r="BE380">
        <v>0</v>
      </c>
      <c r="BF380">
        <v>0</v>
      </c>
      <c r="BG380">
        <v>0</v>
      </c>
      <c r="BH380">
        <v>0</v>
      </c>
      <c r="BI380">
        <v>0</v>
      </c>
      <c r="BJ380">
        <v>0</v>
      </c>
      <c r="BK380">
        <v>0</v>
      </c>
      <c r="BL380">
        <v>0</v>
      </c>
      <c r="BM380">
        <v>0</v>
      </c>
      <c r="BN380">
        <v>0</v>
      </c>
      <c r="BO380">
        <v>0</v>
      </c>
      <c r="BP380">
        <v>0</v>
      </c>
      <c r="BQ380">
        <v>0</v>
      </c>
      <c r="BR380">
        <v>1</v>
      </c>
      <c r="BS380">
        <v>0</v>
      </c>
    </row>
    <row r="381" spans="1:71" x14ac:dyDescent="0.3">
      <c r="A381" t="s">
        <v>1705</v>
      </c>
      <c r="B381" t="s">
        <v>1706</v>
      </c>
      <c r="C381" t="s">
        <v>29</v>
      </c>
      <c r="D381" t="s">
        <v>29</v>
      </c>
      <c r="E381" t="s">
        <v>1707</v>
      </c>
      <c r="F381" t="s">
        <v>1708</v>
      </c>
      <c r="G381">
        <v>2020</v>
      </c>
      <c r="H381">
        <v>2020</v>
      </c>
      <c r="I381" t="s">
        <v>29</v>
      </c>
      <c r="J381" t="s">
        <v>29</v>
      </c>
      <c r="K381" t="s">
        <v>29</v>
      </c>
      <c r="L381" t="s">
        <v>29</v>
      </c>
      <c r="M381" t="s">
        <v>29</v>
      </c>
      <c r="N381">
        <v>202</v>
      </c>
      <c r="O381">
        <v>215</v>
      </c>
      <c r="P381" t="s">
        <v>29</v>
      </c>
      <c r="Q381" t="s">
        <v>29</v>
      </c>
      <c r="R381" t="s">
        <v>1709</v>
      </c>
      <c r="S381" t="s">
        <v>1710</v>
      </c>
      <c r="T381">
        <v>1</v>
      </c>
      <c r="U381">
        <v>0.2</v>
      </c>
      <c r="V381">
        <v>0</v>
      </c>
      <c r="W381">
        <v>0</v>
      </c>
      <c r="X381">
        <v>0</v>
      </c>
      <c r="Y381">
        <v>0</v>
      </c>
      <c r="Z381">
        <v>0</v>
      </c>
      <c r="AA381">
        <v>0</v>
      </c>
      <c r="AB381">
        <v>0</v>
      </c>
      <c r="AC381">
        <v>0</v>
      </c>
      <c r="AD381">
        <v>0</v>
      </c>
      <c r="AE381">
        <v>0</v>
      </c>
      <c r="AF381">
        <v>0</v>
      </c>
      <c r="AG381">
        <v>0</v>
      </c>
      <c r="AH381">
        <v>0</v>
      </c>
      <c r="AI381">
        <v>0</v>
      </c>
      <c r="AJ381">
        <v>0</v>
      </c>
      <c r="AK381">
        <v>0</v>
      </c>
      <c r="AL381">
        <v>0</v>
      </c>
      <c r="AM381">
        <v>0</v>
      </c>
      <c r="AN381">
        <v>0</v>
      </c>
      <c r="AO381">
        <v>0</v>
      </c>
      <c r="AP381">
        <v>0</v>
      </c>
      <c r="AQ381">
        <v>0</v>
      </c>
      <c r="AR381">
        <v>0</v>
      </c>
      <c r="AS381">
        <v>0</v>
      </c>
      <c r="AT381">
        <v>0</v>
      </c>
      <c r="AU381">
        <v>0</v>
      </c>
      <c r="AV381">
        <v>0</v>
      </c>
      <c r="AW381">
        <v>0</v>
      </c>
      <c r="AX381">
        <v>0</v>
      </c>
      <c r="AY381">
        <v>0</v>
      </c>
      <c r="AZ381">
        <v>0</v>
      </c>
      <c r="BA381">
        <v>0</v>
      </c>
      <c r="BB381">
        <v>0</v>
      </c>
      <c r="BC381">
        <v>0</v>
      </c>
      <c r="BD381">
        <v>0</v>
      </c>
      <c r="BE381">
        <v>0</v>
      </c>
      <c r="BF381">
        <v>0</v>
      </c>
      <c r="BG381">
        <v>0</v>
      </c>
      <c r="BH381">
        <v>0</v>
      </c>
      <c r="BI381">
        <v>0</v>
      </c>
      <c r="BJ381">
        <v>0</v>
      </c>
      <c r="BK381">
        <v>0</v>
      </c>
      <c r="BL381">
        <v>0</v>
      </c>
      <c r="BM381">
        <v>0</v>
      </c>
      <c r="BN381">
        <v>0</v>
      </c>
      <c r="BO381">
        <v>0</v>
      </c>
      <c r="BP381">
        <v>0</v>
      </c>
      <c r="BQ381">
        <v>0</v>
      </c>
      <c r="BR381">
        <v>1</v>
      </c>
      <c r="BS381">
        <v>0</v>
      </c>
    </row>
    <row r="382" spans="1:71" x14ac:dyDescent="0.3">
      <c r="A382" t="s">
        <v>1711</v>
      </c>
      <c r="B382" t="s">
        <v>1712</v>
      </c>
      <c r="C382" t="s">
        <v>29</v>
      </c>
      <c r="D382" t="s">
        <v>29</v>
      </c>
      <c r="E382" t="s">
        <v>29</v>
      </c>
      <c r="F382" t="s">
        <v>1713</v>
      </c>
      <c r="G382" t="s">
        <v>1714</v>
      </c>
      <c r="H382">
        <v>2019</v>
      </c>
      <c r="I382">
        <v>26</v>
      </c>
      <c r="J382">
        <v>2</v>
      </c>
      <c r="K382" t="s">
        <v>29</v>
      </c>
      <c r="L382" t="s">
        <v>29</v>
      </c>
      <c r="M382" t="s">
        <v>29</v>
      </c>
      <c r="N382">
        <v>265</v>
      </c>
      <c r="O382">
        <v>285</v>
      </c>
      <c r="P382" t="s">
        <v>29</v>
      </c>
      <c r="Q382" t="s">
        <v>1715</v>
      </c>
      <c r="R382" t="s">
        <v>29</v>
      </c>
      <c r="S382" t="s">
        <v>29</v>
      </c>
      <c r="T382">
        <v>1</v>
      </c>
      <c r="U382">
        <v>0.17</v>
      </c>
      <c r="V382">
        <v>0</v>
      </c>
      <c r="W382">
        <v>0</v>
      </c>
      <c r="X382">
        <v>0</v>
      </c>
      <c r="Y382">
        <v>0</v>
      </c>
      <c r="Z382">
        <v>0</v>
      </c>
      <c r="AA382">
        <v>0</v>
      </c>
      <c r="AB382">
        <v>0</v>
      </c>
      <c r="AC382">
        <v>0</v>
      </c>
      <c r="AD382">
        <v>0</v>
      </c>
      <c r="AE382">
        <v>0</v>
      </c>
      <c r="AF382">
        <v>0</v>
      </c>
      <c r="AG382">
        <v>0</v>
      </c>
      <c r="AH382">
        <v>0</v>
      </c>
      <c r="AI382">
        <v>0</v>
      </c>
      <c r="AJ382">
        <v>0</v>
      </c>
      <c r="AK382">
        <v>0</v>
      </c>
      <c r="AL382">
        <v>0</v>
      </c>
      <c r="AM382">
        <v>0</v>
      </c>
      <c r="AN382">
        <v>0</v>
      </c>
      <c r="AO382">
        <v>0</v>
      </c>
      <c r="AP382">
        <v>0</v>
      </c>
      <c r="AQ382">
        <v>0</v>
      </c>
      <c r="AR382">
        <v>0</v>
      </c>
      <c r="AS382">
        <v>0</v>
      </c>
      <c r="AT382">
        <v>0</v>
      </c>
      <c r="AU382">
        <v>0</v>
      </c>
      <c r="AV382">
        <v>0</v>
      </c>
      <c r="AW382">
        <v>0</v>
      </c>
      <c r="AX382">
        <v>0</v>
      </c>
      <c r="AY382">
        <v>0</v>
      </c>
      <c r="AZ382">
        <v>0</v>
      </c>
      <c r="BA382">
        <v>0</v>
      </c>
      <c r="BB382">
        <v>0</v>
      </c>
      <c r="BC382">
        <v>0</v>
      </c>
      <c r="BD382">
        <v>0</v>
      </c>
      <c r="BE382">
        <v>0</v>
      </c>
      <c r="BF382">
        <v>0</v>
      </c>
      <c r="BG382">
        <v>0</v>
      </c>
      <c r="BH382">
        <v>0</v>
      </c>
      <c r="BI382">
        <v>0</v>
      </c>
      <c r="BJ382">
        <v>0</v>
      </c>
      <c r="BK382">
        <v>0</v>
      </c>
      <c r="BL382">
        <v>0</v>
      </c>
      <c r="BM382">
        <v>0</v>
      </c>
      <c r="BN382">
        <v>0</v>
      </c>
      <c r="BO382">
        <v>0</v>
      </c>
      <c r="BP382">
        <v>0</v>
      </c>
      <c r="BQ382">
        <v>0</v>
      </c>
      <c r="BR382">
        <v>1</v>
      </c>
      <c r="BS382">
        <v>0</v>
      </c>
    </row>
    <row r="383" spans="1:71" x14ac:dyDescent="0.3">
      <c r="A383" t="s">
        <v>1716</v>
      </c>
      <c r="B383" t="s">
        <v>1717</v>
      </c>
      <c r="C383" t="s">
        <v>29</v>
      </c>
      <c r="D383" t="s">
        <v>29</v>
      </c>
      <c r="E383" t="s">
        <v>29</v>
      </c>
      <c r="F383" t="s">
        <v>1718</v>
      </c>
      <c r="G383" t="s">
        <v>1719</v>
      </c>
      <c r="H383">
        <v>2019</v>
      </c>
      <c r="I383">
        <v>12</v>
      </c>
      <c r="J383">
        <v>1</v>
      </c>
      <c r="K383" t="s">
        <v>29</v>
      </c>
      <c r="L383" t="s">
        <v>29</v>
      </c>
      <c r="M383" t="s">
        <v>29</v>
      </c>
      <c r="N383">
        <v>116</v>
      </c>
      <c r="O383">
        <v>124</v>
      </c>
      <c r="P383" t="s">
        <v>29</v>
      </c>
      <c r="Q383" t="s">
        <v>29</v>
      </c>
      <c r="R383" t="s">
        <v>29</v>
      </c>
      <c r="S383" t="s">
        <v>29</v>
      </c>
      <c r="T383">
        <v>1</v>
      </c>
      <c r="U383">
        <v>0.17</v>
      </c>
      <c r="V383">
        <v>0</v>
      </c>
      <c r="W383">
        <v>0</v>
      </c>
      <c r="X383">
        <v>0</v>
      </c>
      <c r="Y383">
        <v>0</v>
      </c>
      <c r="Z383">
        <v>0</v>
      </c>
      <c r="AA383">
        <v>0</v>
      </c>
      <c r="AB383">
        <v>0</v>
      </c>
      <c r="AC383">
        <v>0</v>
      </c>
      <c r="AD383">
        <v>0</v>
      </c>
      <c r="AE383">
        <v>0</v>
      </c>
      <c r="AF383">
        <v>0</v>
      </c>
      <c r="AG383">
        <v>0</v>
      </c>
      <c r="AH383">
        <v>0</v>
      </c>
      <c r="AI383">
        <v>0</v>
      </c>
      <c r="AJ383">
        <v>0</v>
      </c>
      <c r="AK383">
        <v>0</v>
      </c>
      <c r="AL383">
        <v>0</v>
      </c>
      <c r="AM383">
        <v>0</v>
      </c>
      <c r="AN383">
        <v>0</v>
      </c>
      <c r="AO383">
        <v>0</v>
      </c>
      <c r="AP383">
        <v>0</v>
      </c>
      <c r="AQ383">
        <v>0</v>
      </c>
      <c r="AR383">
        <v>0</v>
      </c>
      <c r="AS383">
        <v>0</v>
      </c>
      <c r="AT383">
        <v>0</v>
      </c>
      <c r="AU383">
        <v>0</v>
      </c>
      <c r="AV383">
        <v>0</v>
      </c>
      <c r="AW383">
        <v>0</v>
      </c>
      <c r="AX383">
        <v>0</v>
      </c>
      <c r="AY383">
        <v>0</v>
      </c>
      <c r="AZ383">
        <v>0</v>
      </c>
      <c r="BA383">
        <v>0</v>
      </c>
      <c r="BB383">
        <v>0</v>
      </c>
      <c r="BC383">
        <v>0</v>
      </c>
      <c r="BD383">
        <v>0</v>
      </c>
      <c r="BE383">
        <v>0</v>
      </c>
      <c r="BF383">
        <v>0</v>
      </c>
      <c r="BG383">
        <v>0</v>
      </c>
      <c r="BH383">
        <v>0</v>
      </c>
      <c r="BI383">
        <v>0</v>
      </c>
      <c r="BJ383">
        <v>0</v>
      </c>
      <c r="BK383">
        <v>0</v>
      </c>
      <c r="BL383">
        <v>0</v>
      </c>
      <c r="BM383">
        <v>0</v>
      </c>
      <c r="BN383">
        <v>0</v>
      </c>
      <c r="BO383">
        <v>0</v>
      </c>
      <c r="BP383">
        <v>0</v>
      </c>
      <c r="BQ383">
        <v>1</v>
      </c>
      <c r="BR383">
        <v>0</v>
      </c>
      <c r="BS383">
        <v>0</v>
      </c>
    </row>
    <row r="384" spans="1:71" x14ac:dyDescent="0.3">
      <c r="A384" t="s">
        <v>1720</v>
      </c>
      <c r="B384" t="s">
        <v>1721</v>
      </c>
      <c r="C384" t="s">
        <v>29</v>
      </c>
      <c r="D384" t="s">
        <v>29</v>
      </c>
      <c r="E384" t="s">
        <v>1722</v>
      </c>
      <c r="F384" t="s">
        <v>1723</v>
      </c>
      <c r="G384">
        <v>2019</v>
      </c>
      <c r="H384">
        <v>2019</v>
      </c>
      <c r="I384" t="s">
        <v>29</v>
      </c>
      <c r="J384" t="s">
        <v>29</v>
      </c>
      <c r="K384" t="s">
        <v>29</v>
      </c>
      <c r="L384" t="s">
        <v>29</v>
      </c>
      <c r="M384" t="s">
        <v>29</v>
      </c>
      <c r="N384">
        <v>489</v>
      </c>
      <c r="O384">
        <v>497</v>
      </c>
      <c r="P384" t="s">
        <v>29</v>
      </c>
      <c r="Q384" t="s">
        <v>1724</v>
      </c>
      <c r="R384" t="s">
        <v>1725</v>
      </c>
      <c r="S384" t="s">
        <v>1726</v>
      </c>
      <c r="T384">
        <v>1</v>
      </c>
      <c r="U384">
        <v>0.17</v>
      </c>
      <c r="V384">
        <v>0</v>
      </c>
      <c r="W384">
        <v>0</v>
      </c>
      <c r="X384">
        <v>0</v>
      </c>
      <c r="Y384">
        <v>0</v>
      </c>
      <c r="Z384">
        <v>0</v>
      </c>
      <c r="AA384">
        <v>0</v>
      </c>
      <c r="AB384">
        <v>0</v>
      </c>
      <c r="AC384">
        <v>0</v>
      </c>
      <c r="AD384">
        <v>0</v>
      </c>
      <c r="AE384">
        <v>0</v>
      </c>
      <c r="AF384">
        <v>0</v>
      </c>
      <c r="AG384">
        <v>0</v>
      </c>
      <c r="AH384">
        <v>0</v>
      </c>
      <c r="AI384">
        <v>0</v>
      </c>
      <c r="AJ384">
        <v>0</v>
      </c>
      <c r="AK384">
        <v>0</v>
      </c>
      <c r="AL384">
        <v>0</v>
      </c>
      <c r="AM384">
        <v>0</v>
      </c>
      <c r="AN384">
        <v>0</v>
      </c>
      <c r="AO384">
        <v>0</v>
      </c>
      <c r="AP384">
        <v>0</v>
      </c>
      <c r="AQ384">
        <v>0</v>
      </c>
      <c r="AR384">
        <v>0</v>
      </c>
      <c r="AS384">
        <v>0</v>
      </c>
      <c r="AT384">
        <v>0</v>
      </c>
      <c r="AU384">
        <v>0</v>
      </c>
      <c r="AV384">
        <v>0</v>
      </c>
      <c r="AW384">
        <v>0</v>
      </c>
      <c r="AX384">
        <v>0</v>
      </c>
      <c r="AY384">
        <v>0</v>
      </c>
      <c r="AZ384">
        <v>0</v>
      </c>
      <c r="BA384">
        <v>0</v>
      </c>
      <c r="BB384">
        <v>0</v>
      </c>
      <c r="BC384">
        <v>0</v>
      </c>
      <c r="BD384">
        <v>0</v>
      </c>
      <c r="BE384">
        <v>0</v>
      </c>
      <c r="BF384">
        <v>0</v>
      </c>
      <c r="BG384">
        <v>0</v>
      </c>
      <c r="BH384">
        <v>0</v>
      </c>
      <c r="BI384">
        <v>0</v>
      </c>
      <c r="BJ384">
        <v>0</v>
      </c>
      <c r="BK384">
        <v>0</v>
      </c>
      <c r="BL384">
        <v>0</v>
      </c>
      <c r="BM384">
        <v>0</v>
      </c>
      <c r="BN384">
        <v>0</v>
      </c>
      <c r="BO384">
        <v>0</v>
      </c>
      <c r="BP384">
        <v>0</v>
      </c>
      <c r="BQ384">
        <v>0</v>
      </c>
      <c r="BR384">
        <v>0</v>
      </c>
      <c r="BS384">
        <v>1</v>
      </c>
    </row>
    <row r="385" spans="1:71" x14ac:dyDescent="0.3">
      <c r="A385" t="s">
        <v>1727</v>
      </c>
      <c r="B385" t="s">
        <v>1728</v>
      </c>
      <c r="C385" t="s">
        <v>29</v>
      </c>
      <c r="D385" t="s">
        <v>29</v>
      </c>
      <c r="E385" t="s">
        <v>1228</v>
      </c>
      <c r="F385" t="s">
        <v>1729</v>
      </c>
      <c r="G385">
        <v>2019</v>
      </c>
      <c r="H385">
        <v>2019</v>
      </c>
      <c r="I385" t="s">
        <v>29</v>
      </c>
      <c r="J385" t="s">
        <v>29</v>
      </c>
      <c r="K385" t="s">
        <v>29</v>
      </c>
      <c r="L385" t="s">
        <v>29</v>
      </c>
      <c r="M385" t="s">
        <v>29</v>
      </c>
      <c r="N385">
        <v>8089</v>
      </c>
      <c r="O385">
        <v>8095</v>
      </c>
      <c r="P385" t="s">
        <v>29</v>
      </c>
      <c r="Q385" t="s">
        <v>29</v>
      </c>
      <c r="R385" t="s">
        <v>1399</v>
      </c>
      <c r="S385" t="s">
        <v>1400</v>
      </c>
      <c r="T385">
        <v>1</v>
      </c>
      <c r="U385">
        <v>0.17</v>
      </c>
      <c r="V385">
        <v>0</v>
      </c>
      <c r="W385">
        <v>0</v>
      </c>
      <c r="X385">
        <v>0</v>
      </c>
      <c r="Y385">
        <v>0</v>
      </c>
      <c r="Z385">
        <v>0</v>
      </c>
      <c r="AA385">
        <v>0</v>
      </c>
      <c r="AB385">
        <v>0</v>
      </c>
      <c r="AC385">
        <v>0</v>
      </c>
      <c r="AD385">
        <v>0</v>
      </c>
      <c r="AE385">
        <v>0</v>
      </c>
      <c r="AF385">
        <v>0</v>
      </c>
      <c r="AG385">
        <v>0</v>
      </c>
      <c r="AH385">
        <v>0</v>
      </c>
      <c r="AI385">
        <v>0</v>
      </c>
      <c r="AJ385">
        <v>0</v>
      </c>
      <c r="AK385">
        <v>0</v>
      </c>
      <c r="AL385">
        <v>0</v>
      </c>
      <c r="AM385">
        <v>0</v>
      </c>
      <c r="AN385">
        <v>0</v>
      </c>
      <c r="AO385">
        <v>0</v>
      </c>
      <c r="AP385">
        <v>0</v>
      </c>
      <c r="AQ385">
        <v>0</v>
      </c>
      <c r="AR385">
        <v>0</v>
      </c>
      <c r="AS385">
        <v>0</v>
      </c>
      <c r="AT385">
        <v>0</v>
      </c>
      <c r="AU385">
        <v>0</v>
      </c>
      <c r="AV385">
        <v>0</v>
      </c>
      <c r="AW385">
        <v>0</v>
      </c>
      <c r="AX385">
        <v>0</v>
      </c>
      <c r="AY385">
        <v>0</v>
      </c>
      <c r="AZ385">
        <v>0</v>
      </c>
      <c r="BA385">
        <v>0</v>
      </c>
      <c r="BB385">
        <v>0</v>
      </c>
      <c r="BC385">
        <v>0</v>
      </c>
      <c r="BD385">
        <v>0</v>
      </c>
      <c r="BE385">
        <v>0</v>
      </c>
      <c r="BF385">
        <v>0</v>
      </c>
      <c r="BG385">
        <v>0</v>
      </c>
      <c r="BH385">
        <v>0</v>
      </c>
      <c r="BI385">
        <v>0</v>
      </c>
      <c r="BJ385">
        <v>0</v>
      </c>
      <c r="BK385">
        <v>0</v>
      </c>
      <c r="BL385">
        <v>0</v>
      </c>
      <c r="BM385">
        <v>0</v>
      </c>
      <c r="BN385">
        <v>0</v>
      </c>
      <c r="BO385">
        <v>0</v>
      </c>
      <c r="BP385">
        <v>0</v>
      </c>
      <c r="BQ385">
        <v>0</v>
      </c>
      <c r="BR385">
        <v>0</v>
      </c>
      <c r="BS385">
        <v>1</v>
      </c>
    </row>
    <row r="386" spans="1:71" x14ac:dyDescent="0.3">
      <c r="A386" t="s">
        <v>1730</v>
      </c>
      <c r="B386" t="s">
        <v>1731</v>
      </c>
      <c r="C386" t="s">
        <v>29</v>
      </c>
      <c r="D386" t="s">
        <v>29</v>
      </c>
      <c r="E386" t="s">
        <v>1453</v>
      </c>
      <c r="F386" t="s">
        <v>1732</v>
      </c>
      <c r="G386">
        <v>2019</v>
      </c>
      <c r="H386">
        <v>2019</v>
      </c>
      <c r="I386" t="s">
        <v>29</v>
      </c>
      <c r="J386" t="s">
        <v>29</v>
      </c>
      <c r="K386" t="s">
        <v>29</v>
      </c>
      <c r="L386" t="s">
        <v>29</v>
      </c>
      <c r="M386" t="s">
        <v>29</v>
      </c>
      <c r="N386">
        <v>2014</v>
      </c>
      <c r="O386">
        <v>2023</v>
      </c>
      <c r="P386" t="s">
        <v>29</v>
      </c>
      <c r="Q386" t="s">
        <v>29</v>
      </c>
      <c r="R386" t="s">
        <v>1733</v>
      </c>
      <c r="S386" t="s">
        <v>1734</v>
      </c>
      <c r="T386">
        <v>1</v>
      </c>
      <c r="U386">
        <v>0.17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0</v>
      </c>
      <c r="AB386">
        <v>0</v>
      </c>
      <c r="AC386">
        <v>0</v>
      </c>
      <c r="AD386">
        <v>0</v>
      </c>
      <c r="AE386">
        <v>0</v>
      </c>
      <c r="AF386">
        <v>0</v>
      </c>
      <c r="AG386">
        <v>0</v>
      </c>
      <c r="AH386">
        <v>0</v>
      </c>
      <c r="AI386">
        <v>0</v>
      </c>
      <c r="AJ386">
        <v>0</v>
      </c>
      <c r="AK386">
        <v>0</v>
      </c>
      <c r="AL386">
        <v>0</v>
      </c>
      <c r="AM386">
        <v>0</v>
      </c>
      <c r="AN386">
        <v>0</v>
      </c>
      <c r="AO386">
        <v>0</v>
      </c>
      <c r="AP386">
        <v>0</v>
      </c>
      <c r="AQ386">
        <v>0</v>
      </c>
      <c r="AR386">
        <v>0</v>
      </c>
      <c r="AS386">
        <v>0</v>
      </c>
      <c r="AT386">
        <v>0</v>
      </c>
      <c r="AU386">
        <v>0</v>
      </c>
      <c r="AV386">
        <v>0</v>
      </c>
      <c r="AW386">
        <v>0</v>
      </c>
      <c r="AX386">
        <v>0</v>
      </c>
      <c r="AY386">
        <v>0</v>
      </c>
      <c r="AZ386">
        <v>0</v>
      </c>
      <c r="BA386">
        <v>0</v>
      </c>
      <c r="BB386">
        <v>0</v>
      </c>
      <c r="BC386">
        <v>0</v>
      </c>
      <c r="BD386">
        <v>0</v>
      </c>
      <c r="BE386">
        <v>0</v>
      </c>
      <c r="BF386">
        <v>0</v>
      </c>
      <c r="BG386">
        <v>0</v>
      </c>
      <c r="BH386">
        <v>0</v>
      </c>
      <c r="BI386">
        <v>0</v>
      </c>
      <c r="BJ386">
        <v>0</v>
      </c>
      <c r="BK386">
        <v>0</v>
      </c>
      <c r="BL386">
        <v>0</v>
      </c>
      <c r="BM386">
        <v>0</v>
      </c>
      <c r="BN386">
        <v>0</v>
      </c>
      <c r="BO386">
        <v>1</v>
      </c>
      <c r="BP386">
        <v>0</v>
      </c>
      <c r="BQ386">
        <v>0</v>
      </c>
      <c r="BR386">
        <v>0</v>
      </c>
      <c r="BS386">
        <v>0</v>
      </c>
    </row>
    <row r="387" spans="1:71" x14ac:dyDescent="0.3">
      <c r="A387" t="s">
        <v>1735</v>
      </c>
      <c r="B387" t="s">
        <v>1736</v>
      </c>
      <c r="C387" t="s">
        <v>29</v>
      </c>
      <c r="D387" t="s">
        <v>29</v>
      </c>
      <c r="E387" t="s">
        <v>1737</v>
      </c>
      <c r="F387" t="s">
        <v>1738</v>
      </c>
      <c r="G387">
        <v>2019</v>
      </c>
      <c r="H387">
        <v>2019</v>
      </c>
      <c r="I387" t="s">
        <v>29</v>
      </c>
      <c r="J387" t="s">
        <v>29</v>
      </c>
      <c r="K387" t="s">
        <v>29</v>
      </c>
      <c r="L387" t="s">
        <v>29</v>
      </c>
      <c r="M387" t="s">
        <v>29</v>
      </c>
      <c r="N387">
        <v>644</v>
      </c>
      <c r="O387">
        <v>655</v>
      </c>
      <c r="P387" t="s">
        <v>29</v>
      </c>
      <c r="Q387" t="s">
        <v>29</v>
      </c>
      <c r="R387" t="s">
        <v>1739</v>
      </c>
      <c r="S387" t="s">
        <v>1740</v>
      </c>
      <c r="T387">
        <v>1</v>
      </c>
      <c r="U387">
        <v>0.17</v>
      </c>
      <c r="V387">
        <v>0</v>
      </c>
      <c r="W387">
        <v>0</v>
      </c>
      <c r="X387">
        <v>0</v>
      </c>
      <c r="Y387">
        <v>0</v>
      </c>
      <c r="Z387">
        <v>0</v>
      </c>
      <c r="AA387">
        <v>0</v>
      </c>
      <c r="AB387">
        <v>0</v>
      </c>
      <c r="AC387">
        <v>0</v>
      </c>
      <c r="AD387">
        <v>0</v>
      </c>
      <c r="AE387">
        <v>0</v>
      </c>
      <c r="AF387">
        <v>0</v>
      </c>
      <c r="AG387">
        <v>0</v>
      </c>
      <c r="AH387">
        <v>0</v>
      </c>
      <c r="AI387">
        <v>0</v>
      </c>
      <c r="AJ387">
        <v>0</v>
      </c>
      <c r="AK387">
        <v>0</v>
      </c>
      <c r="AL387">
        <v>0</v>
      </c>
      <c r="AM387">
        <v>0</v>
      </c>
      <c r="AN387">
        <v>0</v>
      </c>
      <c r="AO387">
        <v>0</v>
      </c>
      <c r="AP387">
        <v>0</v>
      </c>
      <c r="AQ387">
        <v>0</v>
      </c>
      <c r="AR387">
        <v>0</v>
      </c>
      <c r="AS387">
        <v>0</v>
      </c>
      <c r="AT387">
        <v>0</v>
      </c>
      <c r="AU387">
        <v>0</v>
      </c>
      <c r="AV387">
        <v>0</v>
      </c>
      <c r="AW387">
        <v>0</v>
      </c>
      <c r="AX387">
        <v>0</v>
      </c>
      <c r="AY387">
        <v>0</v>
      </c>
      <c r="AZ387">
        <v>0</v>
      </c>
      <c r="BA387">
        <v>0</v>
      </c>
      <c r="BB387">
        <v>0</v>
      </c>
      <c r="BC387">
        <v>0</v>
      </c>
      <c r="BD387">
        <v>0</v>
      </c>
      <c r="BE387">
        <v>0</v>
      </c>
      <c r="BF387">
        <v>0</v>
      </c>
      <c r="BG387">
        <v>0</v>
      </c>
      <c r="BH387">
        <v>0</v>
      </c>
      <c r="BI387">
        <v>0</v>
      </c>
      <c r="BJ387">
        <v>0</v>
      </c>
      <c r="BK387">
        <v>0</v>
      </c>
      <c r="BL387">
        <v>0</v>
      </c>
      <c r="BM387">
        <v>0</v>
      </c>
      <c r="BN387">
        <v>0</v>
      </c>
      <c r="BO387">
        <v>0</v>
      </c>
      <c r="BP387">
        <v>0</v>
      </c>
      <c r="BQ387">
        <v>1</v>
      </c>
      <c r="BR387">
        <v>0</v>
      </c>
      <c r="BS387">
        <v>0</v>
      </c>
    </row>
    <row r="388" spans="1:71" x14ac:dyDescent="0.3">
      <c r="A388" t="s">
        <v>1741</v>
      </c>
      <c r="B388" t="s">
        <v>1742</v>
      </c>
      <c r="C388" t="s">
        <v>29</v>
      </c>
      <c r="D388" t="s">
        <v>29</v>
      </c>
      <c r="E388" t="s">
        <v>1743</v>
      </c>
      <c r="F388" t="s">
        <v>1744</v>
      </c>
      <c r="G388">
        <v>2019</v>
      </c>
      <c r="H388">
        <v>2019</v>
      </c>
      <c r="I388">
        <v>797</v>
      </c>
      <c r="J388" t="s">
        <v>29</v>
      </c>
      <c r="K388" t="s">
        <v>29</v>
      </c>
      <c r="L388" t="s">
        <v>29</v>
      </c>
      <c r="M388" t="s">
        <v>29</v>
      </c>
      <c r="N388">
        <v>211</v>
      </c>
      <c r="O388">
        <v>221</v>
      </c>
      <c r="P388" t="s">
        <v>29</v>
      </c>
      <c r="Q388" t="s">
        <v>1745</v>
      </c>
      <c r="R388" t="s">
        <v>1746</v>
      </c>
      <c r="S388" t="s">
        <v>1747</v>
      </c>
      <c r="T388">
        <v>1</v>
      </c>
      <c r="U388">
        <v>0.17</v>
      </c>
      <c r="V388">
        <v>0</v>
      </c>
      <c r="W388">
        <v>0</v>
      </c>
      <c r="X388">
        <v>0</v>
      </c>
      <c r="Y388">
        <v>0</v>
      </c>
      <c r="Z388">
        <v>0</v>
      </c>
      <c r="AA388">
        <v>0</v>
      </c>
      <c r="AB388">
        <v>0</v>
      </c>
      <c r="AC388">
        <v>0</v>
      </c>
      <c r="AD388">
        <v>0</v>
      </c>
      <c r="AE388">
        <v>0</v>
      </c>
      <c r="AF388">
        <v>0</v>
      </c>
      <c r="AG388">
        <v>0</v>
      </c>
      <c r="AH388">
        <v>0</v>
      </c>
      <c r="AI388">
        <v>0</v>
      </c>
      <c r="AJ388">
        <v>0</v>
      </c>
      <c r="AK388">
        <v>0</v>
      </c>
      <c r="AL388">
        <v>0</v>
      </c>
      <c r="AM388">
        <v>0</v>
      </c>
      <c r="AN388">
        <v>0</v>
      </c>
      <c r="AO388">
        <v>0</v>
      </c>
      <c r="AP388">
        <v>0</v>
      </c>
      <c r="AQ388">
        <v>0</v>
      </c>
      <c r="AR388">
        <v>0</v>
      </c>
      <c r="AS388">
        <v>0</v>
      </c>
      <c r="AT388">
        <v>0</v>
      </c>
      <c r="AU388">
        <v>0</v>
      </c>
      <c r="AV388">
        <v>0</v>
      </c>
      <c r="AW388">
        <v>0</v>
      </c>
      <c r="AX388">
        <v>0</v>
      </c>
      <c r="AY388">
        <v>0</v>
      </c>
      <c r="AZ388">
        <v>0</v>
      </c>
      <c r="BA388">
        <v>0</v>
      </c>
      <c r="BB388">
        <v>0</v>
      </c>
      <c r="BC388">
        <v>0</v>
      </c>
      <c r="BD388">
        <v>0</v>
      </c>
      <c r="BE388">
        <v>0</v>
      </c>
      <c r="BF388">
        <v>0</v>
      </c>
      <c r="BG388">
        <v>0</v>
      </c>
      <c r="BH388">
        <v>0</v>
      </c>
      <c r="BI388">
        <v>0</v>
      </c>
      <c r="BJ388">
        <v>0</v>
      </c>
      <c r="BK388">
        <v>0</v>
      </c>
      <c r="BL388">
        <v>0</v>
      </c>
      <c r="BM388">
        <v>0</v>
      </c>
      <c r="BN388">
        <v>0</v>
      </c>
      <c r="BO388">
        <v>0</v>
      </c>
      <c r="BP388">
        <v>0</v>
      </c>
      <c r="BQ388">
        <v>0</v>
      </c>
      <c r="BR388">
        <v>1</v>
      </c>
      <c r="BS388">
        <v>0</v>
      </c>
    </row>
    <row r="389" spans="1:71" x14ac:dyDescent="0.3">
      <c r="A389" t="s">
        <v>1748</v>
      </c>
      <c r="B389" t="s">
        <v>1749</v>
      </c>
      <c r="C389" t="s">
        <v>29</v>
      </c>
      <c r="D389" t="s">
        <v>29</v>
      </c>
      <c r="E389" t="s">
        <v>1750</v>
      </c>
      <c r="F389" t="s">
        <v>1751</v>
      </c>
      <c r="G389">
        <v>2019</v>
      </c>
      <c r="H389">
        <v>2019</v>
      </c>
      <c r="I389" t="s">
        <v>29</v>
      </c>
      <c r="J389" t="s">
        <v>29</v>
      </c>
      <c r="K389" t="s">
        <v>29</v>
      </c>
      <c r="L389" t="s">
        <v>29</v>
      </c>
      <c r="M389" t="s">
        <v>29</v>
      </c>
      <c r="N389">
        <v>301</v>
      </c>
      <c r="O389">
        <v>314</v>
      </c>
      <c r="P389" t="s">
        <v>29</v>
      </c>
      <c r="Q389" t="s">
        <v>29</v>
      </c>
      <c r="R389" t="s">
        <v>1752</v>
      </c>
      <c r="S389" t="s">
        <v>1753</v>
      </c>
      <c r="T389">
        <v>1</v>
      </c>
      <c r="U389">
        <v>0.17</v>
      </c>
      <c r="V389">
        <v>0</v>
      </c>
      <c r="W389">
        <v>0</v>
      </c>
      <c r="X389">
        <v>0</v>
      </c>
      <c r="Y389">
        <v>0</v>
      </c>
      <c r="Z389">
        <v>0</v>
      </c>
      <c r="AA389">
        <v>0</v>
      </c>
      <c r="AB389">
        <v>0</v>
      </c>
      <c r="AC389">
        <v>0</v>
      </c>
      <c r="AD389">
        <v>0</v>
      </c>
      <c r="AE389">
        <v>0</v>
      </c>
      <c r="AF389">
        <v>0</v>
      </c>
      <c r="AG389">
        <v>0</v>
      </c>
      <c r="AH389">
        <v>0</v>
      </c>
      <c r="AI389">
        <v>0</v>
      </c>
      <c r="AJ389">
        <v>0</v>
      </c>
      <c r="AK389">
        <v>0</v>
      </c>
      <c r="AL389">
        <v>0</v>
      </c>
      <c r="AM389">
        <v>0</v>
      </c>
      <c r="AN389">
        <v>0</v>
      </c>
      <c r="AO389">
        <v>0</v>
      </c>
      <c r="AP389">
        <v>0</v>
      </c>
      <c r="AQ389">
        <v>0</v>
      </c>
      <c r="AR389">
        <v>0</v>
      </c>
      <c r="AS389">
        <v>0</v>
      </c>
      <c r="AT389">
        <v>0</v>
      </c>
      <c r="AU389">
        <v>0</v>
      </c>
      <c r="AV389">
        <v>0</v>
      </c>
      <c r="AW389">
        <v>0</v>
      </c>
      <c r="AX389">
        <v>0</v>
      </c>
      <c r="AY389">
        <v>0</v>
      </c>
      <c r="AZ389">
        <v>0</v>
      </c>
      <c r="BA389">
        <v>0</v>
      </c>
      <c r="BB389">
        <v>0</v>
      </c>
      <c r="BC389">
        <v>0</v>
      </c>
      <c r="BD389">
        <v>0</v>
      </c>
      <c r="BE389">
        <v>0</v>
      </c>
      <c r="BF389">
        <v>0</v>
      </c>
      <c r="BG389">
        <v>0</v>
      </c>
      <c r="BH389">
        <v>0</v>
      </c>
      <c r="BI389">
        <v>0</v>
      </c>
      <c r="BJ389">
        <v>0</v>
      </c>
      <c r="BK389">
        <v>0</v>
      </c>
      <c r="BL389">
        <v>0</v>
      </c>
      <c r="BM389">
        <v>0</v>
      </c>
      <c r="BN389">
        <v>0</v>
      </c>
      <c r="BO389">
        <v>0</v>
      </c>
      <c r="BP389">
        <v>1</v>
      </c>
      <c r="BQ389">
        <v>0</v>
      </c>
      <c r="BR389">
        <v>0</v>
      </c>
      <c r="BS389">
        <v>0</v>
      </c>
    </row>
    <row r="390" spans="1:71" x14ac:dyDescent="0.3">
      <c r="A390" t="s">
        <v>1754</v>
      </c>
      <c r="B390" t="s">
        <v>1755</v>
      </c>
      <c r="C390" t="s">
        <v>29</v>
      </c>
      <c r="D390" t="s">
        <v>29</v>
      </c>
      <c r="E390" t="s">
        <v>29</v>
      </c>
      <c r="F390" t="s">
        <v>1756</v>
      </c>
      <c r="G390" t="s">
        <v>1757</v>
      </c>
      <c r="H390">
        <v>2018</v>
      </c>
      <c r="I390">
        <v>42</v>
      </c>
      <c r="J390" t="s">
        <v>29</v>
      </c>
      <c r="K390" t="s">
        <v>29</v>
      </c>
      <c r="L390" t="s">
        <v>29</v>
      </c>
      <c r="M390" t="s">
        <v>29</v>
      </c>
      <c r="N390">
        <v>102</v>
      </c>
      <c r="O390">
        <v>109</v>
      </c>
      <c r="P390" t="s">
        <v>29</v>
      </c>
      <c r="Q390" t="s">
        <v>1758</v>
      </c>
      <c r="R390" t="s">
        <v>29</v>
      </c>
      <c r="S390" t="s">
        <v>29</v>
      </c>
      <c r="T390">
        <v>1</v>
      </c>
      <c r="U390">
        <v>0.14000000000000001</v>
      </c>
      <c r="V390">
        <v>0</v>
      </c>
      <c r="W390">
        <v>0</v>
      </c>
      <c r="X390">
        <v>0</v>
      </c>
      <c r="Y390">
        <v>0</v>
      </c>
      <c r="Z390">
        <v>0</v>
      </c>
      <c r="AA390">
        <v>0</v>
      </c>
      <c r="AB390">
        <v>0</v>
      </c>
      <c r="AC390">
        <v>0</v>
      </c>
      <c r="AD390">
        <v>0</v>
      </c>
      <c r="AE390">
        <v>0</v>
      </c>
      <c r="AF390">
        <v>0</v>
      </c>
      <c r="AG390">
        <v>0</v>
      </c>
      <c r="AH390">
        <v>0</v>
      </c>
      <c r="AI390">
        <v>0</v>
      </c>
      <c r="AJ390">
        <v>0</v>
      </c>
      <c r="AK390">
        <v>0</v>
      </c>
      <c r="AL390">
        <v>0</v>
      </c>
      <c r="AM390">
        <v>0</v>
      </c>
      <c r="AN390">
        <v>0</v>
      </c>
      <c r="AO390">
        <v>0</v>
      </c>
      <c r="AP390">
        <v>0</v>
      </c>
      <c r="AQ390">
        <v>0</v>
      </c>
      <c r="AR390">
        <v>0</v>
      </c>
      <c r="AS390">
        <v>0</v>
      </c>
      <c r="AT390">
        <v>0</v>
      </c>
      <c r="AU390">
        <v>0</v>
      </c>
      <c r="AV390">
        <v>0</v>
      </c>
      <c r="AW390">
        <v>0</v>
      </c>
      <c r="AX390">
        <v>0</v>
      </c>
      <c r="AY390">
        <v>0</v>
      </c>
      <c r="AZ390">
        <v>0</v>
      </c>
      <c r="BA390">
        <v>0</v>
      </c>
      <c r="BB390">
        <v>0</v>
      </c>
      <c r="BC390">
        <v>0</v>
      </c>
      <c r="BD390">
        <v>0</v>
      </c>
      <c r="BE390">
        <v>0</v>
      </c>
      <c r="BF390">
        <v>0</v>
      </c>
      <c r="BG390">
        <v>0</v>
      </c>
      <c r="BH390">
        <v>0</v>
      </c>
      <c r="BI390">
        <v>0</v>
      </c>
      <c r="BJ390">
        <v>0</v>
      </c>
      <c r="BK390">
        <v>0</v>
      </c>
      <c r="BL390">
        <v>0</v>
      </c>
      <c r="BM390">
        <v>0</v>
      </c>
      <c r="BN390">
        <v>0</v>
      </c>
      <c r="BO390">
        <v>0</v>
      </c>
      <c r="BP390">
        <v>0</v>
      </c>
      <c r="BQ390">
        <v>1</v>
      </c>
      <c r="BR390">
        <v>0</v>
      </c>
      <c r="BS390">
        <v>0</v>
      </c>
    </row>
    <row r="391" spans="1:71" x14ac:dyDescent="0.3">
      <c r="A391" t="s">
        <v>1759</v>
      </c>
      <c r="B391" t="s">
        <v>1760</v>
      </c>
      <c r="C391" t="s">
        <v>29</v>
      </c>
      <c r="D391" t="s">
        <v>29</v>
      </c>
      <c r="E391" t="s">
        <v>1761</v>
      </c>
      <c r="F391" t="s">
        <v>1762</v>
      </c>
      <c r="G391">
        <v>2018</v>
      </c>
      <c r="H391">
        <v>2018</v>
      </c>
      <c r="I391">
        <v>627</v>
      </c>
      <c r="J391" t="s">
        <v>29</v>
      </c>
      <c r="K391" t="s">
        <v>29</v>
      </c>
      <c r="L391" t="s">
        <v>29</v>
      </c>
      <c r="M391" t="s">
        <v>29</v>
      </c>
      <c r="N391">
        <v>191</v>
      </c>
      <c r="O391">
        <v>203</v>
      </c>
      <c r="P391" t="s">
        <v>29</v>
      </c>
      <c r="Q391" t="s">
        <v>1763</v>
      </c>
      <c r="R391" t="s">
        <v>1764</v>
      </c>
      <c r="S391" t="s">
        <v>1765</v>
      </c>
      <c r="T391">
        <v>1</v>
      </c>
      <c r="U391">
        <v>0.14000000000000001</v>
      </c>
      <c r="V391">
        <v>0</v>
      </c>
      <c r="W391">
        <v>0</v>
      </c>
      <c r="X391">
        <v>0</v>
      </c>
      <c r="Y391">
        <v>0</v>
      </c>
      <c r="Z391">
        <v>0</v>
      </c>
      <c r="AA391">
        <v>0</v>
      </c>
      <c r="AB391">
        <v>0</v>
      </c>
      <c r="AC391">
        <v>0</v>
      </c>
      <c r="AD391">
        <v>0</v>
      </c>
      <c r="AE391">
        <v>0</v>
      </c>
      <c r="AF391">
        <v>0</v>
      </c>
      <c r="AG391">
        <v>0</v>
      </c>
      <c r="AH391">
        <v>0</v>
      </c>
      <c r="AI391">
        <v>0</v>
      </c>
      <c r="AJ391">
        <v>0</v>
      </c>
      <c r="AK391">
        <v>0</v>
      </c>
      <c r="AL391">
        <v>0</v>
      </c>
      <c r="AM391">
        <v>0</v>
      </c>
      <c r="AN391">
        <v>0</v>
      </c>
      <c r="AO391">
        <v>0</v>
      </c>
      <c r="AP391">
        <v>0</v>
      </c>
      <c r="AQ391">
        <v>0</v>
      </c>
      <c r="AR391">
        <v>0</v>
      </c>
      <c r="AS391">
        <v>0</v>
      </c>
      <c r="AT391">
        <v>0</v>
      </c>
      <c r="AU391">
        <v>0</v>
      </c>
      <c r="AV391">
        <v>0</v>
      </c>
      <c r="AW391">
        <v>0</v>
      </c>
      <c r="AX391">
        <v>0</v>
      </c>
      <c r="AY391">
        <v>0</v>
      </c>
      <c r="AZ391">
        <v>0</v>
      </c>
      <c r="BA391">
        <v>0</v>
      </c>
      <c r="BB391">
        <v>0</v>
      </c>
      <c r="BC391">
        <v>0</v>
      </c>
      <c r="BD391">
        <v>0</v>
      </c>
      <c r="BE391">
        <v>0</v>
      </c>
      <c r="BF391">
        <v>0</v>
      </c>
      <c r="BG391">
        <v>0</v>
      </c>
      <c r="BH391">
        <v>0</v>
      </c>
      <c r="BI391">
        <v>0</v>
      </c>
      <c r="BJ391">
        <v>0</v>
      </c>
      <c r="BK391">
        <v>0</v>
      </c>
      <c r="BL391">
        <v>0</v>
      </c>
      <c r="BM391">
        <v>1</v>
      </c>
      <c r="BN391">
        <v>0</v>
      </c>
      <c r="BO391">
        <v>0</v>
      </c>
      <c r="BP391">
        <v>0</v>
      </c>
      <c r="BQ391">
        <v>0</v>
      </c>
      <c r="BR391">
        <v>0</v>
      </c>
      <c r="BS391">
        <v>0</v>
      </c>
    </row>
    <row r="392" spans="1:71" x14ac:dyDescent="0.3">
      <c r="A392" t="s">
        <v>1766</v>
      </c>
      <c r="B392" t="s">
        <v>1767</v>
      </c>
      <c r="C392" t="s">
        <v>29</v>
      </c>
      <c r="D392" t="s">
        <v>29</v>
      </c>
      <c r="E392" t="s">
        <v>1768</v>
      </c>
      <c r="F392" t="s">
        <v>1769</v>
      </c>
      <c r="G392">
        <v>2018</v>
      </c>
      <c r="H392">
        <v>2018</v>
      </c>
      <c r="I392">
        <v>9</v>
      </c>
      <c r="J392" t="s">
        <v>29</v>
      </c>
      <c r="K392" t="s">
        <v>29</v>
      </c>
      <c r="L392" t="s">
        <v>29</v>
      </c>
      <c r="M392" t="s">
        <v>29</v>
      </c>
      <c r="N392">
        <v>27</v>
      </c>
      <c r="O392">
        <v>40</v>
      </c>
      <c r="P392" t="s">
        <v>29</v>
      </c>
      <c r="Q392" t="s">
        <v>1770</v>
      </c>
      <c r="R392" t="s">
        <v>29</v>
      </c>
      <c r="S392" t="s">
        <v>29</v>
      </c>
      <c r="T392">
        <v>1</v>
      </c>
      <c r="U392">
        <v>0.14000000000000001</v>
      </c>
      <c r="V392">
        <v>0</v>
      </c>
      <c r="W392">
        <v>0</v>
      </c>
      <c r="X392">
        <v>0</v>
      </c>
      <c r="Y392">
        <v>0</v>
      </c>
      <c r="Z392">
        <v>0</v>
      </c>
      <c r="AA392">
        <v>0</v>
      </c>
      <c r="AB392">
        <v>0</v>
      </c>
      <c r="AC392">
        <v>0</v>
      </c>
      <c r="AD392">
        <v>0</v>
      </c>
      <c r="AE392">
        <v>0</v>
      </c>
      <c r="AF392">
        <v>0</v>
      </c>
      <c r="AG392">
        <v>0</v>
      </c>
      <c r="AH392">
        <v>0</v>
      </c>
      <c r="AI392">
        <v>0</v>
      </c>
      <c r="AJ392">
        <v>0</v>
      </c>
      <c r="AK392">
        <v>0</v>
      </c>
      <c r="AL392">
        <v>0</v>
      </c>
      <c r="AM392">
        <v>0</v>
      </c>
      <c r="AN392">
        <v>0</v>
      </c>
      <c r="AO392">
        <v>0</v>
      </c>
      <c r="AP392">
        <v>0</v>
      </c>
      <c r="AQ392">
        <v>0</v>
      </c>
      <c r="AR392">
        <v>0</v>
      </c>
      <c r="AS392">
        <v>0</v>
      </c>
      <c r="AT392">
        <v>0</v>
      </c>
      <c r="AU392">
        <v>0</v>
      </c>
      <c r="AV392">
        <v>0</v>
      </c>
      <c r="AW392">
        <v>0</v>
      </c>
      <c r="AX392">
        <v>0</v>
      </c>
      <c r="AY392">
        <v>0</v>
      </c>
      <c r="AZ392">
        <v>0</v>
      </c>
      <c r="BA392">
        <v>0</v>
      </c>
      <c r="BB392">
        <v>0</v>
      </c>
      <c r="BC392">
        <v>0</v>
      </c>
      <c r="BD392">
        <v>0</v>
      </c>
      <c r="BE392">
        <v>0</v>
      </c>
      <c r="BF392">
        <v>0</v>
      </c>
      <c r="BG392">
        <v>0</v>
      </c>
      <c r="BH392">
        <v>0</v>
      </c>
      <c r="BI392">
        <v>0</v>
      </c>
      <c r="BJ392">
        <v>0</v>
      </c>
      <c r="BK392">
        <v>0</v>
      </c>
      <c r="BL392">
        <v>0</v>
      </c>
      <c r="BM392">
        <v>0</v>
      </c>
      <c r="BN392">
        <v>0</v>
      </c>
      <c r="BO392">
        <v>0</v>
      </c>
      <c r="BP392">
        <v>0</v>
      </c>
      <c r="BQ392">
        <v>0</v>
      </c>
      <c r="BR392">
        <v>1</v>
      </c>
      <c r="BS392">
        <v>0</v>
      </c>
    </row>
    <row r="393" spans="1:71" x14ac:dyDescent="0.3">
      <c r="A393" t="s">
        <v>1771</v>
      </c>
      <c r="B393" t="s">
        <v>1772</v>
      </c>
      <c r="C393" t="s">
        <v>29</v>
      </c>
      <c r="D393" t="s">
        <v>29</v>
      </c>
      <c r="E393" t="s">
        <v>29</v>
      </c>
      <c r="F393" t="s">
        <v>982</v>
      </c>
      <c r="G393" t="s">
        <v>1773</v>
      </c>
      <c r="H393">
        <v>2017</v>
      </c>
      <c r="I393">
        <v>25</v>
      </c>
      <c r="J393" t="s">
        <v>29</v>
      </c>
      <c r="K393" t="s">
        <v>29</v>
      </c>
      <c r="L393" t="s">
        <v>29</v>
      </c>
      <c r="M393" t="s">
        <v>32</v>
      </c>
      <c r="N393">
        <v>41</v>
      </c>
      <c r="O393">
        <v>46</v>
      </c>
      <c r="P393" t="s">
        <v>29</v>
      </c>
      <c r="Q393" t="s">
        <v>29</v>
      </c>
      <c r="R393" t="s">
        <v>29</v>
      </c>
      <c r="S393" t="s">
        <v>29</v>
      </c>
      <c r="T393">
        <v>1</v>
      </c>
      <c r="U393">
        <v>0.13</v>
      </c>
      <c r="V393">
        <v>0</v>
      </c>
      <c r="W393">
        <v>0</v>
      </c>
      <c r="X393">
        <v>0</v>
      </c>
      <c r="Y393">
        <v>0</v>
      </c>
      <c r="Z393">
        <v>0</v>
      </c>
      <c r="AA393">
        <v>0</v>
      </c>
      <c r="AB393">
        <v>0</v>
      </c>
      <c r="AC393">
        <v>0</v>
      </c>
      <c r="AD393">
        <v>0</v>
      </c>
      <c r="AE393">
        <v>0</v>
      </c>
      <c r="AF393">
        <v>0</v>
      </c>
      <c r="AG393">
        <v>0</v>
      </c>
      <c r="AH393">
        <v>0</v>
      </c>
      <c r="AI393">
        <v>0</v>
      </c>
      <c r="AJ393">
        <v>0</v>
      </c>
      <c r="AK393">
        <v>0</v>
      </c>
      <c r="AL393">
        <v>0</v>
      </c>
      <c r="AM393">
        <v>0</v>
      </c>
      <c r="AN393">
        <v>0</v>
      </c>
      <c r="AO393">
        <v>0</v>
      </c>
      <c r="AP393">
        <v>0</v>
      </c>
      <c r="AQ393">
        <v>0</v>
      </c>
      <c r="AR393">
        <v>0</v>
      </c>
      <c r="AS393">
        <v>0</v>
      </c>
      <c r="AT393">
        <v>0</v>
      </c>
      <c r="AU393">
        <v>0</v>
      </c>
      <c r="AV393">
        <v>0</v>
      </c>
      <c r="AW393">
        <v>0</v>
      </c>
      <c r="AX393">
        <v>0</v>
      </c>
      <c r="AY393">
        <v>0</v>
      </c>
      <c r="AZ393">
        <v>0</v>
      </c>
      <c r="BA393">
        <v>0</v>
      </c>
      <c r="BB393">
        <v>0</v>
      </c>
      <c r="BC393">
        <v>0</v>
      </c>
      <c r="BD393">
        <v>0</v>
      </c>
      <c r="BE393">
        <v>0</v>
      </c>
      <c r="BF393">
        <v>0</v>
      </c>
      <c r="BG393">
        <v>0</v>
      </c>
      <c r="BH393">
        <v>0</v>
      </c>
      <c r="BI393">
        <v>0</v>
      </c>
      <c r="BJ393">
        <v>0</v>
      </c>
      <c r="BK393">
        <v>0</v>
      </c>
      <c r="BL393">
        <v>0</v>
      </c>
      <c r="BM393">
        <v>0</v>
      </c>
      <c r="BN393">
        <v>0</v>
      </c>
      <c r="BO393">
        <v>0</v>
      </c>
      <c r="BP393">
        <v>0</v>
      </c>
      <c r="BQ393">
        <v>0</v>
      </c>
      <c r="BR393">
        <v>0</v>
      </c>
      <c r="BS393">
        <v>1</v>
      </c>
    </row>
    <row r="394" spans="1:71" x14ac:dyDescent="0.3">
      <c r="A394" t="s">
        <v>1774</v>
      </c>
      <c r="B394" t="s">
        <v>1775</v>
      </c>
      <c r="C394" t="s">
        <v>29</v>
      </c>
      <c r="D394" t="s">
        <v>29</v>
      </c>
      <c r="E394" t="s">
        <v>29</v>
      </c>
      <c r="F394" t="s">
        <v>982</v>
      </c>
      <c r="G394" t="s">
        <v>1773</v>
      </c>
      <c r="H394">
        <v>2017</v>
      </c>
      <c r="I394">
        <v>25</v>
      </c>
      <c r="J394" t="s">
        <v>29</v>
      </c>
      <c r="K394" t="s">
        <v>29</v>
      </c>
      <c r="L394" t="s">
        <v>29</v>
      </c>
      <c r="M394" t="s">
        <v>32</v>
      </c>
      <c r="N394">
        <v>81</v>
      </c>
      <c r="O394">
        <v>91</v>
      </c>
      <c r="P394" t="s">
        <v>29</v>
      </c>
      <c r="Q394" t="s">
        <v>29</v>
      </c>
      <c r="R394" t="s">
        <v>29</v>
      </c>
      <c r="S394" t="s">
        <v>29</v>
      </c>
      <c r="T394">
        <v>1</v>
      </c>
      <c r="U394">
        <v>0.13</v>
      </c>
      <c r="V394">
        <v>0</v>
      </c>
      <c r="W394">
        <v>0</v>
      </c>
      <c r="X394">
        <v>0</v>
      </c>
      <c r="Y394">
        <v>0</v>
      </c>
      <c r="Z394">
        <v>0</v>
      </c>
      <c r="AA394">
        <v>0</v>
      </c>
      <c r="AB394">
        <v>0</v>
      </c>
      <c r="AC394">
        <v>0</v>
      </c>
      <c r="AD394">
        <v>0</v>
      </c>
      <c r="AE394">
        <v>0</v>
      </c>
      <c r="AF394">
        <v>0</v>
      </c>
      <c r="AG394">
        <v>0</v>
      </c>
      <c r="AH394">
        <v>0</v>
      </c>
      <c r="AI394">
        <v>0</v>
      </c>
      <c r="AJ394">
        <v>0</v>
      </c>
      <c r="AK394">
        <v>0</v>
      </c>
      <c r="AL394">
        <v>0</v>
      </c>
      <c r="AM394">
        <v>0</v>
      </c>
      <c r="AN394">
        <v>0</v>
      </c>
      <c r="AO394">
        <v>0</v>
      </c>
      <c r="AP394">
        <v>0</v>
      </c>
      <c r="AQ394">
        <v>0</v>
      </c>
      <c r="AR394">
        <v>0</v>
      </c>
      <c r="AS394">
        <v>0</v>
      </c>
      <c r="AT394">
        <v>0</v>
      </c>
      <c r="AU394">
        <v>0</v>
      </c>
      <c r="AV394">
        <v>0</v>
      </c>
      <c r="AW394">
        <v>0</v>
      </c>
      <c r="AX394">
        <v>0</v>
      </c>
      <c r="AY394">
        <v>0</v>
      </c>
      <c r="AZ394">
        <v>0</v>
      </c>
      <c r="BA394">
        <v>0</v>
      </c>
      <c r="BB394">
        <v>0</v>
      </c>
      <c r="BC394">
        <v>0</v>
      </c>
      <c r="BD394">
        <v>0</v>
      </c>
      <c r="BE394">
        <v>0</v>
      </c>
      <c r="BF394">
        <v>0</v>
      </c>
      <c r="BG394">
        <v>0</v>
      </c>
      <c r="BH394">
        <v>0</v>
      </c>
      <c r="BI394">
        <v>0</v>
      </c>
      <c r="BJ394">
        <v>0</v>
      </c>
      <c r="BK394">
        <v>0</v>
      </c>
      <c r="BL394">
        <v>0</v>
      </c>
      <c r="BM394">
        <v>0</v>
      </c>
      <c r="BN394">
        <v>0</v>
      </c>
      <c r="BO394">
        <v>1</v>
      </c>
      <c r="BP394">
        <v>0</v>
      </c>
      <c r="BQ394">
        <v>0</v>
      </c>
      <c r="BR394">
        <v>0</v>
      </c>
      <c r="BS394">
        <v>0</v>
      </c>
    </row>
    <row r="395" spans="1:71" x14ac:dyDescent="0.3">
      <c r="A395" t="s">
        <v>1776</v>
      </c>
      <c r="B395" t="s">
        <v>1777</v>
      </c>
      <c r="C395" t="s">
        <v>29</v>
      </c>
      <c r="D395" t="s">
        <v>29</v>
      </c>
      <c r="E395" t="s">
        <v>29</v>
      </c>
      <c r="F395" t="s">
        <v>1778</v>
      </c>
      <c r="G395" t="s">
        <v>651</v>
      </c>
      <c r="H395">
        <v>2017</v>
      </c>
      <c r="I395">
        <v>23</v>
      </c>
      <c r="J395">
        <v>4</v>
      </c>
      <c r="K395" t="s">
        <v>29</v>
      </c>
      <c r="L395" t="s">
        <v>29</v>
      </c>
      <c r="M395" t="s">
        <v>29</v>
      </c>
      <c r="N395">
        <v>2842</v>
      </c>
      <c r="O395">
        <v>2845</v>
      </c>
      <c r="P395" t="s">
        <v>29</v>
      </c>
      <c r="Q395" t="s">
        <v>1779</v>
      </c>
      <c r="R395" t="s">
        <v>1780</v>
      </c>
      <c r="S395" t="s">
        <v>1781</v>
      </c>
      <c r="T395">
        <v>1</v>
      </c>
      <c r="U395">
        <v>0.13</v>
      </c>
      <c r="V395">
        <v>0</v>
      </c>
      <c r="W395">
        <v>0</v>
      </c>
      <c r="X395">
        <v>0</v>
      </c>
      <c r="Y395">
        <v>0</v>
      </c>
      <c r="Z395">
        <v>0</v>
      </c>
      <c r="AA395">
        <v>0</v>
      </c>
      <c r="AB395">
        <v>0</v>
      </c>
      <c r="AC395">
        <v>0</v>
      </c>
      <c r="AD395">
        <v>0</v>
      </c>
      <c r="AE395">
        <v>0</v>
      </c>
      <c r="AF395">
        <v>0</v>
      </c>
      <c r="AG395">
        <v>0</v>
      </c>
      <c r="AH395">
        <v>0</v>
      </c>
      <c r="AI395">
        <v>0</v>
      </c>
      <c r="AJ395">
        <v>0</v>
      </c>
      <c r="AK395">
        <v>0</v>
      </c>
      <c r="AL395">
        <v>0</v>
      </c>
      <c r="AM395">
        <v>0</v>
      </c>
      <c r="AN395">
        <v>0</v>
      </c>
      <c r="AO395">
        <v>0</v>
      </c>
      <c r="AP395">
        <v>0</v>
      </c>
      <c r="AQ395">
        <v>0</v>
      </c>
      <c r="AR395">
        <v>0</v>
      </c>
      <c r="AS395">
        <v>0</v>
      </c>
      <c r="AT395">
        <v>0</v>
      </c>
      <c r="AU395">
        <v>0</v>
      </c>
      <c r="AV395">
        <v>0</v>
      </c>
      <c r="AW395">
        <v>0</v>
      </c>
      <c r="AX395">
        <v>0</v>
      </c>
      <c r="AY395">
        <v>0</v>
      </c>
      <c r="AZ395">
        <v>0</v>
      </c>
      <c r="BA395">
        <v>0</v>
      </c>
      <c r="BB395">
        <v>0</v>
      </c>
      <c r="BC395">
        <v>0</v>
      </c>
      <c r="BD395">
        <v>0</v>
      </c>
      <c r="BE395">
        <v>0</v>
      </c>
      <c r="BF395">
        <v>0</v>
      </c>
      <c r="BG395">
        <v>0</v>
      </c>
      <c r="BH395">
        <v>0</v>
      </c>
      <c r="BI395">
        <v>0</v>
      </c>
      <c r="BJ395">
        <v>0</v>
      </c>
      <c r="BK395">
        <v>0</v>
      </c>
      <c r="BL395">
        <v>0</v>
      </c>
      <c r="BM395">
        <v>1</v>
      </c>
      <c r="BN395">
        <v>0</v>
      </c>
      <c r="BO395">
        <v>0</v>
      </c>
      <c r="BP395">
        <v>0</v>
      </c>
      <c r="BQ395">
        <v>0</v>
      </c>
      <c r="BR395">
        <v>0</v>
      </c>
      <c r="BS395">
        <v>0</v>
      </c>
    </row>
    <row r="396" spans="1:71" x14ac:dyDescent="0.3">
      <c r="A396" t="s">
        <v>1782</v>
      </c>
      <c r="B396" t="s">
        <v>1783</v>
      </c>
      <c r="C396" t="s">
        <v>29</v>
      </c>
      <c r="D396" t="s">
        <v>29</v>
      </c>
      <c r="E396" t="s">
        <v>1784</v>
      </c>
      <c r="F396" t="s">
        <v>1785</v>
      </c>
      <c r="G396">
        <v>2017</v>
      </c>
      <c r="H396">
        <v>2017</v>
      </c>
      <c r="I396">
        <v>121</v>
      </c>
      <c r="J396" t="s">
        <v>29</v>
      </c>
      <c r="K396" t="s">
        <v>29</v>
      </c>
      <c r="L396" t="s">
        <v>29</v>
      </c>
      <c r="M396" t="s">
        <v>29</v>
      </c>
      <c r="N396" t="s">
        <v>29</v>
      </c>
      <c r="O396" t="s">
        <v>29</v>
      </c>
      <c r="P396">
        <v>12001</v>
      </c>
      <c r="Q396" t="s">
        <v>1786</v>
      </c>
      <c r="R396" t="s">
        <v>1787</v>
      </c>
      <c r="S396" t="s">
        <v>1788</v>
      </c>
      <c r="T396">
        <v>1</v>
      </c>
      <c r="U396">
        <v>0.13</v>
      </c>
      <c r="V396">
        <v>0</v>
      </c>
      <c r="W396">
        <v>0</v>
      </c>
      <c r="X396">
        <v>0</v>
      </c>
      <c r="Y396">
        <v>0</v>
      </c>
      <c r="Z396">
        <v>0</v>
      </c>
      <c r="AA396">
        <v>0</v>
      </c>
      <c r="AB396">
        <v>0</v>
      </c>
      <c r="AC396">
        <v>0</v>
      </c>
      <c r="AD396">
        <v>0</v>
      </c>
      <c r="AE396">
        <v>0</v>
      </c>
      <c r="AF396">
        <v>0</v>
      </c>
      <c r="AG396">
        <v>0</v>
      </c>
      <c r="AH396">
        <v>0</v>
      </c>
      <c r="AI396">
        <v>0</v>
      </c>
      <c r="AJ396">
        <v>0</v>
      </c>
      <c r="AK396">
        <v>0</v>
      </c>
      <c r="AL396">
        <v>0</v>
      </c>
      <c r="AM396">
        <v>0</v>
      </c>
      <c r="AN396">
        <v>0</v>
      </c>
      <c r="AO396">
        <v>0</v>
      </c>
      <c r="AP396">
        <v>0</v>
      </c>
      <c r="AQ396">
        <v>0</v>
      </c>
      <c r="AR396">
        <v>0</v>
      </c>
      <c r="AS396">
        <v>0</v>
      </c>
      <c r="AT396">
        <v>0</v>
      </c>
      <c r="AU396">
        <v>0</v>
      </c>
      <c r="AV396">
        <v>0</v>
      </c>
      <c r="AW396">
        <v>0</v>
      </c>
      <c r="AX396">
        <v>0</v>
      </c>
      <c r="AY396">
        <v>0</v>
      </c>
      <c r="AZ396">
        <v>0</v>
      </c>
      <c r="BA396">
        <v>0</v>
      </c>
      <c r="BB396">
        <v>0</v>
      </c>
      <c r="BC396">
        <v>0</v>
      </c>
      <c r="BD396">
        <v>0</v>
      </c>
      <c r="BE396">
        <v>0</v>
      </c>
      <c r="BF396">
        <v>0</v>
      </c>
      <c r="BG396">
        <v>0</v>
      </c>
      <c r="BH396">
        <v>0</v>
      </c>
      <c r="BI396">
        <v>0</v>
      </c>
      <c r="BJ396">
        <v>0</v>
      </c>
      <c r="BK396">
        <v>0</v>
      </c>
      <c r="BL396">
        <v>0</v>
      </c>
      <c r="BM396">
        <v>0</v>
      </c>
      <c r="BN396">
        <v>0</v>
      </c>
      <c r="BO396">
        <v>0</v>
      </c>
      <c r="BP396">
        <v>1</v>
      </c>
      <c r="BQ396">
        <v>0</v>
      </c>
      <c r="BR396">
        <v>0</v>
      </c>
      <c r="BS396">
        <v>0</v>
      </c>
    </row>
    <row r="397" spans="1:71" x14ac:dyDescent="0.3">
      <c r="A397" t="s">
        <v>1789</v>
      </c>
      <c r="B397" t="s">
        <v>1790</v>
      </c>
      <c r="C397" t="s">
        <v>29</v>
      </c>
      <c r="D397" t="s">
        <v>29</v>
      </c>
      <c r="E397" t="s">
        <v>1791</v>
      </c>
      <c r="F397" t="s">
        <v>1792</v>
      </c>
      <c r="G397">
        <v>2017</v>
      </c>
      <c r="H397">
        <v>2017</v>
      </c>
      <c r="I397" t="s">
        <v>29</v>
      </c>
      <c r="J397" t="s">
        <v>29</v>
      </c>
      <c r="K397" t="s">
        <v>29</v>
      </c>
      <c r="L397" t="s">
        <v>29</v>
      </c>
      <c r="M397" t="s">
        <v>29</v>
      </c>
      <c r="N397">
        <v>335</v>
      </c>
      <c r="O397">
        <v>344</v>
      </c>
      <c r="P397" t="s">
        <v>29</v>
      </c>
      <c r="Q397" t="s">
        <v>29</v>
      </c>
      <c r="R397" t="s">
        <v>1793</v>
      </c>
      <c r="S397" t="s">
        <v>1794</v>
      </c>
      <c r="T397">
        <v>1</v>
      </c>
      <c r="U397">
        <v>0.13</v>
      </c>
      <c r="V397">
        <v>0</v>
      </c>
      <c r="W397">
        <v>0</v>
      </c>
      <c r="X397">
        <v>0</v>
      </c>
      <c r="Y397">
        <v>0</v>
      </c>
      <c r="Z397">
        <v>0</v>
      </c>
      <c r="AA397">
        <v>0</v>
      </c>
      <c r="AB397">
        <v>0</v>
      </c>
      <c r="AC397">
        <v>0</v>
      </c>
      <c r="AD397">
        <v>0</v>
      </c>
      <c r="AE397">
        <v>0</v>
      </c>
      <c r="AF397">
        <v>0</v>
      </c>
      <c r="AG397">
        <v>0</v>
      </c>
      <c r="AH397">
        <v>0</v>
      </c>
      <c r="AI397">
        <v>0</v>
      </c>
      <c r="AJ397">
        <v>0</v>
      </c>
      <c r="AK397">
        <v>0</v>
      </c>
      <c r="AL397">
        <v>0</v>
      </c>
      <c r="AM397">
        <v>0</v>
      </c>
      <c r="AN397">
        <v>0</v>
      </c>
      <c r="AO397">
        <v>0</v>
      </c>
      <c r="AP397">
        <v>0</v>
      </c>
      <c r="AQ397">
        <v>0</v>
      </c>
      <c r="AR397">
        <v>0</v>
      </c>
      <c r="AS397">
        <v>0</v>
      </c>
      <c r="AT397">
        <v>0</v>
      </c>
      <c r="AU397">
        <v>0</v>
      </c>
      <c r="AV397">
        <v>0</v>
      </c>
      <c r="AW397">
        <v>0</v>
      </c>
      <c r="AX397">
        <v>0</v>
      </c>
      <c r="AY397">
        <v>0</v>
      </c>
      <c r="AZ397">
        <v>0</v>
      </c>
      <c r="BA397">
        <v>0</v>
      </c>
      <c r="BB397">
        <v>0</v>
      </c>
      <c r="BC397">
        <v>0</v>
      </c>
      <c r="BD397">
        <v>0</v>
      </c>
      <c r="BE397">
        <v>0</v>
      </c>
      <c r="BF397">
        <v>0</v>
      </c>
      <c r="BG397">
        <v>0</v>
      </c>
      <c r="BH397">
        <v>0</v>
      </c>
      <c r="BI397">
        <v>0</v>
      </c>
      <c r="BJ397">
        <v>0</v>
      </c>
      <c r="BK397">
        <v>0</v>
      </c>
      <c r="BL397">
        <v>0</v>
      </c>
      <c r="BM397">
        <v>1</v>
      </c>
      <c r="BN397">
        <v>0</v>
      </c>
      <c r="BO397">
        <v>0</v>
      </c>
      <c r="BP397">
        <v>0</v>
      </c>
      <c r="BQ397">
        <v>0</v>
      </c>
      <c r="BR397">
        <v>0</v>
      </c>
      <c r="BS397">
        <v>0</v>
      </c>
    </row>
    <row r="398" spans="1:71" x14ac:dyDescent="0.3">
      <c r="A398" t="s">
        <v>1795</v>
      </c>
      <c r="B398" t="s">
        <v>1796</v>
      </c>
      <c r="C398" t="s">
        <v>29</v>
      </c>
      <c r="D398" t="s">
        <v>29</v>
      </c>
      <c r="E398" t="s">
        <v>1228</v>
      </c>
      <c r="F398" t="s">
        <v>1229</v>
      </c>
      <c r="G398">
        <v>2017</v>
      </c>
      <c r="H398">
        <v>2017</v>
      </c>
      <c r="I398" t="s">
        <v>29</v>
      </c>
      <c r="J398" t="s">
        <v>29</v>
      </c>
      <c r="K398" t="s">
        <v>29</v>
      </c>
      <c r="L398" t="s">
        <v>29</v>
      </c>
      <c r="M398" t="s">
        <v>29</v>
      </c>
      <c r="N398">
        <v>6091</v>
      </c>
      <c r="O398">
        <v>6096</v>
      </c>
      <c r="P398" t="s">
        <v>29</v>
      </c>
      <c r="Q398" t="s">
        <v>29</v>
      </c>
      <c r="R398" t="s">
        <v>1230</v>
      </c>
      <c r="S398" t="s">
        <v>1231</v>
      </c>
      <c r="T398">
        <v>1</v>
      </c>
      <c r="U398">
        <v>0.13</v>
      </c>
      <c r="V398">
        <v>0</v>
      </c>
      <c r="W398">
        <v>0</v>
      </c>
      <c r="X398">
        <v>0</v>
      </c>
      <c r="Y398">
        <v>0</v>
      </c>
      <c r="Z398">
        <v>0</v>
      </c>
      <c r="AA398">
        <v>0</v>
      </c>
      <c r="AB398">
        <v>0</v>
      </c>
      <c r="AC398">
        <v>0</v>
      </c>
      <c r="AD398">
        <v>0</v>
      </c>
      <c r="AE398">
        <v>0</v>
      </c>
      <c r="AF398">
        <v>0</v>
      </c>
      <c r="AG398">
        <v>0</v>
      </c>
      <c r="AH398">
        <v>0</v>
      </c>
      <c r="AI398">
        <v>0</v>
      </c>
      <c r="AJ398">
        <v>0</v>
      </c>
      <c r="AK398">
        <v>0</v>
      </c>
      <c r="AL398">
        <v>0</v>
      </c>
      <c r="AM398">
        <v>0</v>
      </c>
      <c r="AN398">
        <v>0</v>
      </c>
      <c r="AO398">
        <v>0</v>
      </c>
      <c r="AP398">
        <v>0</v>
      </c>
      <c r="AQ398">
        <v>0</v>
      </c>
      <c r="AR398">
        <v>0</v>
      </c>
      <c r="AS398">
        <v>0</v>
      </c>
      <c r="AT398">
        <v>0</v>
      </c>
      <c r="AU398">
        <v>0</v>
      </c>
      <c r="AV398">
        <v>0</v>
      </c>
      <c r="AW398">
        <v>0</v>
      </c>
      <c r="AX398">
        <v>0</v>
      </c>
      <c r="AY398">
        <v>0</v>
      </c>
      <c r="AZ398">
        <v>0</v>
      </c>
      <c r="BA398">
        <v>0</v>
      </c>
      <c r="BB398">
        <v>0</v>
      </c>
      <c r="BC398">
        <v>0</v>
      </c>
      <c r="BD398">
        <v>0</v>
      </c>
      <c r="BE398">
        <v>0</v>
      </c>
      <c r="BF398">
        <v>0</v>
      </c>
      <c r="BG398">
        <v>0</v>
      </c>
      <c r="BH398">
        <v>0</v>
      </c>
      <c r="BI398">
        <v>0</v>
      </c>
      <c r="BJ398">
        <v>0</v>
      </c>
      <c r="BK398">
        <v>0</v>
      </c>
      <c r="BL398">
        <v>0</v>
      </c>
      <c r="BM398">
        <v>0</v>
      </c>
      <c r="BN398">
        <v>1</v>
      </c>
      <c r="BO398">
        <v>0</v>
      </c>
      <c r="BP398">
        <v>0</v>
      </c>
      <c r="BQ398">
        <v>0</v>
      </c>
      <c r="BR398">
        <v>0</v>
      </c>
      <c r="BS398">
        <v>0</v>
      </c>
    </row>
    <row r="399" spans="1:71" x14ac:dyDescent="0.3">
      <c r="A399" t="s">
        <v>1797</v>
      </c>
      <c r="B399" t="s">
        <v>1798</v>
      </c>
      <c r="C399" t="s">
        <v>29</v>
      </c>
      <c r="D399" t="s">
        <v>29</v>
      </c>
      <c r="E399" t="s">
        <v>29</v>
      </c>
      <c r="F399" t="s">
        <v>1799</v>
      </c>
      <c r="G399">
        <v>2017</v>
      </c>
      <c r="H399">
        <v>2017</v>
      </c>
      <c r="I399">
        <v>44</v>
      </c>
      <c r="J399">
        <v>1</v>
      </c>
      <c r="K399" t="s">
        <v>29</v>
      </c>
      <c r="L399" t="s">
        <v>29</v>
      </c>
      <c r="M399" t="s">
        <v>29</v>
      </c>
      <c r="N399">
        <v>60</v>
      </c>
      <c r="O399">
        <v>74</v>
      </c>
      <c r="P399" t="s">
        <v>29</v>
      </c>
      <c r="Q399" t="s">
        <v>1800</v>
      </c>
      <c r="R399" t="s">
        <v>29</v>
      </c>
      <c r="S399" t="s">
        <v>29</v>
      </c>
      <c r="T399">
        <v>1</v>
      </c>
      <c r="U399">
        <v>0.13</v>
      </c>
      <c r="V399">
        <v>0</v>
      </c>
      <c r="W399">
        <v>0</v>
      </c>
      <c r="X399">
        <v>0</v>
      </c>
      <c r="Y399">
        <v>0</v>
      </c>
      <c r="Z399">
        <v>0</v>
      </c>
      <c r="AA399">
        <v>0</v>
      </c>
      <c r="AB399">
        <v>0</v>
      </c>
      <c r="AC399">
        <v>0</v>
      </c>
      <c r="AD399">
        <v>0</v>
      </c>
      <c r="AE399">
        <v>0</v>
      </c>
      <c r="AF399">
        <v>0</v>
      </c>
      <c r="AG399">
        <v>0</v>
      </c>
      <c r="AH399">
        <v>0</v>
      </c>
      <c r="AI399">
        <v>0</v>
      </c>
      <c r="AJ399">
        <v>0</v>
      </c>
      <c r="AK399">
        <v>0</v>
      </c>
      <c r="AL399">
        <v>0</v>
      </c>
      <c r="AM399">
        <v>0</v>
      </c>
      <c r="AN399">
        <v>0</v>
      </c>
      <c r="AO399">
        <v>0</v>
      </c>
      <c r="AP399">
        <v>0</v>
      </c>
      <c r="AQ399">
        <v>0</v>
      </c>
      <c r="AR399">
        <v>0</v>
      </c>
      <c r="AS399">
        <v>0</v>
      </c>
      <c r="AT399">
        <v>0</v>
      </c>
      <c r="AU399">
        <v>0</v>
      </c>
      <c r="AV399">
        <v>0</v>
      </c>
      <c r="AW399">
        <v>0</v>
      </c>
      <c r="AX399">
        <v>0</v>
      </c>
      <c r="AY399">
        <v>0</v>
      </c>
      <c r="AZ399">
        <v>0</v>
      </c>
      <c r="BA399">
        <v>0</v>
      </c>
      <c r="BB399">
        <v>0</v>
      </c>
      <c r="BC399">
        <v>0</v>
      </c>
      <c r="BD399">
        <v>0</v>
      </c>
      <c r="BE399">
        <v>0</v>
      </c>
      <c r="BF399">
        <v>0</v>
      </c>
      <c r="BG399">
        <v>0</v>
      </c>
      <c r="BH399">
        <v>0</v>
      </c>
      <c r="BI399">
        <v>0</v>
      </c>
      <c r="BJ399">
        <v>0</v>
      </c>
      <c r="BK399">
        <v>0</v>
      </c>
      <c r="BL399">
        <v>0</v>
      </c>
      <c r="BM399">
        <v>0</v>
      </c>
      <c r="BN399">
        <v>0</v>
      </c>
      <c r="BO399">
        <v>0</v>
      </c>
      <c r="BP399">
        <v>0</v>
      </c>
      <c r="BQ399">
        <v>1</v>
      </c>
      <c r="BR399">
        <v>0</v>
      </c>
      <c r="BS399">
        <v>0</v>
      </c>
    </row>
    <row r="400" spans="1:71" x14ac:dyDescent="0.3">
      <c r="A400" t="s">
        <v>1801</v>
      </c>
      <c r="B400" t="s">
        <v>1802</v>
      </c>
      <c r="C400" t="s">
        <v>29</v>
      </c>
      <c r="D400" t="s">
        <v>29</v>
      </c>
      <c r="E400" t="s">
        <v>29</v>
      </c>
      <c r="F400" t="s">
        <v>1803</v>
      </c>
      <c r="G400">
        <v>2016</v>
      </c>
      <c r="H400">
        <v>2016</v>
      </c>
      <c r="I400" t="s">
        <v>29</v>
      </c>
      <c r="J400" t="s">
        <v>29</v>
      </c>
      <c r="K400" t="s">
        <v>29</v>
      </c>
      <c r="L400" t="s">
        <v>29</v>
      </c>
      <c r="M400" t="s">
        <v>29</v>
      </c>
      <c r="N400" t="s">
        <v>29</v>
      </c>
      <c r="O400" t="s">
        <v>29</v>
      </c>
      <c r="P400" t="s">
        <v>29</v>
      </c>
      <c r="Q400" t="s">
        <v>29</v>
      </c>
      <c r="R400" t="s">
        <v>1804</v>
      </c>
      <c r="S400">
        <v>2016</v>
      </c>
      <c r="T400">
        <v>1</v>
      </c>
      <c r="U400">
        <v>0.11</v>
      </c>
      <c r="V400">
        <v>0</v>
      </c>
      <c r="W400">
        <v>0</v>
      </c>
      <c r="X400">
        <v>0</v>
      </c>
      <c r="Y400">
        <v>0</v>
      </c>
      <c r="Z400">
        <v>0</v>
      </c>
      <c r="AA400">
        <v>0</v>
      </c>
      <c r="AB400">
        <v>0</v>
      </c>
      <c r="AC400">
        <v>0</v>
      </c>
      <c r="AD400">
        <v>0</v>
      </c>
      <c r="AE400">
        <v>0</v>
      </c>
      <c r="AF400">
        <v>0</v>
      </c>
      <c r="AG400">
        <v>0</v>
      </c>
      <c r="AH400">
        <v>0</v>
      </c>
      <c r="AI400">
        <v>0</v>
      </c>
      <c r="AJ400">
        <v>0</v>
      </c>
      <c r="AK400">
        <v>0</v>
      </c>
      <c r="AL400">
        <v>0</v>
      </c>
      <c r="AM400">
        <v>0</v>
      </c>
      <c r="AN400">
        <v>0</v>
      </c>
      <c r="AO400">
        <v>0</v>
      </c>
      <c r="AP400">
        <v>0</v>
      </c>
      <c r="AQ400">
        <v>0</v>
      </c>
      <c r="AR400">
        <v>0</v>
      </c>
      <c r="AS400">
        <v>0</v>
      </c>
      <c r="AT400">
        <v>0</v>
      </c>
      <c r="AU400">
        <v>0</v>
      </c>
      <c r="AV400">
        <v>0</v>
      </c>
      <c r="AW400">
        <v>0</v>
      </c>
      <c r="AX400">
        <v>0</v>
      </c>
      <c r="AY400">
        <v>0</v>
      </c>
      <c r="AZ400">
        <v>0</v>
      </c>
      <c r="BA400">
        <v>0</v>
      </c>
      <c r="BB400">
        <v>0</v>
      </c>
      <c r="BC400">
        <v>0</v>
      </c>
      <c r="BD400">
        <v>0</v>
      </c>
      <c r="BE400">
        <v>0</v>
      </c>
      <c r="BF400">
        <v>0</v>
      </c>
      <c r="BG400">
        <v>0</v>
      </c>
      <c r="BH400">
        <v>0</v>
      </c>
      <c r="BI400">
        <v>0</v>
      </c>
      <c r="BJ400">
        <v>0</v>
      </c>
      <c r="BK400">
        <v>0</v>
      </c>
      <c r="BL400">
        <v>0</v>
      </c>
      <c r="BM400">
        <v>0</v>
      </c>
      <c r="BN400">
        <v>0</v>
      </c>
      <c r="BO400">
        <v>0</v>
      </c>
      <c r="BP400">
        <v>0</v>
      </c>
      <c r="BQ400">
        <v>0</v>
      </c>
      <c r="BR400">
        <v>0</v>
      </c>
      <c r="BS400">
        <v>1</v>
      </c>
    </row>
    <row r="401" spans="1:71" x14ac:dyDescent="0.3">
      <c r="A401" t="s">
        <v>1805</v>
      </c>
      <c r="B401" t="s">
        <v>1806</v>
      </c>
      <c r="C401" t="s">
        <v>29</v>
      </c>
      <c r="D401" t="s">
        <v>29</v>
      </c>
      <c r="E401" t="s">
        <v>29</v>
      </c>
      <c r="F401" t="s">
        <v>1807</v>
      </c>
      <c r="G401" t="s">
        <v>153</v>
      </c>
      <c r="H401">
        <v>2015</v>
      </c>
      <c r="I401">
        <v>10</v>
      </c>
      <c r="J401">
        <v>2</v>
      </c>
      <c r="K401" t="s">
        <v>29</v>
      </c>
      <c r="L401" t="s">
        <v>29</v>
      </c>
      <c r="M401" t="s">
        <v>29</v>
      </c>
      <c r="N401">
        <v>254</v>
      </c>
      <c r="O401">
        <v>269</v>
      </c>
      <c r="P401" t="s">
        <v>29</v>
      </c>
      <c r="Q401" t="s">
        <v>1808</v>
      </c>
      <c r="R401" t="s">
        <v>29</v>
      </c>
      <c r="S401" t="s">
        <v>29</v>
      </c>
      <c r="T401">
        <v>1</v>
      </c>
      <c r="U401">
        <v>0.1</v>
      </c>
      <c r="V401">
        <v>0</v>
      </c>
      <c r="W401">
        <v>0</v>
      </c>
      <c r="X401">
        <v>0</v>
      </c>
      <c r="Y401">
        <v>0</v>
      </c>
      <c r="Z401">
        <v>0</v>
      </c>
      <c r="AA401">
        <v>0</v>
      </c>
      <c r="AB401">
        <v>0</v>
      </c>
      <c r="AC401">
        <v>0</v>
      </c>
      <c r="AD401">
        <v>0</v>
      </c>
      <c r="AE401">
        <v>0</v>
      </c>
      <c r="AF401">
        <v>0</v>
      </c>
      <c r="AG401">
        <v>0</v>
      </c>
      <c r="AH401">
        <v>0</v>
      </c>
      <c r="AI401">
        <v>0</v>
      </c>
      <c r="AJ401">
        <v>0</v>
      </c>
      <c r="AK401">
        <v>0</v>
      </c>
      <c r="AL401">
        <v>0</v>
      </c>
      <c r="AM401">
        <v>0</v>
      </c>
      <c r="AN401">
        <v>0</v>
      </c>
      <c r="AO401">
        <v>0</v>
      </c>
      <c r="AP401">
        <v>0</v>
      </c>
      <c r="AQ401">
        <v>0</v>
      </c>
      <c r="AR401">
        <v>0</v>
      </c>
      <c r="AS401">
        <v>0</v>
      </c>
      <c r="AT401">
        <v>0</v>
      </c>
      <c r="AU401">
        <v>0</v>
      </c>
      <c r="AV401">
        <v>0</v>
      </c>
      <c r="AW401">
        <v>0</v>
      </c>
      <c r="AX401">
        <v>0</v>
      </c>
      <c r="AY401">
        <v>0</v>
      </c>
      <c r="AZ401">
        <v>0</v>
      </c>
      <c r="BA401">
        <v>0</v>
      </c>
      <c r="BB401">
        <v>0</v>
      </c>
      <c r="BC401">
        <v>0</v>
      </c>
      <c r="BD401">
        <v>0</v>
      </c>
      <c r="BE401">
        <v>0</v>
      </c>
      <c r="BF401">
        <v>0</v>
      </c>
      <c r="BG401">
        <v>0</v>
      </c>
      <c r="BH401">
        <v>0</v>
      </c>
      <c r="BI401">
        <v>0</v>
      </c>
      <c r="BJ401">
        <v>0</v>
      </c>
      <c r="BK401">
        <v>0</v>
      </c>
      <c r="BL401">
        <v>0</v>
      </c>
      <c r="BM401">
        <v>0</v>
      </c>
      <c r="BN401">
        <v>0</v>
      </c>
      <c r="BO401">
        <v>0</v>
      </c>
      <c r="BP401">
        <v>0</v>
      </c>
      <c r="BQ401">
        <v>0</v>
      </c>
      <c r="BR401">
        <v>1</v>
      </c>
      <c r="BS401">
        <v>0</v>
      </c>
    </row>
    <row r="402" spans="1:71" x14ac:dyDescent="0.3">
      <c r="A402" t="s">
        <v>1809</v>
      </c>
      <c r="B402" t="s">
        <v>1810</v>
      </c>
      <c r="C402" t="s">
        <v>29</v>
      </c>
      <c r="D402" t="s">
        <v>29</v>
      </c>
      <c r="E402" t="s">
        <v>1811</v>
      </c>
      <c r="F402" t="s">
        <v>1812</v>
      </c>
      <c r="G402">
        <v>2014</v>
      </c>
      <c r="H402">
        <v>2014</v>
      </c>
      <c r="I402" t="s">
        <v>29</v>
      </c>
      <c r="J402" t="s">
        <v>29</v>
      </c>
      <c r="K402" t="s">
        <v>29</v>
      </c>
      <c r="L402" t="s">
        <v>29</v>
      </c>
      <c r="M402" t="s">
        <v>29</v>
      </c>
      <c r="N402">
        <v>82</v>
      </c>
      <c r="O402">
        <v>89</v>
      </c>
      <c r="P402" t="s">
        <v>29</v>
      </c>
      <c r="Q402" t="s">
        <v>29</v>
      </c>
      <c r="R402" t="s">
        <v>1813</v>
      </c>
      <c r="S402" t="s">
        <v>1814</v>
      </c>
      <c r="T402">
        <v>1</v>
      </c>
      <c r="U402">
        <v>0.09</v>
      </c>
      <c r="V402">
        <v>0</v>
      </c>
      <c r="W402">
        <v>0</v>
      </c>
      <c r="X402">
        <v>0</v>
      </c>
      <c r="Y402">
        <v>0</v>
      </c>
      <c r="Z402">
        <v>0</v>
      </c>
      <c r="AA402">
        <v>0</v>
      </c>
      <c r="AB402">
        <v>0</v>
      </c>
      <c r="AC402">
        <v>0</v>
      </c>
      <c r="AD402">
        <v>0</v>
      </c>
      <c r="AE402">
        <v>0</v>
      </c>
      <c r="AF402">
        <v>0</v>
      </c>
      <c r="AG402">
        <v>0</v>
      </c>
      <c r="AH402">
        <v>0</v>
      </c>
      <c r="AI402">
        <v>0</v>
      </c>
      <c r="AJ402">
        <v>0</v>
      </c>
      <c r="AK402">
        <v>0</v>
      </c>
      <c r="AL402">
        <v>0</v>
      </c>
      <c r="AM402">
        <v>0</v>
      </c>
      <c r="AN402">
        <v>0</v>
      </c>
      <c r="AO402">
        <v>0</v>
      </c>
      <c r="AP402">
        <v>0</v>
      </c>
      <c r="AQ402">
        <v>0</v>
      </c>
      <c r="AR402">
        <v>0</v>
      </c>
      <c r="AS402">
        <v>0</v>
      </c>
      <c r="AT402">
        <v>0</v>
      </c>
      <c r="AU402">
        <v>0</v>
      </c>
      <c r="AV402">
        <v>0</v>
      </c>
      <c r="AW402">
        <v>0</v>
      </c>
      <c r="AX402">
        <v>0</v>
      </c>
      <c r="AY402">
        <v>0</v>
      </c>
      <c r="AZ402">
        <v>0</v>
      </c>
      <c r="BA402">
        <v>0</v>
      </c>
      <c r="BB402">
        <v>0</v>
      </c>
      <c r="BC402">
        <v>0</v>
      </c>
      <c r="BD402">
        <v>0</v>
      </c>
      <c r="BE402">
        <v>0</v>
      </c>
      <c r="BF402">
        <v>0</v>
      </c>
      <c r="BG402">
        <v>0</v>
      </c>
      <c r="BH402">
        <v>0</v>
      </c>
      <c r="BI402">
        <v>0</v>
      </c>
      <c r="BJ402">
        <v>0</v>
      </c>
      <c r="BK402">
        <v>0</v>
      </c>
      <c r="BL402">
        <v>0</v>
      </c>
      <c r="BM402">
        <v>0</v>
      </c>
      <c r="BN402">
        <v>1</v>
      </c>
      <c r="BO402">
        <v>0</v>
      </c>
      <c r="BP402">
        <v>0</v>
      </c>
      <c r="BQ402">
        <v>0</v>
      </c>
      <c r="BR402">
        <v>0</v>
      </c>
      <c r="BS402">
        <v>0</v>
      </c>
    </row>
    <row r="403" spans="1:71" x14ac:dyDescent="0.3">
      <c r="A403" t="s">
        <v>1815</v>
      </c>
      <c r="B403" t="s">
        <v>1816</v>
      </c>
      <c r="C403" t="s">
        <v>29</v>
      </c>
      <c r="D403" t="s">
        <v>29</v>
      </c>
      <c r="E403" t="s">
        <v>29</v>
      </c>
      <c r="F403" t="s">
        <v>1464</v>
      </c>
      <c r="G403">
        <v>2014</v>
      </c>
      <c r="H403">
        <v>2014</v>
      </c>
      <c r="I403" t="s">
        <v>29</v>
      </c>
      <c r="J403" t="s">
        <v>29</v>
      </c>
      <c r="K403" t="s">
        <v>29</v>
      </c>
      <c r="L403" t="s">
        <v>29</v>
      </c>
      <c r="M403" t="s">
        <v>29</v>
      </c>
      <c r="N403" t="s">
        <v>29</v>
      </c>
      <c r="O403" t="s">
        <v>29</v>
      </c>
      <c r="P403" t="s">
        <v>29</v>
      </c>
      <c r="Q403" t="s">
        <v>29</v>
      </c>
      <c r="R403" t="s">
        <v>1465</v>
      </c>
      <c r="S403" t="s">
        <v>1466</v>
      </c>
      <c r="T403">
        <v>1</v>
      </c>
      <c r="U403">
        <v>0.09</v>
      </c>
      <c r="V403">
        <v>0</v>
      </c>
      <c r="W403">
        <v>0</v>
      </c>
      <c r="X403">
        <v>0</v>
      </c>
      <c r="Y403">
        <v>0</v>
      </c>
      <c r="Z403">
        <v>0</v>
      </c>
      <c r="AA403">
        <v>0</v>
      </c>
      <c r="AB403">
        <v>0</v>
      </c>
      <c r="AC403">
        <v>0</v>
      </c>
      <c r="AD403">
        <v>0</v>
      </c>
      <c r="AE403">
        <v>0</v>
      </c>
      <c r="AF403">
        <v>0</v>
      </c>
      <c r="AG403">
        <v>0</v>
      </c>
      <c r="AH403">
        <v>0</v>
      </c>
      <c r="AI403">
        <v>0</v>
      </c>
      <c r="AJ403">
        <v>0</v>
      </c>
      <c r="AK403">
        <v>0</v>
      </c>
      <c r="AL403">
        <v>0</v>
      </c>
      <c r="AM403">
        <v>0</v>
      </c>
      <c r="AN403">
        <v>0</v>
      </c>
      <c r="AO403">
        <v>0</v>
      </c>
      <c r="AP403">
        <v>0</v>
      </c>
      <c r="AQ403">
        <v>0</v>
      </c>
      <c r="AR403">
        <v>0</v>
      </c>
      <c r="AS403">
        <v>0</v>
      </c>
      <c r="AT403">
        <v>0</v>
      </c>
      <c r="AU403">
        <v>0</v>
      </c>
      <c r="AV403">
        <v>0</v>
      </c>
      <c r="AW403">
        <v>0</v>
      </c>
      <c r="AX403">
        <v>0</v>
      </c>
      <c r="AY403">
        <v>0</v>
      </c>
      <c r="AZ403">
        <v>0</v>
      </c>
      <c r="BA403">
        <v>0</v>
      </c>
      <c r="BB403">
        <v>0</v>
      </c>
      <c r="BC403">
        <v>0</v>
      </c>
      <c r="BD403">
        <v>0</v>
      </c>
      <c r="BE403">
        <v>0</v>
      </c>
      <c r="BF403">
        <v>0</v>
      </c>
      <c r="BG403">
        <v>0</v>
      </c>
      <c r="BH403">
        <v>0</v>
      </c>
      <c r="BI403">
        <v>0</v>
      </c>
      <c r="BJ403">
        <v>0</v>
      </c>
      <c r="BK403">
        <v>0</v>
      </c>
      <c r="BL403">
        <v>1</v>
      </c>
      <c r="BM403">
        <v>0</v>
      </c>
      <c r="BN403">
        <v>0</v>
      </c>
      <c r="BO403">
        <v>0</v>
      </c>
      <c r="BP403">
        <v>0</v>
      </c>
      <c r="BQ403">
        <v>0</v>
      </c>
      <c r="BR403">
        <v>0</v>
      </c>
      <c r="BS403">
        <v>0</v>
      </c>
    </row>
    <row r="404" spans="1:71" x14ac:dyDescent="0.3">
      <c r="A404" t="s">
        <v>1817</v>
      </c>
      <c r="B404" t="s">
        <v>1818</v>
      </c>
      <c r="C404" t="s">
        <v>29</v>
      </c>
      <c r="D404" t="s">
        <v>29</v>
      </c>
      <c r="E404" t="s">
        <v>1819</v>
      </c>
      <c r="F404" t="s">
        <v>1820</v>
      </c>
      <c r="G404">
        <v>2014</v>
      </c>
      <c r="H404">
        <v>2014</v>
      </c>
      <c r="I404">
        <v>1635</v>
      </c>
      <c r="J404" t="s">
        <v>29</v>
      </c>
      <c r="K404" t="s">
        <v>29</v>
      </c>
      <c r="L404" t="s">
        <v>29</v>
      </c>
      <c r="M404" t="s">
        <v>29</v>
      </c>
      <c r="N404">
        <v>316</v>
      </c>
      <c r="O404">
        <v>322</v>
      </c>
      <c r="P404" t="s">
        <v>29</v>
      </c>
      <c r="Q404" t="s">
        <v>1821</v>
      </c>
      <c r="R404" t="s">
        <v>1822</v>
      </c>
      <c r="S404" t="s">
        <v>1823</v>
      </c>
      <c r="T404">
        <v>1</v>
      </c>
      <c r="U404">
        <v>0.09</v>
      </c>
      <c r="V404">
        <v>0</v>
      </c>
      <c r="W404">
        <v>0</v>
      </c>
      <c r="X404">
        <v>0</v>
      </c>
      <c r="Y404">
        <v>0</v>
      </c>
      <c r="Z404">
        <v>0</v>
      </c>
      <c r="AA404">
        <v>0</v>
      </c>
      <c r="AB404">
        <v>0</v>
      </c>
      <c r="AC404">
        <v>0</v>
      </c>
      <c r="AD404">
        <v>0</v>
      </c>
      <c r="AE404">
        <v>0</v>
      </c>
      <c r="AF404">
        <v>0</v>
      </c>
      <c r="AG404">
        <v>0</v>
      </c>
      <c r="AH404">
        <v>0</v>
      </c>
      <c r="AI404">
        <v>0</v>
      </c>
      <c r="AJ404">
        <v>0</v>
      </c>
      <c r="AK404">
        <v>0</v>
      </c>
      <c r="AL404">
        <v>0</v>
      </c>
      <c r="AM404">
        <v>0</v>
      </c>
      <c r="AN404">
        <v>0</v>
      </c>
      <c r="AO404">
        <v>0</v>
      </c>
      <c r="AP404">
        <v>0</v>
      </c>
      <c r="AQ404">
        <v>0</v>
      </c>
      <c r="AR404">
        <v>0</v>
      </c>
      <c r="AS404">
        <v>0</v>
      </c>
      <c r="AT404">
        <v>0</v>
      </c>
      <c r="AU404">
        <v>0</v>
      </c>
      <c r="AV404">
        <v>0</v>
      </c>
      <c r="AW404">
        <v>0</v>
      </c>
      <c r="AX404">
        <v>0</v>
      </c>
      <c r="AY404">
        <v>0</v>
      </c>
      <c r="AZ404">
        <v>0</v>
      </c>
      <c r="BA404">
        <v>0</v>
      </c>
      <c r="BB404">
        <v>0</v>
      </c>
      <c r="BC404">
        <v>0</v>
      </c>
      <c r="BD404">
        <v>0</v>
      </c>
      <c r="BE404">
        <v>0</v>
      </c>
      <c r="BF404">
        <v>0</v>
      </c>
      <c r="BG404">
        <v>0</v>
      </c>
      <c r="BH404">
        <v>0</v>
      </c>
      <c r="BI404">
        <v>0</v>
      </c>
      <c r="BJ404">
        <v>0</v>
      </c>
      <c r="BK404">
        <v>0</v>
      </c>
      <c r="BL404">
        <v>0</v>
      </c>
      <c r="BM404">
        <v>0</v>
      </c>
      <c r="BN404">
        <v>0</v>
      </c>
      <c r="BO404">
        <v>0</v>
      </c>
      <c r="BP404">
        <v>0</v>
      </c>
      <c r="BQ404">
        <v>0</v>
      </c>
      <c r="BR404">
        <v>0</v>
      </c>
      <c r="BS404">
        <v>1</v>
      </c>
    </row>
    <row r="405" spans="1:71" x14ac:dyDescent="0.3">
      <c r="A405" t="s">
        <v>1824</v>
      </c>
      <c r="B405" t="s">
        <v>1825</v>
      </c>
      <c r="C405" t="s">
        <v>29</v>
      </c>
      <c r="D405" t="s">
        <v>29</v>
      </c>
      <c r="E405" t="s">
        <v>1826</v>
      </c>
      <c r="F405" t="s">
        <v>1827</v>
      </c>
      <c r="G405">
        <v>2014</v>
      </c>
      <c r="H405">
        <v>2014</v>
      </c>
      <c r="I405" t="s">
        <v>29</v>
      </c>
      <c r="J405" t="s">
        <v>29</v>
      </c>
      <c r="K405" t="s">
        <v>29</v>
      </c>
      <c r="L405" t="s">
        <v>29</v>
      </c>
      <c r="M405" t="s">
        <v>29</v>
      </c>
      <c r="N405">
        <v>664</v>
      </c>
      <c r="O405">
        <v>674</v>
      </c>
      <c r="P405" t="s">
        <v>29</v>
      </c>
      <c r="Q405" t="s">
        <v>29</v>
      </c>
      <c r="R405" t="s">
        <v>1828</v>
      </c>
      <c r="S405" t="s">
        <v>1829</v>
      </c>
      <c r="T405">
        <v>1</v>
      </c>
      <c r="U405">
        <v>0.09</v>
      </c>
      <c r="V405">
        <v>0</v>
      </c>
      <c r="W405">
        <v>0</v>
      </c>
      <c r="X405">
        <v>0</v>
      </c>
      <c r="Y405">
        <v>0</v>
      </c>
      <c r="Z405">
        <v>0</v>
      </c>
      <c r="AA405">
        <v>0</v>
      </c>
      <c r="AB405">
        <v>0</v>
      </c>
      <c r="AC405">
        <v>0</v>
      </c>
      <c r="AD405">
        <v>0</v>
      </c>
      <c r="AE405">
        <v>0</v>
      </c>
      <c r="AF405">
        <v>0</v>
      </c>
      <c r="AG405">
        <v>0</v>
      </c>
      <c r="AH405">
        <v>0</v>
      </c>
      <c r="AI405">
        <v>0</v>
      </c>
      <c r="AJ405">
        <v>0</v>
      </c>
      <c r="AK405">
        <v>0</v>
      </c>
      <c r="AL405">
        <v>0</v>
      </c>
      <c r="AM405">
        <v>0</v>
      </c>
      <c r="AN405">
        <v>0</v>
      </c>
      <c r="AO405">
        <v>0</v>
      </c>
      <c r="AP405">
        <v>0</v>
      </c>
      <c r="AQ405">
        <v>0</v>
      </c>
      <c r="AR405">
        <v>0</v>
      </c>
      <c r="AS405">
        <v>0</v>
      </c>
      <c r="AT405">
        <v>0</v>
      </c>
      <c r="AU405">
        <v>0</v>
      </c>
      <c r="AV405">
        <v>0</v>
      </c>
      <c r="AW405">
        <v>0</v>
      </c>
      <c r="AX405">
        <v>0</v>
      </c>
      <c r="AY405">
        <v>0</v>
      </c>
      <c r="AZ405">
        <v>0</v>
      </c>
      <c r="BA405">
        <v>0</v>
      </c>
      <c r="BB405">
        <v>0</v>
      </c>
      <c r="BC405">
        <v>0</v>
      </c>
      <c r="BD405">
        <v>0</v>
      </c>
      <c r="BE405">
        <v>0</v>
      </c>
      <c r="BF405">
        <v>0</v>
      </c>
      <c r="BG405">
        <v>0</v>
      </c>
      <c r="BH405">
        <v>0</v>
      </c>
      <c r="BI405">
        <v>0</v>
      </c>
      <c r="BJ405">
        <v>0</v>
      </c>
      <c r="BK405">
        <v>0</v>
      </c>
      <c r="BL405">
        <v>1</v>
      </c>
      <c r="BM405">
        <v>0</v>
      </c>
      <c r="BN405">
        <v>0</v>
      </c>
      <c r="BO405">
        <v>0</v>
      </c>
      <c r="BP405">
        <v>0</v>
      </c>
      <c r="BQ405">
        <v>0</v>
      </c>
      <c r="BR405">
        <v>0</v>
      </c>
      <c r="BS405">
        <v>0</v>
      </c>
    </row>
    <row r="406" spans="1:71" x14ac:dyDescent="0.3">
      <c r="A406" t="s">
        <v>1830</v>
      </c>
      <c r="B406" t="s">
        <v>1831</v>
      </c>
      <c r="C406" t="s">
        <v>29</v>
      </c>
      <c r="D406" t="s">
        <v>29</v>
      </c>
      <c r="E406" t="s">
        <v>1832</v>
      </c>
      <c r="F406" t="s">
        <v>1833</v>
      </c>
      <c r="G406">
        <v>2012</v>
      </c>
      <c r="H406">
        <v>2012</v>
      </c>
      <c r="I406">
        <v>566</v>
      </c>
      <c r="J406" t="s">
        <v>29</v>
      </c>
      <c r="K406" t="s">
        <v>29</v>
      </c>
      <c r="L406" t="s">
        <v>29</v>
      </c>
      <c r="M406" t="s">
        <v>29</v>
      </c>
      <c r="N406">
        <v>304</v>
      </c>
      <c r="O406">
        <v>307</v>
      </c>
      <c r="P406" t="s">
        <v>29</v>
      </c>
      <c r="Q406" t="s">
        <v>1834</v>
      </c>
      <c r="R406" t="s">
        <v>1835</v>
      </c>
      <c r="S406" t="s">
        <v>1836</v>
      </c>
      <c r="T406">
        <v>1</v>
      </c>
      <c r="U406">
        <v>0.08</v>
      </c>
      <c r="V406">
        <v>0</v>
      </c>
      <c r="W406">
        <v>0</v>
      </c>
      <c r="X406">
        <v>0</v>
      </c>
      <c r="Y406">
        <v>0</v>
      </c>
      <c r="Z406">
        <v>0</v>
      </c>
      <c r="AA406">
        <v>0</v>
      </c>
      <c r="AB406">
        <v>0</v>
      </c>
      <c r="AC406">
        <v>0</v>
      </c>
      <c r="AD406">
        <v>0</v>
      </c>
      <c r="AE406">
        <v>0</v>
      </c>
      <c r="AF406">
        <v>0</v>
      </c>
      <c r="AG406">
        <v>0</v>
      </c>
      <c r="AH406">
        <v>0</v>
      </c>
      <c r="AI406">
        <v>0</v>
      </c>
      <c r="AJ406">
        <v>0</v>
      </c>
      <c r="AK406">
        <v>0</v>
      </c>
      <c r="AL406">
        <v>0</v>
      </c>
      <c r="AM406">
        <v>0</v>
      </c>
      <c r="AN406">
        <v>0</v>
      </c>
      <c r="AO406">
        <v>0</v>
      </c>
      <c r="AP406">
        <v>0</v>
      </c>
      <c r="AQ406">
        <v>0</v>
      </c>
      <c r="AR406">
        <v>0</v>
      </c>
      <c r="AS406">
        <v>0</v>
      </c>
      <c r="AT406">
        <v>0</v>
      </c>
      <c r="AU406">
        <v>0</v>
      </c>
      <c r="AV406">
        <v>0</v>
      </c>
      <c r="AW406">
        <v>0</v>
      </c>
      <c r="AX406">
        <v>0</v>
      </c>
      <c r="AY406">
        <v>0</v>
      </c>
      <c r="AZ406">
        <v>0</v>
      </c>
      <c r="BA406">
        <v>0</v>
      </c>
      <c r="BB406">
        <v>0</v>
      </c>
      <c r="BC406">
        <v>0</v>
      </c>
      <c r="BD406">
        <v>0</v>
      </c>
      <c r="BE406">
        <v>0</v>
      </c>
      <c r="BF406">
        <v>0</v>
      </c>
      <c r="BG406">
        <v>0</v>
      </c>
      <c r="BH406">
        <v>0</v>
      </c>
      <c r="BI406">
        <v>0</v>
      </c>
      <c r="BJ406">
        <v>0</v>
      </c>
      <c r="BK406">
        <v>0</v>
      </c>
      <c r="BL406">
        <v>0</v>
      </c>
      <c r="BM406">
        <v>0</v>
      </c>
      <c r="BN406">
        <v>0</v>
      </c>
      <c r="BO406">
        <v>0</v>
      </c>
      <c r="BP406">
        <v>0</v>
      </c>
      <c r="BQ406">
        <v>0</v>
      </c>
      <c r="BR406">
        <v>0</v>
      </c>
      <c r="BS406">
        <v>1</v>
      </c>
    </row>
    <row r="407" spans="1:71" x14ac:dyDescent="0.3">
      <c r="A407" t="s">
        <v>1837</v>
      </c>
      <c r="B407" t="s">
        <v>1838</v>
      </c>
      <c r="C407" t="s">
        <v>29</v>
      </c>
      <c r="D407" t="s">
        <v>29</v>
      </c>
      <c r="E407" t="s">
        <v>29</v>
      </c>
      <c r="F407" t="s">
        <v>1839</v>
      </c>
      <c r="G407">
        <v>2012</v>
      </c>
      <c r="H407">
        <v>2012</v>
      </c>
      <c r="I407" t="s">
        <v>29</v>
      </c>
      <c r="J407" t="s">
        <v>29</v>
      </c>
      <c r="K407" t="s">
        <v>29</v>
      </c>
      <c r="L407" t="s">
        <v>29</v>
      </c>
      <c r="M407" t="s">
        <v>29</v>
      </c>
      <c r="N407">
        <v>9</v>
      </c>
      <c r="O407">
        <v>11</v>
      </c>
      <c r="P407" t="s">
        <v>29</v>
      </c>
      <c r="Q407" t="s">
        <v>1840</v>
      </c>
      <c r="R407" t="s">
        <v>1841</v>
      </c>
      <c r="S407" t="s">
        <v>1842</v>
      </c>
      <c r="T407">
        <v>1</v>
      </c>
      <c r="U407">
        <v>0.08</v>
      </c>
      <c r="V407">
        <v>0</v>
      </c>
      <c r="W407">
        <v>0</v>
      </c>
      <c r="X407">
        <v>0</v>
      </c>
      <c r="Y407">
        <v>0</v>
      </c>
      <c r="Z407">
        <v>0</v>
      </c>
      <c r="AA407">
        <v>0</v>
      </c>
      <c r="AB407">
        <v>0</v>
      </c>
      <c r="AC407">
        <v>0</v>
      </c>
      <c r="AD407">
        <v>0</v>
      </c>
      <c r="AE407">
        <v>0</v>
      </c>
      <c r="AF407">
        <v>0</v>
      </c>
      <c r="AG407">
        <v>0</v>
      </c>
      <c r="AH407">
        <v>0</v>
      </c>
      <c r="AI407">
        <v>0</v>
      </c>
      <c r="AJ407">
        <v>0</v>
      </c>
      <c r="AK407">
        <v>0</v>
      </c>
      <c r="AL407">
        <v>0</v>
      </c>
      <c r="AM407">
        <v>0</v>
      </c>
      <c r="AN407">
        <v>0</v>
      </c>
      <c r="AO407">
        <v>0</v>
      </c>
      <c r="AP407">
        <v>0</v>
      </c>
      <c r="AQ407">
        <v>0</v>
      </c>
      <c r="AR407">
        <v>0</v>
      </c>
      <c r="AS407">
        <v>0</v>
      </c>
      <c r="AT407">
        <v>0</v>
      </c>
      <c r="AU407">
        <v>0</v>
      </c>
      <c r="AV407">
        <v>0</v>
      </c>
      <c r="AW407">
        <v>0</v>
      </c>
      <c r="AX407">
        <v>0</v>
      </c>
      <c r="AY407">
        <v>0</v>
      </c>
      <c r="AZ407">
        <v>0</v>
      </c>
      <c r="BA407">
        <v>0</v>
      </c>
      <c r="BB407">
        <v>0</v>
      </c>
      <c r="BC407">
        <v>0</v>
      </c>
      <c r="BD407">
        <v>0</v>
      </c>
      <c r="BE407">
        <v>0</v>
      </c>
      <c r="BF407">
        <v>0</v>
      </c>
      <c r="BG407">
        <v>0</v>
      </c>
      <c r="BH407">
        <v>0</v>
      </c>
      <c r="BI407">
        <v>0</v>
      </c>
      <c r="BJ407">
        <v>0</v>
      </c>
      <c r="BK407">
        <v>0</v>
      </c>
      <c r="BL407">
        <v>1</v>
      </c>
      <c r="BM407">
        <v>0</v>
      </c>
      <c r="BN407">
        <v>0</v>
      </c>
      <c r="BO407">
        <v>0</v>
      </c>
      <c r="BP407">
        <v>0</v>
      </c>
      <c r="BQ407">
        <v>0</v>
      </c>
      <c r="BR407">
        <v>0</v>
      </c>
      <c r="BS407">
        <v>0</v>
      </c>
    </row>
    <row r="408" spans="1:71" x14ac:dyDescent="0.3">
      <c r="A408" t="s">
        <v>1843</v>
      </c>
      <c r="B408" t="s">
        <v>1844</v>
      </c>
      <c r="C408" t="s">
        <v>29</v>
      </c>
      <c r="D408" t="s">
        <v>29</v>
      </c>
      <c r="E408" t="s">
        <v>1845</v>
      </c>
      <c r="F408" t="s">
        <v>1846</v>
      </c>
      <c r="G408">
        <v>2011</v>
      </c>
      <c r="H408">
        <v>2011</v>
      </c>
      <c r="I408">
        <v>5</v>
      </c>
      <c r="J408" t="s">
        <v>29</v>
      </c>
      <c r="K408">
        <v>1</v>
      </c>
      <c r="L408" t="s">
        <v>29</v>
      </c>
      <c r="M408" t="s">
        <v>29</v>
      </c>
      <c r="N408">
        <v>185</v>
      </c>
      <c r="O408" t="s">
        <v>49</v>
      </c>
      <c r="P408" t="s">
        <v>29</v>
      </c>
      <c r="Q408" t="s">
        <v>29</v>
      </c>
      <c r="R408" t="s">
        <v>1847</v>
      </c>
      <c r="S408" t="s">
        <v>1848</v>
      </c>
      <c r="T408">
        <v>1</v>
      </c>
      <c r="U408">
        <v>7.0000000000000007E-2</v>
      </c>
      <c r="V408">
        <v>0</v>
      </c>
      <c r="W408">
        <v>0</v>
      </c>
      <c r="X408">
        <v>0</v>
      </c>
      <c r="Y408">
        <v>0</v>
      </c>
      <c r="Z408">
        <v>0</v>
      </c>
      <c r="AA408">
        <v>0</v>
      </c>
      <c r="AB408">
        <v>0</v>
      </c>
      <c r="AC408">
        <v>0</v>
      </c>
      <c r="AD408">
        <v>0</v>
      </c>
      <c r="AE408">
        <v>0</v>
      </c>
      <c r="AF408">
        <v>0</v>
      </c>
      <c r="AG408">
        <v>0</v>
      </c>
      <c r="AH408">
        <v>0</v>
      </c>
      <c r="AI408">
        <v>0</v>
      </c>
      <c r="AJ408">
        <v>0</v>
      </c>
      <c r="AK408">
        <v>0</v>
      </c>
      <c r="AL408">
        <v>0</v>
      </c>
      <c r="AM408">
        <v>0</v>
      </c>
      <c r="AN408">
        <v>0</v>
      </c>
      <c r="AO408">
        <v>0</v>
      </c>
      <c r="AP408">
        <v>0</v>
      </c>
      <c r="AQ408">
        <v>0</v>
      </c>
      <c r="AR408">
        <v>0</v>
      </c>
      <c r="AS408">
        <v>0</v>
      </c>
      <c r="AT408">
        <v>0</v>
      </c>
      <c r="AU408">
        <v>0</v>
      </c>
      <c r="AV408">
        <v>0</v>
      </c>
      <c r="AW408">
        <v>0</v>
      </c>
      <c r="AX408">
        <v>0</v>
      </c>
      <c r="AY408">
        <v>0</v>
      </c>
      <c r="AZ408">
        <v>0</v>
      </c>
      <c r="BA408">
        <v>0</v>
      </c>
      <c r="BB408">
        <v>0</v>
      </c>
      <c r="BC408">
        <v>0</v>
      </c>
      <c r="BD408">
        <v>0</v>
      </c>
      <c r="BE408">
        <v>0</v>
      </c>
      <c r="BF408">
        <v>0</v>
      </c>
      <c r="BG408">
        <v>0</v>
      </c>
      <c r="BH408">
        <v>0</v>
      </c>
      <c r="BI408">
        <v>0</v>
      </c>
      <c r="BJ408">
        <v>0</v>
      </c>
      <c r="BK408">
        <v>0</v>
      </c>
      <c r="BL408">
        <v>0</v>
      </c>
      <c r="BM408">
        <v>0</v>
      </c>
      <c r="BN408">
        <v>0</v>
      </c>
      <c r="BO408">
        <v>0</v>
      </c>
      <c r="BP408">
        <v>1</v>
      </c>
      <c r="BQ408">
        <v>0</v>
      </c>
      <c r="BR408">
        <v>0</v>
      </c>
      <c r="BS408">
        <v>0</v>
      </c>
    </row>
    <row r="409" spans="1:71" x14ac:dyDescent="0.3">
      <c r="A409" t="s">
        <v>1849</v>
      </c>
      <c r="B409" t="s">
        <v>1850</v>
      </c>
      <c r="C409" t="s">
        <v>29</v>
      </c>
      <c r="D409" t="s">
        <v>29</v>
      </c>
      <c r="E409" t="s">
        <v>1845</v>
      </c>
      <c r="F409" t="s">
        <v>1851</v>
      </c>
      <c r="G409">
        <v>2011</v>
      </c>
      <c r="H409">
        <v>2011</v>
      </c>
      <c r="I409">
        <v>10</v>
      </c>
      <c r="J409" t="s">
        <v>29</v>
      </c>
      <c r="K409" t="s">
        <v>29</v>
      </c>
      <c r="L409" t="s">
        <v>29</v>
      </c>
      <c r="M409" t="s">
        <v>29</v>
      </c>
      <c r="N409">
        <v>231</v>
      </c>
      <c r="O409">
        <v>234</v>
      </c>
      <c r="P409" t="s">
        <v>29</v>
      </c>
      <c r="Q409" t="s">
        <v>29</v>
      </c>
      <c r="R409" t="s">
        <v>1852</v>
      </c>
      <c r="S409" t="s">
        <v>1853</v>
      </c>
      <c r="T409">
        <v>1</v>
      </c>
      <c r="U409">
        <v>7.0000000000000007E-2</v>
      </c>
      <c r="V409">
        <v>0</v>
      </c>
      <c r="W409">
        <v>0</v>
      </c>
      <c r="X409">
        <v>0</v>
      </c>
      <c r="Y409">
        <v>0</v>
      </c>
      <c r="Z409">
        <v>0</v>
      </c>
      <c r="AA409">
        <v>0</v>
      </c>
      <c r="AB409">
        <v>0</v>
      </c>
      <c r="AC409">
        <v>0</v>
      </c>
      <c r="AD409">
        <v>0</v>
      </c>
      <c r="AE409">
        <v>0</v>
      </c>
      <c r="AF409">
        <v>0</v>
      </c>
      <c r="AG409">
        <v>0</v>
      </c>
      <c r="AH409">
        <v>0</v>
      </c>
      <c r="AI409">
        <v>0</v>
      </c>
      <c r="AJ409">
        <v>0</v>
      </c>
      <c r="AK409">
        <v>0</v>
      </c>
      <c r="AL409">
        <v>0</v>
      </c>
      <c r="AM409">
        <v>0</v>
      </c>
      <c r="AN409">
        <v>0</v>
      </c>
      <c r="AO409">
        <v>0</v>
      </c>
      <c r="AP409">
        <v>0</v>
      </c>
      <c r="AQ409">
        <v>0</v>
      </c>
      <c r="AR409">
        <v>0</v>
      </c>
      <c r="AS409">
        <v>0</v>
      </c>
      <c r="AT409">
        <v>0</v>
      </c>
      <c r="AU409">
        <v>0</v>
      </c>
      <c r="AV409">
        <v>0</v>
      </c>
      <c r="AW409">
        <v>0</v>
      </c>
      <c r="AX409">
        <v>0</v>
      </c>
      <c r="AY409">
        <v>0</v>
      </c>
      <c r="AZ409">
        <v>0</v>
      </c>
      <c r="BA409">
        <v>0</v>
      </c>
      <c r="BB409">
        <v>0</v>
      </c>
      <c r="BC409">
        <v>0</v>
      </c>
      <c r="BD409">
        <v>0</v>
      </c>
      <c r="BE409">
        <v>0</v>
      </c>
      <c r="BF409">
        <v>0</v>
      </c>
      <c r="BG409">
        <v>0</v>
      </c>
      <c r="BH409">
        <v>0</v>
      </c>
      <c r="BI409">
        <v>0</v>
      </c>
      <c r="BJ409">
        <v>0</v>
      </c>
      <c r="BK409">
        <v>1</v>
      </c>
      <c r="BL409">
        <v>0</v>
      </c>
      <c r="BM409">
        <v>0</v>
      </c>
      <c r="BN409">
        <v>0</v>
      </c>
      <c r="BO409">
        <v>0</v>
      </c>
      <c r="BP409">
        <v>0</v>
      </c>
      <c r="BQ409">
        <v>0</v>
      </c>
      <c r="BR409">
        <v>0</v>
      </c>
      <c r="BS409">
        <v>0</v>
      </c>
    </row>
    <row r="410" spans="1:71" x14ac:dyDescent="0.3">
      <c r="A410" t="s">
        <v>1854</v>
      </c>
      <c r="B410" t="s">
        <v>1855</v>
      </c>
      <c r="C410" t="s">
        <v>29</v>
      </c>
      <c r="D410" t="s">
        <v>29</v>
      </c>
      <c r="E410" t="s">
        <v>29</v>
      </c>
      <c r="F410" t="s">
        <v>1856</v>
      </c>
      <c r="G410" t="s">
        <v>1857</v>
      </c>
      <c r="H410">
        <v>2008</v>
      </c>
      <c r="I410">
        <v>3</v>
      </c>
      <c r="J410">
        <v>2</v>
      </c>
      <c r="K410" t="s">
        <v>29</v>
      </c>
      <c r="L410" t="s">
        <v>29</v>
      </c>
      <c r="M410" t="s">
        <v>29</v>
      </c>
      <c r="N410">
        <v>59</v>
      </c>
      <c r="O410">
        <v>68</v>
      </c>
      <c r="P410" t="s">
        <v>29</v>
      </c>
      <c r="Q410" t="s">
        <v>1858</v>
      </c>
      <c r="R410" t="s">
        <v>1859</v>
      </c>
      <c r="S410" t="s">
        <v>1860</v>
      </c>
      <c r="T410">
        <v>1</v>
      </c>
      <c r="U410">
        <v>0.06</v>
      </c>
      <c r="V410">
        <v>0</v>
      </c>
      <c r="W410">
        <v>0</v>
      </c>
      <c r="X410">
        <v>0</v>
      </c>
      <c r="Y410">
        <v>0</v>
      </c>
      <c r="Z410">
        <v>0</v>
      </c>
      <c r="AA410">
        <v>0</v>
      </c>
      <c r="AB410">
        <v>0</v>
      </c>
      <c r="AC410">
        <v>0</v>
      </c>
      <c r="AD410">
        <v>0</v>
      </c>
      <c r="AE410">
        <v>0</v>
      </c>
      <c r="AF410">
        <v>0</v>
      </c>
      <c r="AG410">
        <v>0</v>
      </c>
      <c r="AH410">
        <v>0</v>
      </c>
      <c r="AI410">
        <v>0</v>
      </c>
      <c r="AJ410">
        <v>0</v>
      </c>
      <c r="AK410">
        <v>0</v>
      </c>
      <c r="AL410">
        <v>0</v>
      </c>
      <c r="AM410">
        <v>0</v>
      </c>
      <c r="AN410">
        <v>0</v>
      </c>
      <c r="AO410">
        <v>0</v>
      </c>
      <c r="AP410">
        <v>0</v>
      </c>
      <c r="AQ410">
        <v>0</v>
      </c>
      <c r="AR410">
        <v>0</v>
      </c>
      <c r="AS410">
        <v>0</v>
      </c>
      <c r="AT410">
        <v>0</v>
      </c>
      <c r="AU410">
        <v>0</v>
      </c>
      <c r="AV410">
        <v>0</v>
      </c>
      <c r="AW410">
        <v>0</v>
      </c>
      <c r="AX410">
        <v>0</v>
      </c>
      <c r="AY410">
        <v>0</v>
      </c>
      <c r="AZ410">
        <v>0</v>
      </c>
      <c r="BA410">
        <v>0</v>
      </c>
      <c r="BB410">
        <v>0</v>
      </c>
      <c r="BC410">
        <v>0</v>
      </c>
      <c r="BD410">
        <v>1</v>
      </c>
      <c r="BE410">
        <v>0</v>
      </c>
      <c r="BF410">
        <v>0</v>
      </c>
      <c r="BG410">
        <v>0</v>
      </c>
      <c r="BH410">
        <v>0</v>
      </c>
      <c r="BI410">
        <v>0</v>
      </c>
      <c r="BJ410">
        <v>0</v>
      </c>
      <c r="BK410">
        <v>0</v>
      </c>
      <c r="BL410">
        <v>0</v>
      </c>
      <c r="BM410">
        <v>0</v>
      </c>
      <c r="BN410">
        <v>0</v>
      </c>
      <c r="BO410">
        <v>0</v>
      </c>
      <c r="BP410">
        <v>0</v>
      </c>
      <c r="BQ410">
        <v>0</v>
      </c>
      <c r="BR410">
        <v>0</v>
      </c>
      <c r="BS410">
        <v>0</v>
      </c>
    </row>
    <row r="411" spans="1:71" x14ac:dyDescent="0.3">
      <c r="A411" t="s">
        <v>1861</v>
      </c>
      <c r="B411" t="s">
        <v>1862</v>
      </c>
      <c r="C411" t="s">
        <v>29</v>
      </c>
      <c r="D411" t="s">
        <v>29</v>
      </c>
      <c r="E411" t="s">
        <v>1863</v>
      </c>
      <c r="F411" t="s">
        <v>1864</v>
      </c>
      <c r="G411">
        <v>2006</v>
      </c>
      <c r="H411">
        <v>2006</v>
      </c>
      <c r="I411">
        <v>208</v>
      </c>
      <c r="J411" t="s">
        <v>29</v>
      </c>
      <c r="K411" t="s">
        <v>29</v>
      </c>
      <c r="L411" t="s">
        <v>29</v>
      </c>
      <c r="M411" t="s">
        <v>29</v>
      </c>
      <c r="N411">
        <v>185</v>
      </c>
      <c r="O411" t="s">
        <v>49</v>
      </c>
      <c r="P411" t="s">
        <v>29</v>
      </c>
      <c r="Q411" t="s">
        <v>29</v>
      </c>
      <c r="R411" t="s">
        <v>1865</v>
      </c>
      <c r="S411" t="s">
        <v>1866</v>
      </c>
      <c r="T411">
        <v>1</v>
      </c>
      <c r="U411">
        <v>0.05</v>
      </c>
      <c r="V411">
        <v>0</v>
      </c>
      <c r="W411">
        <v>0</v>
      </c>
      <c r="X411">
        <v>0</v>
      </c>
      <c r="Y411">
        <v>0</v>
      </c>
      <c r="Z411">
        <v>0</v>
      </c>
      <c r="AA411">
        <v>0</v>
      </c>
      <c r="AB411">
        <v>0</v>
      </c>
      <c r="AC411">
        <v>0</v>
      </c>
      <c r="AD411">
        <v>0</v>
      </c>
      <c r="AE411">
        <v>0</v>
      </c>
      <c r="AF411">
        <v>0</v>
      </c>
      <c r="AG411">
        <v>0</v>
      </c>
      <c r="AH411">
        <v>0</v>
      </c>
      <c r="AI411">
        <v>0</v>
      </c>
      <c r="AJ411">
        <v>0</v>
      </c>
      <c r="AK411">
        <v>0</v>
      </c>
      <c r="AL411">
        <v>0</v>
      </c>
      <c r="AM411">
        <v>0</v>
      </c>
      <c r="AN411">
        <v>0</v>
      </c>
      <c r="AO411">
        <v>0</v>
      </c>
      <c r="AP411">
        <v>0</v>
      </c>
      <c r="AQ411">
        <v>0</v>
      </c>
      <c r="AR411">
        <v>0</v>
      </c>
      <c r="AS411">
        <v>0</v>
      </c>
      <c r="AT411">
        <v>0</v>
      </c>
      <c r="AU411">
        <v>0</v>
      </c>
      <c r="AV411">
        <v>0</v>
      </c>
      <c r="AW411">
        <v>0</v>
      </c>
      <c r="AX411">
        <v>0</v>
      </c>
      <c r="AY411">
        <v>0</v>
      </c>
      <c r="AZ411">
        <v>0</v>
      </c>
      <c r="BA411">
        <v>0</v>
      </c>
      <c r="BB411">
        <v>0</v>
      </c>
      <c r="BC411">
        <v>0</v>
      </c>
      <c r="BD411">
        <v>0</v>
      </c>
      <c r="BE411">
        <v>0</v>
      </c>
      <c r="BF411">
        <v>0</v>
      </c>
      <c r="BG411">
        <v>0</v>
      </c>
      <c r="BH411">
        <v>0</v>
      </c>
      <c r="BI411">
        <v>0</v>
      </c>
      <c r="BJ411">
        <v>0</v>
      </c>
      <c r="BK411">
        <v>0</v>
      </c>
      <c r="BL411">
        <v>0</v>
      </c>
      <c r="BM411">
        <v>0</v>
      </c>
      <c r="BN411">
        <v>0</v>
      </c>
      <c r="BO411">
        <v>0</v>
      </c>
      <c r="BP411">
        <v>0</v>
      </c>
      <c r="BQ411">
        <v>0</v>
      </c>
      <c r="BR411">
        <v>1</v>
      </c>
      <c r="BS411">
        <v>0</v>
      </c>
    </row>
    <row r="412" spans="1:71" x14ac:dyDescent="0.3">
      <c r="A412" t="s">
        <v>1867</v>
      </c>
      <c r="B412" t="s">
        <v>1868</v>
      </c>
      <c r="C412" t="s">
        <v>29</v>
      </c>
      <c r="D412" t="s">
        <v>29</v>
      </c>
      <c r="E412" t="s">
        <v>29</v>
      </c>
      <c r="F412" t="s">
        <v>1869</v>
      </c>
      <c r="G412" t="s">
        <v>1870</v>
      </c>
      <c r="H412">
        <v>1999</v>
      </c>
      <c r="I412">
        <v>54</v>
      </c>
      <c r="J412">
        <v>1</v>
      </c>
      <c r="K412" t="s">
        <v>29</v>
      </c>
      <c r="L412" t="s">
        <v>29</v>
      </c>
      <c r="M412" t="s">
        <v>29</v>
      </c>
      <c r="N412">
        <v>51</v>
      </c>
      <c r="O412">
        <v>79</v>
      </c>
      <c r="P412" t="s">
        <v>29</v>
      </c>
      <c r="Q412" t="s">
        <v>1871</v>
      </c>
      <c r="R412" t="s">
        <v>29</v>
      </c>
      <c r="S412" t="s">
        <v>29</v>
      </c>
      <c r="T412">
        <v>1</v>
      </c>
      <c r="U412">
        <v>0.04</v>
      </c>
      <c r="V412">
        <v>0</v>
      </c>
      <c r="W412">
        <v>0</v>
      </c>
      <c r="X412">
        <v>0</v>
      </c>
      <c r="Y412">
        <v>0</v>
      </c>
      <c r="Z412">
        <v>0</v>
      </c>
      <c r="AA412">
        <v>0</v>
      </c>
      <c r="AB412">
        <v>0</v>
      </c>
      <c r="AC412">
        <v>0</v>
      </c>
      <c r="AD412">
        <v>0</v>
      </c>
      <c r="AE412">
        <v>0</v>
      </c>
      <c r="AF412">
        <v>0</v>
      </c>
      <c r="AG412">
        <v>0</v>
      </c>
      <c r="AH412">
        <v>0</v>
      </c>
      <c r="AI412">
        <v>0</v>
      </c>
      <c r="AJ412">
        <v>0</v>
      </c>
      <c r="AK412">
        <v>0</v>
      </c>
      <c r="AL412">
        <v>0</v>
      </c>
      <c r="AM412">
        <v>0</v>
      </c>
      <c r="AN412">
        <v>0</v>
      </c>
      <c r="AO412">
        <v>0</v>
      </c>
      <c r="AP412">
        <v>0</v>
      </c>
      <c r="AQ412">
        <v>0</v>
      </c>
      <c r="AR412">
        <v>0</v>
      </c>
      <c r="AS412">
        <v>0</v>
      </c>
      <c r="AT412">
        <v>0</v>
      </c>
      <c r="AU412">
        <v>1</v>
      </c>
      <c r="AV412">
        <v>0</v>
      </c>
      <c r="AW412">
        <v>0</v>
      </c>
      <c r="AX412">
        <v>0</v>
      </c>
      <c r="AY412">
        <v>0</v>
      </c>
      <c r="AZ412">
        <v>0</v>
      </c>
      <c r="BA412">
        <v>0</v>
      </c>
      <c r="BB412">
        <v>0</v>
      </c>
      <c r="BC412">
        <v>0</v>
      </c>
      <c r="BD412">
        <v>0</v>
      </c>
      <c r="BE412">
        <v>0</v>
      </c>
      <c r="BF412">
        <v>0</v>
      </c>
      <c r="BG412">
        <v>0</v>
      </c>
      <c r="BH412">
        <v>0</v>
      </c>
      <c r="BI412">
        <v>0</v>
      </c>
      <c r="BJ412">
        <v>0</v>
      </c>
      <c r="BK412">
        <v>0</v>
      </c>
      <c r="BL412">
        <v>0</v>
      </c>
      <c r="BM412">
        <v>0</v>
      </c>
      <c r="BN412">
        <v>0</v>
      </c>
      <c r="BO412">
        <v>0</v>
      </c>
      <c r="BP412">
        <v>0</v>
      </c>
      <c r="BQ412">
        <v>0</v>
      </c>
      <c r="BR412">
        <v>0</v>
      </c>
      <c r="BS412">
        <v>0</v>
      </c>
    </row>
    <row r="413" spans="1:71" x14ac:dyDescent="0.3">
      <c r="A413" t="s">
        <v>1872</v>
      </c>
      <c r="B413" t="s">
        <v>1873</v>
      </c>
      <c r="C413" t="s">
        <v>29</v>
      </c>
      <c r="D413" t="s">
        <v>29</v>
      </c>
      <c r="E413" t="s">
        <v>29</v>
      </c>
      <c r="F413" t="s">
        <v>1874</v>
      </c>
      <c r="G413" t="s">
        <v>1875</v>
      </c>
      <c r="H413">
        <v>1999</v>
      </c>
      <c r="I413">
        <v>63</v>
      </c>
      <c r="J413">
        <v>1</v>
      </c>
      <c r="K413" t="s">
        <v>29</v>
      </c>
      <c r="L413" t="s">
        <v>29</v>
      </c>
      <c r="M413" t="s">
        <v>29</v>
      </c>
      <c r="N413">
        <v>111</v>
      </c>
      <c r="O413">
        <v>118</v>
      </c>
      <c r="P413" t="s">
        <v>29</v>
      </c>
      <c r="Q413" t="s">
        <v>1876</v>
      </c>
      <c r="R413" t="s">
        <v>29</v>
      </c>
      <c r="S413" t="s">
        <v>29</v>
      </c>
      <c r="T413">
        <v>1</v>
      </c>
      <c r="U413">
        <v>0.04</v>
      </c>
      <c r="V413">
        <v>0</v>
      </c>
      <c r="W413">
        <v>0</v>
      </c>
      <c r="X413">
        <v>0</v>
      </c>
      <c r="Y413">
        <v>0</v>
      </c>
      <c r="Z413">
        <v>0</v>
      </c>
      <c r="AA413">
        <v>0</v>
      </c>
      <c r="AB413">
        <v>0</v>
      </c>
      <c r="AC413">
        <v>0</v>
      </c>
      <c r="AD413">
        <v>0</v>
      </c>
      <c r="AE413">
        <v>0</v>
      </c>
      <c r="AF413">
        <v>0</v>
      </c>
      <c r="AG413">
        <v>0</v>
      </c>
      <c r="AH413">
        <v>0</v>
      </c>
      <c r="AI413">
        <v>0</v>
      </c>
      <c r="AJ413">
        <v>0</v>
      </c>
      <c r="AK413">
        <v>0</v>
      </c>
      <c r="AL413">
        <v>0</v>
      </c>
      <c r="AM413">
        <v>0</v>
      </c>
      <c r="AN413">
        <v>0</v>
      </c>
      <c r="AO413">
        <v>0</v>
      </c>
      <c r="AP413">
        <v>0</v>
      </c>
      <c r="AQ413">
        <v>0</v>
      </c>
      <c r="AR413">
        <v>0</v>
      </c>
      <c r="AS413">
        <v>0</v>
      </c>
      <c r="AT413">
        <v>0</v>
      </c>
      <c r="AU413">
        <v>0</v>
      </c>
      <c r="AV413">
        <v>0</v>
      </c>
      <c r="AW413">
        <v>0</v>
      </c>
      <c r="AX413">
        <v>0</v>
      </c>
      <c r="AY413">
        <v>0</v>
      </c>
      <c r="AZ413">
        <v>0</v>
      </c>
      <c r="BA413">
        <v>0</v>
      </c>
      <c r="BB413">
        <v>0</v>
      </c>
      <c r="BC413">
        <v>0</v>
      </c>
      <c r="BD413">
        <v>0</v>
      </c>
      <c r="BE413">
        <v>0</v>
      </c>
      <c r="BF413">
        <v>0</v>
      </c>
      <c r="BG413">
        <v>0</v>
      </c>
      <c r="BH413">
        <v>0</v>
      </c>
      <c r="BI413">
        <v>0</v>
      </c>
      <c r="BJ413">
        <v>0</v>
      </c>
      <c r="BK413">
        <v>1</v>
      </c>
      <c r="BL413">
        <v>0</v>
      </c>
      <c r="BM413">
        <v>0</v>
      </c>
      <c r="BN413">
        <v>0</v>
      </c>
      <c r="BO413">
        <v>0</v>
      </c>
      <c r="BP413">
        <v>0</v>
      </c>
      <c r="BQ413">
        <v>0</v>
      </c>
      <c r="BR413">
        <v>0</v>
      </c>
      <c r="BS413">
        <v>0</v>
      </c>
    </row>
    <row r="414" spans="1:71" x14ac:dyDescent="0.3">
      <c r="A414" t="s">
        <v>1877</v>
      </c>
      <c r="B414" t="s">
        <v>1878</v>
      </c>
      <c r="C414" t="s">
        <v>29</v>
      </c>
      <c r="D414" t="s">
        <v>29</v>
      </c>
      <c r="E414" t="s">
        <v>29</v>
      </c>
      <c r="F414" t="s">
        <v>1879</v>
      </c>
      <c r="G414" t="s">
        <v>1880</v>
      </c>
      <c r="H414">
        <v>1998</v>
      </c>
      <c r="I414">
        <v>18</v>
      </c>
      <c r="J414">
        <v>4</v>
      </c>
      <c r="K414" t="s">
        <v>29</v>
      </c>
      <c r="L414" t="s">
        <v>29</v>
      </c>
      <c r="M414" t="s">
        <v>29</v>
      </c>
      <c r="N414">
        <v>305</v>
      </c>
      <c r="O414">
        <v>317</v>
      </c>
      <c r="P414" t="s">
        <v>29</v>
      </c>
      <c r="Q414" t="s">
        <v>1881</v>
      </c>
      <c r="R414" t="s">
        <v>29</v>
      </c>
      <c r="S414" t="s">
        <v>29</v>
      </c>
      <c r="T414">
        <v>1</v>
      </c>
      <c r="U414">
        <v>0.04</v>
      </c>
      <c r="V414">
        <v>0</v>
      </c>
      <c r="W414">
        <v>0</v>
      </c>
      <c r="X414">
        <v>0</v>
      </c>
      <c r="Y414">
        <v>0</v>
      </c>
      <c r="Z414">
        <v>0</v>
      </c>
      <c r="AA414">
        <v>0</v>
      </c>
      <c r="AB414">
        <v>0</v>
      </c>
      <c r="AC414">
        <v>0</v>
      </c>
      <c r="AD414">
        <v>0</v>
      </c>
      <c r="AE414">
        <v>0</v>
      </c>
      <c r="AF414">
        <v>0</v>
      </c>
      <c r="AG414">
        <v>0</v>
      </c>
      <c r="AH414">
        <v>0</v>
      </c>
      <c r="AI414">
        <v>0</v>
      </c>
      <c r="AJ414">
        <v>0</v>
      </c>
      <c r="AK414">
        <v>0</v>
      </c>
      <c r="AL414">
        <v>0</v>
      </c>
      <c r="AM414">
        <v>0</v>
      </c>
      <c r="AN414">
        <v>0</v>
      </c>
      <c r="AO414">
        <v>0</v>
      </c>
      <c r="AP414">
        <v>0</v>
      </c>
      <c r="AQ414">
        <v>0</v>
      </c>
      <c r="AR414">
        <v>0</v>
      </c>
      <c r="AS414">
        <v>0</v>
      </c>
      <c r="AT414">
        <v>0</v>
      </c>
      <c r="AU414">
        <v>0</v>
      </c>
      <c r="AV414">
        <v>0</v>
      </c>
      <c r="AW414">
        <v>0</v>
      </c>
      <c r="AX414">
        <v>1</v>
      </c>
      <c r="AY414">
        <v>0</v>
      </c>
      <c r="AZ414">
        <v>0</v>
      </c>
      <c r="BA414">
        <v>0</v>
      </c>
      <c r="BB414">
        <v>0</v>
      </c>
      <c r="BC414">
        <v>0</v>
      </c>
      <c r="BD414">
        <v>0</v>
      </c>
      <c r="BE414">
        <v>0</v>
      </c>
      <c r="BF414">
        <v>0</v>
      </c>
      <c r="BG414">
        <v>0</v>
      </c>
      <c r="BH414">
        <v>0</v>
      </c>
      <c r="BI414">
        <v>0</v>
      </c>
      <c r="BJ414">
        <v>0</v>
      </c>
      <c r="BK414">
        <v>0</v>
      </c>
      <c r="BL414">
        <v>0</v>
      </c>
      <c r="BM414">
        <v>0</v>
      </c>
      <c r="BN414">
        <v>0</v>
      </c>
      <c r="BO414">
        <v>0</v>
      </c>
      <c r="BP414">
        <v>0</v>
      </c>
      <c r="BQ414">
        <v>0</v>
      </c>
      <c r="BR414">
        <v>0</v>
      </c>
      <c r="BS414">
        <v>0</v>
      </c>
    </row>
    <row r="415" spans="1:71" x14ac:dyDescent="0.3">
      <c r="A415" t="s">
        <v>1882</v>
      </c>
      <c r="B415" t="s">
        <v>1883</v>
      </c>
      <c r="C415" t="s">
        <v>29</v>
      </c>
      <c r="D415" t="s">
        <v>29</v>
      </c>
      <c r="E415" t="s">
        <v>29</v>
      </c>
      <c r="F415" t="s">
        <v>1292</v>
      </c>
      <c r="G415" t="s">
        <v>1884</v>
      </c>
      <c r="H415">
        <v>2024</v>
      </c>
      <c r="I415">
        <v>12</v>
      </c>
      <c r="J415">
        <v>1</v>
      </c>
      <c r="K415" t="s">
        <v>29</v>
      </c>
      <c r="L415" t="s">
        <v>29</v>
      </c>
      <c r="M415" t="s">
        <v>29</v>
      </c>
      <c r="N415" t="s">
        <v>29</v>
      </c>
      <c r="O415" t="s">
        <v>29</v>
      </c>
      <c r="P415">
        <v>2382350</v>
      </c>
      <c r="Q415" t="s">
        <v>1885</v>
      </c>
      <c r="R415" t="s">
        <v>29</v>
      </c>
      <c r="S415" t="s">
        <v>29</v>
      </c>
      <c r="T415">
        <v>0</v>
      </c>
      <c r="U415">
        <v>0</v>
      </c>
      <c r="V415">
        <v>0</v>
      </c>
      <c r="W415">
        <v>0</v>
      </c>
      <c r="X415">
        <v>0</v>
      </c>
      <c r="Y415">
        <v>0</v>
      </c>
      <c r="Z415">
        <v>0</v>
      </c>
      <c r="AA415">
        <v>0</v>
      </c>
      <c r="AB415">
        <v>0</v>
      </c>
      <c r="AC415">
        <v>0</v>
      </c>
      <c r="AD415">
        <v>0</v>
      </c>
      <c r="AE415">
        <v>0</v>
      </c>
      <c r="AF415">
        <v>0</v>
      </c>
      <c r="AG415">
        <v>0</v>
      </c>
      <c r="AH415">
        <v>0</v>
      </c>
      <c r="AI415">
        <v>0</v>
      </c>
      <c r="AJ415">
        <v>0</v>
      </c>
      <c r="AK415">
        <v>0</v>
      </c>
      <c r="AL415">
        <v>0</v>
      </c>
      <c r="AM415">
        <v>0</v>
      </c>
      <c r="AN415">
        <v>0</v>
      </c>
      <c r="AO415">
        <v>0</v>
      </c>
      <c r="AP415">
        <v>0</v>
      </c>
      <c r="AQ415">
        <v>0</v>
      </c>
      <c r="AR415">
        <v>0</v>
      </c>
      <c r="AS415">
        <v>0</v>
      </c>
      <c r="AT415">
        <v>0</v>
      </c>
      <c r="AU415">
        <v>0</v>
      </c>
      <c r="AV415">
        <v>0</v>
      </c>
      <c r="AW415">
        <v>0</v>
      </c>
      <c r="AX415">
        <v>0</v>
      </c>
      <c r="AY415">
        <v>0</v>
      </c>
      <c r="AZ415">
        <v>0</v>
      </c>
      <c r="BA415">
        <v>0</v>
      </c>
      <c r="BB415">
        <v>0</v>
      </c>
      <c r="BC415">
        <v>0</v>
      </c>
      <c r="BD415">
        <v>0</v>
      </c>
      <c r="BE415">
        <v>0</v>
      </c>
      <c r="BF415">
        <v>0</v>
      </c>
      <c r="BG415">
        <v>0</v>
      </c>
      <c r="BH415">
        <v>0</v>
      </c>
      <c r="BI415">
        <v>0</v>
      </c>
      <c r="BJ415">
        <v>0</v>
      </c>
      <c r="BK415">
        <v>0</v>
      </c>
      <c r="BL415">
        <v>0</v>
      </c>
      <c r="BM415">
        <v>0</v>
      </c>
      <c r="BN415">
        <v>0</v>
      </c>
      <c r="BO415">
        <v>0</v>
      </c>
      <c r="BP415">
        <v>0</v>
      </c>
      <c r="BQ415">
        <v>0</v>
      </c>
      <c r="BR415">
        <v>0</v>
      </c>
      <c r="BS415">
        <v>0</v>
      </c>
    </row>
    <row r="416" spans="1:71" x14ac:dyDescent="0.3">
      <c r="A416" t="s">
        <v>1886</v>
      </c>
      <c r="B416" t="s">
        <v>1887</v>
      </c>
      <c r="C416" t="s">
        <v>29</v>
      </c>
      <c r="D416" t="s">
        <v>29</v>
      </c>
      <c r="E416" t="s">
        <v>29</v>
      </c>
      <c r="F416" t="s">
        <v>1888</v>
      </c>
      <c r="G416" t="s">
        <v>1884</v>
      </c>
      <c r="H416">
        <v>2024</v>
      </c>
      <c r="I416">
        <v>11</v>
      </c>
      <c r="J416">
        <v>1</v>
      </c>
      <c r="K416" t="s">
        <v>29</v>
      </c>
      <c r="L416" t="s">
        <v>29</v>
      </c>
      <c r="M416" t="s">
        <v>29</v>
      </c>
      <c r="N416" t="s">
        <v>29</v>
      </c>
      <c r="O416" t="s">
        <v>29</v>
      </c>
      <c r="P416">
        <v>2344189</v>
      </c>
      <c r="Q416" t="s">
        <v>1889</v>
      </c>
      <c r="R416" t="s">
        <v>29</v>
      </c>
      <c r="S416" t="s">
        <v>29</v>
      </c>
      <c r="T416">
        <v>0</v>
      </c>
      <c r="U416">
        <v>0</v>
      </c>
      <c r="V416">
        <v>0</v>
      </c>
      <c r="W416">
        <v>0</v>
      </c>
      <c r="X416">
        <v>0</v>
      </c>
      <c r="Y416">
        <v>0</v>
      </c>
      <c r="Z416">
        <v>0</v>
      </c>
      <c r="AA416">
        <v>0</v>
      </c>
      <c r="AB416">
        <v>0</v>
      </c>
      <c r="AC416">
        <v>0</v>
      </c>
      <c r="AD416">
        <v>0</v>
      </c>
      <c r="AE416">
        <v>0</v>
      </c>
      <c r="AF416">
        <v>0</v>
      </c>
      <c r="AG416">
        <v>0</v>
      </c>
      <c r="AH416">
        <v>0</v>
      </c>
      <c r="AI416">
        <v>0</v>
      </c>
      <c r="AJ416">
        <v>0</v>
      </c>
      <c r="AK416">
        <v>0</v>
      </c>
      <c r="AL416">
        <v>0</v>
      </c>
      <c r="AM416">
        <v>0</v>
      </c>
      <c r="AN416">
        <v>0</v>
      </c>
      <c r="AO416">
        <v>0</v>
      </c>
      <c r="AP416">
        <v>0</v>
      </c>
      <c r="AQ416">
        <v>0</v>
      </c>
      <c r="AR416">
        <v>0</v>
      </c>
      <c r="AS416">
        <v>0</v>
      </c>
      <c r="AT416">
        <v>0</v>
      </c>
      <c r="AU416">
        <v>0</v>
      </c>
      <c r="AV416">
        <v>0</v>
      </c>
      <c r="AW416">
        <v>0</v>
      </c>
      <c r="AX416">
        <v>0</v>
      </c>
      <c r="AY416">
        <v>0</v>
      </c>
      <c r="AZ416">
        <v>0</v>
      </c>
      <c r="BA416">
        <v>0</v>
      </c>
      <c r="BB416">
        <v>0</v>
      </c>
      <c r="BC416">
        <v>0</v>
      </c>
      <c r="BD416">
        <v>0</v>
      </c>
      <c r="BE416">
        <v>0</v>
      </c>
      <c r="BF416">
        <v>0</v>
      </c>
      <c r="BG416">
        <v>0</v>
      </c>
      <c r="BH416">
        <v>0</v>
      </c>
      <c r="BI416">
        <v>0</v>
      </c>
      <c r="BJ416">
        <v>0</v>
      </c>
      <c r="BK416">
        <v>0</v>
      </c>
      <c r="BL416">
        <v>0</v>
      </c>
      <c r="BM416">
        <v>0</v>
      </c>
      <c r="BN416">
        <v>0</v>
      </c>
      <c r="BO416">
        <v>0</v>
      </c>
      <c r="BP416">
        <v>0</v>
      </c>
      <c r="BQ416">
        <v>0</v>
      </c>
      <c r="BR416">
        <v>0</v>
      </c>
      <c r="BS416">
        <v>0</v>
      </c>
    </row>
    <row r="417" spans="1:71" x14ac:dyDescent="0.3">
      <c r="A417" t="s">
        <v>1890</v>
      </c>
      <c r="B417" t="s">
        <v>1891</v>
      </c>
      <c r="C417" t="s">
        <v>29</v>
      </c>
      <c r="D417" t="s">
        <v>29</v>
      </c>
      <c r="E417" t="s">
        <v>29</v>
      </c>
      <c r="F417" t="s">
        <v>30</v>
      </c>
      <c r="G417" t="s">
        <v>1892</v>
      </c>
      <c r="H417">
        <v>2024</v>
      </c>
      <c r="I417">
        <v>91</v>
      </c>
      <c r="J417" t="s">
        <v>29</v>
      </c>
      <c r="K417" t="s">
        <v>29</v>
      </c>
      <c r="L417" t="s">
        <v>29</v>
      </c>
      <c r="M417" t="s">
        <v>29</v>
      </c>
      <c r="N417" t="s">
        <v>29</v>
      </c>
      <c r="O417" t="s">
        <v>29</v>
      </c>
      <c r="P417">
        <v>102650</v>
      </c>
      <c r="Q417" t="s">
        <v>1893</v>
      </c>
      <c r="R417" t="s">
        <v>29</v>
      </c>
      <c r="S417" t="s">
        <v>29</v>
      </c>
      <c r="T417">
        <v>0</v>
      </c>
      <c r="U417">
        <v>0</v>
      </c>
      <c r="V417">
        <v>0</v>
      </c>
      <c r="W417">
        <v>0</v>
      </c>
      <c r="X417">
        <v>0</v>
      </c>
      <c r="Y417">
        <v>0</v>
      </c>
      <c r="Z417">
        <v>0</v>
      </c>
      <c r="AA417">
        <v>0</v>
      </c>
      <c r="AB417">
        <v>0</v>
      </c>
      <c r="AC417">
        <v>0</v>
      </c>
      <c r="AD417">
        <v>0</v>
      </c>
      <c r="AE417">
        <v>0</v>
      </c>
      <c r="AF417">
        <v>0</v>
      </c>
      <c r="AG417">
        <v>0</v>
      </c>
      <c r="AH417">
        <v>0</v>
      </c>
      <c r="AI417">
        <v>0</v>
      </c>
      <c r="AJ417">
        <v>0</v>
      </c>
      <c r="AK417">
        <v>0</v>
      </c>
      <c r="AL417">
        <v>0</v>
      </c>
      <c r="AM417">
        <v>0</v>
      </c>
      <c r="AN417">
        <v>0</v>
      </c>
      <c r="AO417">
        <v>0</v>
      </c>
      <c r="AP417">
        <v>0</v>
      </c>
      <c r="AQ417">
        <v>0</v>
      </c>
      <c r="AR417">
        <v>0</v>
      </c>
      <c r="AS417">
        <v>0</v>
      </c>
      <c r="AT417">
        <v>0</v>
      </c>
      <c r="AU417">
        <v>0</v>
      </c>
      <c r="AV417">
        <v>0</v>
      </c>
      <c r="AW417">
        <v>0</v>
      </c>
      <c r="AX417">
        <v>0</v>
      </c>
      <c r="AY417">
        <v>0</v>
      </c>
      <c r="AZ417">
        <v>0</v>
      </c>
      <c r="BA417">
        <v>0</v>
      </c>
      <c r="BB417">
        <v>0</v>
      </c>
      <c r="BC417">
        <v>0</v>
      </c>
      <c r="BD417">
        <v>0</v>
      </c>
      <c r="BE417">
        <v>0</v>
      </c>
      <c r="BF417">
        <v>0</v>
      </c>
      <c r="BG417">
        <v>0</v>
      </c>
      <c r="BH417">
        <v>0</v>
      </c>
      <c r="BI417">
        <v>0</v>
      </c>
      <c r="BJ417">
        <v>0</v>
      </c>
      <c r="BK417">
        <v>0</v>
      </c>
      <c r="BL417">
        <v>0</v>
      </c>
      <c r="BM417">
        <v>0</v>
      </c>
      <c r="BN417">
        <v>0</v>
      </c>
      <c r="BO417">
        <v>0</v>
      </c>
      <c r="BP417">
        <v>0</v>
      </c>
      <c r="BQ417">
        <v>0</v>
      </c>
      <c r="BR417">
        <v>0</v>
      </c>
      <c r="BS417">
        <v>0</v>
      </c>
    </row>
    <row r="418" spans="1:71" x14ac:dyDescent="0.3">
      <c r="A418" t="s">
        <v>1894</v>
      </c>
      <c r="B418" t="s">
        <v>1895</v>
      </c>
      <c r="C418" t="s">
        <v>29</v>
      </c>
      <c r="D418" t="s">
        <v>29</v>
      </c>
      <c r="E418" t="s">
        <v>29</v>
      </c>
      <c r="F418" t="s">
        <v>1896</v>
      </c>
      <c r="G418" t="s">
        <v>29</v>
      </c>
      <c r="H418">
        <v>2024</v>
      </c>
      <c r="I418" t="s">
        <v>29</v>
      </c>
      <c r="J418" t="s">
        <v>29</v>
      </c>
      <c r="K418" t="s">
        <v>29</v>
      </c>
      <c r="L418" t="s">
        <v>29</v>
      </c>
      <c r="M418" t="s">
        <v>29</v>
      </c>
      <c r="N418" t="s">
        <v>29</v>
      </c>
      <c r="O418" t="s">
        <v>29</v>
      </c>
      <c r="P418" t="s">
        <v>29</v>
      </c>
      <c r="Q418" t="s">
        <v>1897</v>
      </c>
      <c r="R418" t="s">
        <v>29</v>
      </c>
      <c r="S418" t="s">
        <v>29</v>
      </c>
      <c r="T418">
        <v>0</v>
      </c>
      <c r="U418">
        <v>0</v>
      </c>
      <c r="V418">
        <v>0</v>
      </c>
      <c r="W418">
        <v>0</v>
      </c>
      <c r="X418">
        <v>0</v>
      </c>
      <c r="Y418">
        <v>0</v>
      </c>
      <c r="Z418">
        <v>0</v>
      </c>
      <c r="AA418">
        <v>0</v>
      </c>
      <c r="AB418">
        <v>0</v>
      </c>
      <c r="AC418">
        <v>0</v>
      </c>
      <c r="AD418">
        <v>0</v>
      </c>
      <c r="AE418">
        <v>0</v>
      </c>
      <c r="AF418">
        <v>0</v>
      </c>
      <c r="AG418">
        <v>0</v>
      </c>
      <c r="AH418">
        <v>0</v>
      </c>
      <c r="AI418">
        <v>0</v>
      </c>
      <c r="AJ418">
        <v>0</v>
      </c>
      <c r="AK418">
        <v>0</v>
      </c>
      <c r="AL418">
        <v>0</v>
      </c>
      <c r="AM418">
        <v>0</v>
      </c>
      <c r="AN418">
        <v>0</v>
      </c>
      <c r="AO418">
        <v>0</v>
      </c>
      <c r="AP418">
        <v>0</v>
      </c>
      <c r="AQ418">
        <v>0</v>
      </c>
      <c r="AR418">
        <v>0</v>
      </c>
      <c r="AS418">
        <v>0</v>
      </c>
      <c r="AT418">
        <v>0</v>
      </c>
      <c r="AU418">
        <v>0</v>
      </c>
      <c r="AV418">
        <v>0</v>
      </c>
      <c r="AW418">
        <v>0</v>
      </c>
      <c r="AX418">
        <v>0</v>
      </c>
      <c r="AY418">
        <v>0</v>
      </c>
      <c r="AZ418">
        <v>0</v>
      </c>
      <c r="BA418">
        <v>0</v>
      </c>
      <c r="BB418">
        <v>0</v>
      </c>
      <c r="BC418">
        <v>0</v>
      </c>
      <c r="BD418">
        <v>0</v>
      </c>
      <c r="BE418">
        <v>0</v>
      </c>
      <c r="BF418">
        <v>0</v>
      </c>
      <c r="BG418">
        <v>0</v>
      </c>
      <c r="BH418">
        <v>0</v>
      </c>
      <c r="BI418">
        <v>0</v>
      </c>
      <c r="BJ418">
        <v>0</v>
      </c>
      <c r="BK418">
        <v>0</v>
      </c>
      <c r="BL418">
        <v>0</v>
      </c>
      <c r="BM418">
        <v>0</v>
      </c>
      <c r="BN418">
        <v>0</v>
      </c>
      <c r="BO418">
        <v>0</v>
      </c>
      <c r="BP418">
        <v>0</v>
      </c>
      <c r="BQ418">
        <v>0</v>
      </c>
      <c r="BR418">
        <v>0</v>
      </c>
      <c r="BS418">
        <v>0</v>
      </c>
    </row>
    <row r="419" spans="1:71" x14ac:dyDescent="0.3">
      <c r="A419" t="s">
        <v>1898</v>
      </c>
      <c r="B419" t="s">
        <v>1899</v>
      </c>
      <c r="C419" t="s">
        <v>29</v>
      </c>
      <c r="D419" t="s">
        <v>29</v>
      </c>
      <c r="E419" t="s">
        <v>29</v>
      </c>
      <c r="F419" t="s">
        <v>1900</v>
      </c>
      <c r="G419" t="s">
        <v>1901</v>
      </c>
      <c r="H419">
        <v>2024</v>
      </c>
      <c r="I419">
        <v>9</v>
      </c>
      <c r="J419" t="s">
        <v>29</v>
      </c>
      <c r="K419" t="s">
        <v>29</v>
      </c>
      <c r="L419" t="s">
        <v>29</v>
      </c>
      <c r="M419" t="s">
        <v>29</v>
      </c>
      <c r="N419" t="s">
        <v>29</v>
      </c>
      <c r="O419" t="s">
        <v>29</v>
      </c>
      <c r="P419">
        <v>1415800</v>
      </c>
      <c r="Q419" t="s">
        <v>1902</v>
      </c>
      <c r="R419" t="s">
        <v>29</v>
      </c>
      <c r="S419" t="s">
        <v>29</v>
      </c>
      <c r="T419">
        <v>0</v>
      </c>
      <c r="U419">
        <v>0</v>
      </c>
      <c r="V419">
        <v>0</v>
      </c>
      <c r="W419">
        <v>0</v>
      </c>
      <c r="X419">
        <v>0</v>
      </c>
      <c r="Y419">
        <v>0</v>
      </c>
      <c r="Z419">
        <v>0</v>
      </c>
      <c r="AA419">
        <v>0</v>
      </c>
      <c r="AB419">
        <v>0</v>
      </c>
      <c r="AC419">
        <v>0</v>
      </c>
      <c r="AD419">
        <v>0</v>
      </c>
      <c r="AE419">
        <v>0</v>
      </c>
      <c r="AF419">
        <v>0</v>
      </c>
      <c r="AG419">
        <v>0</v>
      </c>
      <c r="AH419">
        <v>0</v>
      </c>
      <c r="AI419">
        <v>0</v>
      </c>
      <c r="AJ419">
        <v>0</v>
      </c>
      <c r="AK419">
        <v>0</v>
      </c>
      <c r="AL419">
        <v>0</v>
      </c>
      <c r="AM419">
        <v>0</v>
      </c>
      <c r="AN419">
        <v>0</v>
      </c>
      <c r="AO419">
        <v>0</v>
      </c>
      <c r="AP419">
        <v>0</v>
      </c>
      <c r="AQ419">
        <v>0</v>
      </c>
      <c r="AR419">
        <v>0</v>
      </c>
      <c r="AS419">
        <v>0</v>
      </c>
      <c r="AT419">
        <v>0</v>
      </c>
      <c r="AU419">
        <v>0</v>
      </c>
      <c r="AV419">
        <v>0</v>
      </c>
      <c r="AW419">
        <v>0</v>
      </c>
      <c r="AX419">
        <v>0</v>
      </c>
      <c r="AY419">
        <v>0</v>
      </c>
      <c r="AZ419">
        <v>0</v>
      </c>
      <c r="BA419">
        <v>0</v>
      </c>
      <c r="BB419">
        <v>0</v>
      </c>
      <c r="BC419">
        <v>0</v>
      </c>
      <c r="BD419">
        <v>0</v>
      </c>
      <c r="BE419">
        <v>0</v>
      </c>
      <c r="BF419">
        <v>0</v>
      </c>
      <c r="BG419">
        <v>0</v>
      </c>
      <c r="BH419">
        <v>0</v>
      </c>
      <c r="BI419">
        <v>0</v>
      </c>
      <c r="BJ419">
        <v>0</v>
      </c>
      <c r="BK419">
        <v>0</v>
      </c>
      <c r="BL419">
        <v>0</v>
      </c>
      <c r="BM419">
        <v>0</v>
      </c>
      <c r="BN419">
        <v>0</v>
      </c>
      <c r="BO419">
        <v>0</v>
      </c>
      <c r="BP419">
        <v>0</v>
      </c>
      <c r="BQ419">
        <v>0</v>
      </c>
      <c r="BR419">
        <v>0</v>
      </c>
      <c r="BS419">
        <v>0</v>
      </c>
    </row>
    <row r="420" spans="1:71" x14ac:dyDescent="0.3">
      <c r="A420" t="s">
        <v>1903</v>
      </c>
      <c r="B420" t="s">
        <v>1904</v>
      </c>
      <c r="C420" t="s">
        <v>29</v>
      </c>
      <c r="D420" t="s">
        <v>29</v>
      </c>
      <c r="E420" t="s">
        <v>29</v>
      </c>
      <c r="F420" t="s">
        <v>1905</v>
      </c>
      <c r="G420" t="s">
        <v>1906</v>
      </c>
      <c r="H420">
        <v>2024</v>
      </c>
      <c r="I420">
        <v>14</v>
      </c>
      <c r="J420">
        <v>10</v>
      </c>
      <c r="K420" t="s">
        <v>29</v>
      </c>
      <c r="L420" t="s">
        <v>29</v>
      </c>
      <c r="M420" t="s">
        <v>29</v>
      </c>
      <c r="N420" t="s">
        <v>29</v>
      </c>
      <c r="O420" t="s">
        <v>29</v>
      </c>
      <c r="P420">
        <v>894</v>
      </c>
      <c r="Q420" t="s">
        <v>1907</v>
      </c>
      <c r="R420" t="s">
        <v>29</v>
      </c>
      <c r="S420" t="s">
        <v>29</v>
      </c>
      <c r="T420">
        <v>0</v>
      </c>
      <c r="U420">
        <v>0</v>
      </c>
      <c r="V420">
        <v>0</v>
      </c>
      <c r="W420">
        <v>0</v>
      </c>
      <c r="X420">
        <v>0</v>
      </c>
      <c r="Y420">
        <v>0</v>
      </c>
      <c r="Z420">
        <v>0</v>
      </c>
      <c r="AA420">
        <v>0</v>
      </c>
      <c r="AB420">
        <v>0</v>
      </c>
      <c r="AC420">
        <v>0</v>
      </c>
      <c r="AD420">
        <v>0</v>
      </c>
      <c r="AE420">
        <v>0</v>
      </c>
      <c r="AF420">
        <v>0</v>
      </c>
      <c r="AG420">
        <v>0</v>
      </c>
      <c r="AH420">
        <v>0</v>
      </c>
      <c r="AI420">
        <v>0</v>
      </c>
      <c r="AJ420">
        <v>0</v>
      </c>
      <c r="AK420">
        <v>0</v>
      </c>
      <c r="AL420">
        <v>0</v>
      </c>
      <c r="AM420">
        <v>0</v>
      </c>
      <c r="AN420">
        <v>0</v>
      </c>
      <c r="AO420">
        <v>0</v>
      </c>
      <c r="AP420">
        <v>0</v>
      </c>
      <c r="AQ420">
        <v>0</v>
      </c>
      <c r="AR420">
        <v>0</v>
      </c>
      <c r="AS420">
        <v>0</v>
      </c>
      <c r="AT420">
        <v>0</v>
      </c>
      <c r="AU420">
        <v>0</v>
      </c>
      <c r="AV420">
        <v>0</v>
      </c>
      <c r="AW420">
        <v>0</v>
      </c>
      <c r="AX420">
        <v>0</v>
      </c>
      <c r="AY420">
        <v>0</v>
      </c>
      <c r="AZ420">
        <v>0</v>
      </c>
      <c r="BA420">
        <v>0</v>
      </c>
      <c r="BB420">
        <v>0</v>
      </c>
      <c r="BC420">
        <v>0</v>
      </c>
      <c r="BD420">
        <v>0</v>
      </c>
      <c r="BE420">
        <v>0</v>
      </c>
      <c r="BF420">
        <v>0</v>
      </c>
      <c r="BG420">
        <v>0</v>
      </c>
      <c r="BH420">
        <v>0</v>
      </c>
      <c r="BI420">
        <v>0</v>
      </c>
      <c r="BJ420">
        <v>0</v>
      </c>
      <c r="BK420">
        <v>0</v>
      </c>
      <c r="BL420">
        <v>0</v>
      </c>
      <c r="BM420">
        <v>0</v>
      </c>
      <c r="BN420">
        <v>0</v>
      </c>
      <c r="BO420">
        <v>0</v>
      </c>
      <c r="BP420">
        <v>0</v>
      </c>
      <c r="BQ420">
        <v>0</v>
      </c>
      <c r="BR420">
        <v>0</v>
      </c>
      <c r="BS420">
        <v>0</v>
      </c>
    </row>
    <row r="421" spans="1:71" x14ac:dyDescent="0.3">
      <c r="A421" t="s">
        <v>1908</v>
      </c>
      <c r="B421" t="s">
        <v>1909</v>
      </c>
      <c r="C421" t="s">
        <v>29</v>
      </c>
      <c r="D421" t="s">
        <v>29</v>
      </c>
      <c r="E421" t="s">
        <v>29</v>
      </c>
      <c r="F421" t="s">
        <v>1288</v>
      </c>
      <c r="G421" t="s">
        <v>1906</v>
      </c>
      <c r="H421">
        <v>2024</v>
      </c>
      <c r="I421">
        <v>12</v>
      </c>
      <c r="J421">
        <v>10</v>
      </c>
      <c r="K421" t="s">
        <v>29</v>
      </c>
      <c r="L421" t="s">
        <v>29</v>
      </c>
      <c r="M421" t="s">
        <v>29</v>
      </c>
      <c r="N421" t="s">
        <v>29</v>
      </c>
      <c r="O421" t="s">
        <v>29</v>
      </c>
      <c r="P421">
        <v>273</v>
      </c>
      <c r="Q421" t="s">
        <v>1910</v>
      </c>
      <c r="R421" t="s">
        <v>29</v>
      </c>
      <c r="S421" t="s">
        <v>29</v>
      </c>
      <c r="T421">
        <v>0</v>
      </c>
      <c r="U421">
        <v>0</v>
      </c>
      <c r="V421">
        <v>0</v>
      </c>
      <c r="W421">
        <v>0</v>
      </c>
      <c r="X421">
        <v>0</v>
      </c>
      <c r="Y421">
        <v>0</v>
      </c>
      <c r="Z421">
        <v>0</v>
      </c>
      <c r="AA421">
        <v>0</v>
      </c>
      <c r="AB421">
        <v>0</v>
      </c>
      <c r="AC421">
        <v>0</v>
      </c>
      <c r="AD421">
        <v>0</v>
      </c>
      <c r="AE421">
        <v>0</v>
      </c>
      <c r="AF421">
        <v>0</v>
      </c>
      <c r="AG421">
        <v>0</v>
      </c>
      <c r="AH421">
        <v>0</v>
      </c>
      <c r="AI421">
        <v>0</v>
      </c>
      <c r="AJ421">
        <v>0</v>
      </c>
      <c r="AK421">
        <v>0</v>
      </c>
      <c r="AL421">
        <v>0</v>
      </c>
      <c r="AM421">
        <v>0</v>
      </c>
      <c r="AN421">
        <v>0</v>
      </c>
      <c r="AO421">
        <v>0</v>
      </c>
      <c r="AP421">
        <v>0</v>
      </c>
      <c r="AQ421">
        <v>0</v>
      </c>
      <c r="AR421">
        <v>0</v>
      </c>
      <c r="AS421">
        <v>0</v>
      </c>
      <c r="AT421">
        <v>0</v>
      </c>
      <c r="AU421">
        <v>0</v>
      </c>
      <c r="AV421">
        <v>0</v>
      </c>
      <c r="AW421">
        <v>0</v>
      </c>
      <c r="AX421">
        <v>0</v>
      </c>
      <c r="AY421">
        <v>0</v>
      </c>
      <c r="AZ421">
        <v>0</v>
      </c>
      <c r="BA421">
        <v>0</v>
      </c>
      <c r="BB421">
        <v>0</v>
      </c>
      <c r="BC421">
        <v>0</v>
      </c>
      <c r="BD421">
        <v>0</v>
      </c>
      <c r="BE421">
        <v>0</v>
      </c>
      <c r="BF421">
        <v>0</v>
      </c>
      <c r="BG421">
        <v>0</v>
      </c>
      <c r="BH421">
        <v>0</v>
      </c>
      <c r="BI421">
        <v>0</v>
      </c>
      <c r="BJ421">
        <v>0</v>
      </c>
      <c r="BK421">
        <v>0</v>
      </c>
      <c r="BL421">
        <v>0</v>
      </c>
      <c r="BM421">
        <v>0</v>
      </c>
      <c r="BN421">
        <v>0</v>
      </c>
      <c r="BO421">
        <v>0</v>
      </c>
      <c r="BP421">
        <v>0</v>
      </c>
      <c r="BQ421">
        <v>0</v>
      </c>
      <c r="BR421">
        <v>0</v>
      </c>
      <c r="BS421">
        <v>0</v>
      </c>
    </row>
    <row r="422" spans="1:71" x14ac:dyDescent="0.3">
      <c r="A422" t="s">
        <v>1911</v>
      </c>
      <c r="B422" t="s">
        <v>1912</v>
      </c>
      <c r="C422" t="s">
        <v>29</v>
      </c>
      <c r="D422" t="s">
        <v>29</v>
      </c>
      <c r="E422" t="s">
        <v>29</v>
      </c>
      <c r="F422" t="s">
        <v>1913</v>
      </c>
      <c r="G422" t="s">
        <v>1914</v>
      </c>
      <c r="H422">
        <v>2024</v>
      </c>
      <c r="I422">
        <v>12</v>
      </c>
      <c r="J422" t="s">
        <v>29</v>
      </c>
      <c r="K422" t="s">
        <v>29</v>
      </c>
      <c r="L422" t="s">
        <v>29</v>
      </c>
      <c r="M422" t="s">
        <v>29</v>
      </c>
      <c r="N422" t="s">
        <v>29</v>
      </c>
      <c r="O422" t="s">
        <v>29</v>
      </c>
      <c r="P422">
        <v>1418494</v>
      </c>
      <c r="Q422" t="s">
        <v>1915</v>
      </c>
      <c r="R422" t="s">
        <v>29</v>
      </c>
      <c r="S422" t="s">
        <v>29</v>
      </c>
      <c r="T422">
        <v>0</v>
      </c>
      <c r="U422">
        <v>0</v>
      </c>
      <c r="V422">
        <v>0</v>
      </c>
      <c r="W422">
        <v>0</v>
      </c>
      <c r="X422">
        <v>0</v>
      </c>
      <c r="Y422">
        <v>0</v>
      </c>
      <c r="Z422">
        <v>0</v>
      </c>
      <c r="AA422">
        <v>0</v>
      </c>
      <c r="AB422">
        <v>0</v>
      </c>
      <c r="AC422">
        <v>0</v>
      </c>
      <c r="AD422">
        <v>0</v>
      </c>
      <c r="AE422">
        <v>0</v>
      </c>
      <c r="AF422">
        <v>0</v>
      </c>
      <c r="AG422">
        <v>0</v>
      </c>
      <c r="AH422">
        <v>0</v>
      </c>
      <c r="AI422">
        <v>0</v>
      </c>
      <c r="AJ422">
        <v>0</v>
      </c>
      <c r="AK422">
        <v>0</v>
      </c>
      <c r="AL422">
        <v>0</v>
      </c>
      <c r="AM422">
        <v>0</v>
      </c>
      <c r="AN422">
        <v>0</v>
      </c>
      <c r="AO422">
        <v>0</v>
      </c>
      <c r="AP422">
        <v>0</v>
      </c>
      <c r="AQ422">
        <v>0</v>
      </c>
      <c r="AR422">
        <v>0</v>
      </c>
      <c r="AS422">
        <v>0</v>
      </c>
      <c r="AT422">
        <v>0</v>
      </c>
      <c r="AU422">
        <v>0</v>
      </c>
      <c r="AV422">
        <v>0</v>
      </c>
      <c r="AW422">
        <v>0</v>
      </c>
      <c r="AX422">
        <v>0</v>
      </c>
      <c r="AY422">
        <v>0</v>
      </c>
      <c r="AZ422">
        <v>0</v>
      </c>
      <c r="BA422">
        <v>0</v>
      </c>
      <c r="BB422">
        <v>0</v>
      </c>
      <c r="BC422">
        <v>0</v>
      </c>
      <c r="BD422">
        <v>0</v>
      </c>
      <c r="BE422">
        <v>0</v>
      </c>
      <c r="BF422">
        <v>0</v>
      </c>
      <c r="BG422">
        <v>0</v>
      </c>
      <c r="BH422">
        <v>0</v>
      </c>
      <c r="BI422">
        <v>0</v>
      </c>
      <c r="BJ422">
        <v>0</v>
      </c>
      <c r="BK422">
        <v>0</v>
      </c>
      <c r="BL422">
        <v>0</v>
      </c>
      <c r="BM422">
        <v>0</v>
      </c>
      <c r="BN422">
        <v>0</v>
      </c>
      <c r="BO422">
        <v>0</v>
      </c>
      <c r="BP422">
        <v>0</v>
      </c>
      <c r="BQ422">
        <v>0</v>
      </c>
      <c r="BR422">
        <v>0</v>
      </c>
      <c r="BS422">
        <v>0</v>
      </c>
    </row>
    <row r="423" spans="1:71" x14ac:dyDescent="0.3">
      <c r="A423" t="s">
        <v>1916</v>
      </c>
      <c r="B423" t="s">
        <v>1917</v>
      </c>
      <c r="C423" t="s">
        <v>29</v>
      </c>
      <c r="D423" t="s">
        <v>29</v>
      </c>
      <c r="E423" t="s">
        <v>29</v>
      </c>
      <c r="F423" t="s">
        <v>1918</v>
      </c>
      <c r="G423" t="s">
        <v>1919</v>
      </c>
      <c r="H423">
        <v>2024</v>
      </c>
      <c r="I423">
        <v>15</v>
      </c>
      <c r="J423">
        <v>3</v>
      </c>
      <c r="K423" t="s">
        <v>29</v>
      </c>
      <c r="L423" t="s">
        <v>29</v>
      </c>
      <c r="M423" t="s">
        <v>29</v>
      </c>
      <c r="N423">
        <v>837</v>
      </c>
      <c r="O423">
        <v>870</v>
      </c>
      <c r="P423" t="s">
        <v>29</v>
      </c>
      <c r="Q423" t="s">
        <v>1920</v>
      </c>
      <c r="R423" t="s">
        <v>29</v>
      </c>
      <c r="S423" t="s">
        <v>29</v>
      </c>
      <c r="T423">
        <v>0</v>
      </c>
      <c r="U423">
        <v>0</v>
      </c>
      <c r="V423">
        <v>0</v>
      </c>
      <c r="W423">
        <v>0</v>
      </c>
      <c r="X423">
        <v>0</v>
      </c>
      <c r="Y423">
        <v>0</v>
      </c>
      <c r="Z423">
        <v>0</v>
      </c>
      <c r="AA423">
        <v>0</v>
      </c>
      <c r="AB423">
        <v>0</v>
      </c>
      <c r="AC423">
        <v>0</v>
      </c>
      <c r="AD423">
        <v>0</v>
      </c>
      <c r="AE423">
        <v>0</v>
      </c>
      <c r="AF423">
        <v>0</v>
      </c>
      <c r="AG423">
        <v>0</v>
      </c>
      <c r="AH423">
        <v>0</v>
      </c>
      <c r="AI423">
        <v>0</v>
      </c>
      <c r="AJ423">
        <v>0</v>
      </c>
      <c r="AK423">
        <v>0</v>
      </c>
      <c r="AL423">
        <v>0</v>
      </c>
      <c r="AM423">
        <v>0</v>
      </c>
      <c r="AN423">
        <v>0</v>
      </c>
      <c r="AO423">
        <v>0</v>
      </c>
      <c r="AP423">
        <v>0</v>
      </c>
      <c r="AQ423">
        <v>0</v>
      </c>
      <c r="AR423">
        <v>0</v>
      </c>
      <c r="AS423">
        <v>0</v>
      </c>
      <c r="AT423">
        <v>0</v>
      </c>
      <c r="AU423">
        <v>0</v>
      </c>
      <c r="AV423">
        <v>0</v>
      </c>
      <c r="AW423">
        <v>0</v>
      </c>
      <c r="AX423">
        <v>0</v>
      </c>
      <c r="AY423">
        <v>0</v>
      </c>
      <c r="AZ423">
        <v>0</v>
      </c>
      <c r="BA423">
        <v>0</v>
      </c>
      <c r="BB423">
        <v>0</v>
      </c>
      <c r="BC423">
        <v>0</v>
      </c>
      <c r="BD423">
        <v>0</v>
      </c>
      <c r="BE423">
        <v>0</v>
      </c>
      <c r="BF423">
        <v>0</v>
      </c>
      <c r="BG423">
        <v>0</v>
      </c>
      <c r="BH423">
        <v>0</v>
      </c>
      <c r="BI423">
        <v>0</v>
      </c>
      <c r="BJ423">
        <v>0</v>
      </c>
      <c r="BK423">
        <v>0</v>
      </c>
      <c r="BL423">
        <v>0</v>
      </c>
      <c r="BM423">
        <v>0</v>
      </c>
      <c r="BN423">
        <v>0</v>
      </c>
      <c r="BO423">
        <v>0</v>
      </c>
      <c r="BP423">
        <v>0</v>
      </c>
      <c r="BQ423">
        <v>0</v>
      </c>
      <c r="BR423">
        <v>0</v>
      </c>
      <c r="BS423">
        <v>0</v>
      </c>
    </row>
    <row r="424" spans="1:71" x14ac:dyDescent="0.3">
      <c r="A424" t="s">
        <v>1921</v>
      </c>
      <c r="B424" t="s">
        <v>1922</v>
      </c>
      <c r="C424" t="s">
        <v>29</v>
      </c>
      <c r="D424" t="s">
        <v>29</v>
      </c>
      <c r="E424" t="s">
        <v>29</v>
      </c>
      <c r="F424" t="s">
        <v>1923</v>
      </c>
      <c r="G424" t="s">
        <v>1919</v>
      </c>
      <c r="H424">
        <v>2024</v>
      </c>
      <c r="I424">
        <v>24</v>
      </c>
      <c r="J424">
        <v>18</v>
      </c>
      <c r="K424" t="s">
        <v>29</v>
      </c>
      <c r="L424" t="s">
        <v>29</v>
      </c>
      <c r="M424" t="s">
        <v>29</v>
      </c>
      <c r="N424" t="s">
        <v>29</v>
      </c>
      <c r="O424" t="s">
        <v>29</v>
      </c>
      <c r="P424">
        <v>6089</v>
      </c>
      <c r="Q424" t="s">
        <v>1924</v>
      </c>
      <c r="R424" t="s">
        <v>29</v>
      </c>
      <c r="S424" t="s">
        <v>29</v>
      </c>
      <c r="T424">
        <v>0</v>
      </c>
      <c r="U424">
        <v>0</v>
      </c>
      <c r="V424">
        <v>0</v>
      </c>
      <c r="W424">
        <v>0</v>
      </c>
      <c r="X424">
        <v>0</v>
      </c>
      <c r="Y424">
        <v>0</v>
      </c>
      <c r="Z424">
        <v>0</v>
      </c>
      <c r="AA424">
        <v>0</v>
      </c>
      <c r="AB424">
        <v>0</v>
      </c>
      <c r="AC424">
        <v>0</v>
      </c>
      <c r="AD424">
        <v>0</v>
      </c>
      <c r="AE424">
        <v>0</v>
      </c>
      <c r="AF424">
        <v>0</v>
      </c>
      <c r="AG424">
        <v>0</v>
      </c>
      <c r="AH424">
        <v>0</v>
      </c>
      <c r="AI424">
        <v>0</v>
      </c>
      <c r="AJ424">
        <v>0</v>
      </c>
      <c r="AK424">
        <v>0</v>
      </c>
      <c r="AL424">
        <v>0</v>
      </c>
      <c r="AM424">
        <v>0</v>
      </c>
      <c r="AN424">
        <v>0</v>
      </c>
      <c r="AO424">
        <v>0</v>
      </c>
      <c r="AP424">
        <v>0</v>
      </c>
      <c r="AQ424">
        <v>0</v>
      </c>
      <c r="AR424">
        <v>0</v>
      </c>
      <c r="AS424">
        <v>0</v>
      </c>
      <c r="AT424">
        <v>0</v>
      </c>
      <c r="AU424">
        <v>0</v>
      </c>
      <c r="AV424">
        <v>0</v>
      </c>
      <c r="AW424">
        <v>0</v>
      </c>
      <c r="AX424">
        <v>0</v>
      </c>
      <c r="AY424">
        <v>0</v>
      </c>
      <c r="AZ424">
        <v>0</v>
      </c>
      <c r="BA424">
        <v>0</v>
      </c>
      <c r="BB424">
        <v>0</v>
      </c>
      <c r="BC424">
        <v>0</v>
      </c>
      <c r="BD424">
        <v>0</v>
      </c>
      <c r="BE424">
        <v>0</v>
      </c>
      <c r="BF424">
        <v>0</v>
      </c>
      <c r="BG424">
        <v>0</v>
      </c>
      <c r="BH424">
        <v>0</v>
      </c>
      <c r="BI424">
        <v>0</v>
      </c>
      <c r="BJ424">
        <v>0</v>
      </c>
      <c r="BK424">
        <v>0</v>
      </c>
      <c r="BL424">
        <v>0</v>
      </c>
      <c r="BM424">
        <v>0</v>
      </c>
      <c r="BN424">
        <v>0</v>
      </c>
      <c r="BO424">
        <v>0</v>
      </c>
      <c r="BP424">
        <v>0</v>
      </c>
      <c r="BQ424">
        <v>0</v>
      </c>
      <c r="BR424">
        <v>0</v>
      </c>
      <c r="BS424">
        <v>0</v>
      </c>
    </row>
    <row r="425" spans="1:71" x14ac:dyDescent="0.3">
      <c r="A425" t="s">
        <v>1925</v>
      </c>
      <c r="B425" t="s">
        <v>1926</v>
      </c>
      <c r="C425" t="s">
        <v>29</v>
      </c>
      <c r="D425" t="s">
        <v>29</v>
      </c>
      <c r="E425" t="s">
        <v>29</v>
      </c>
      <c r="F425" t="s">
        <v>1927</v>
      </c>
      <c r="G425" t="s">
        <v>1919</v>
      </c>
      <c r="H425">
        <v>2024</v>
      </c>
      <c r="I425">
        <v>8</v>
      </c>
      <c r="J425">
        <v>9</v>
      </c>
      <c r="K425" t="s">
        <v>29</v>
      </c>
      <c r="L425" t="s">
        <v>29</v>
      </c>
      <c r="M425" t="s">
        <v>29</v>
      </c>
      <c r="N425" t="s">
        <v>29</v>
      </c>
      <c r="O425" t="s">
        <v>29</v>
      </c>
      <c r="P425">
        <v>101</v>
      </c>
      <c r="Q425" t="s">
        <v>1928</v>
      </c>
      <c r="R425" t="s">
        <v>29</v>
      </c>
      <c r="S425" t="s">
        <v>29</v>
      </c>
      <c r="T425">
        <v>0</v>
      </c>
      <c r="U425">
        <v>0</v>
      </c>
      <c r="V425">
        <v>0</v>
      </c>
      <c r="W425">
        <v>0</v>
      </c>
      <c r="X425">
        <v>0</v>
      </c>
      <c r="Y425">
        <v>0</v>
      </c>
      <c r="Z425">
        <v>0</v>
      </c>
      <c r="AA425">
        <v>0</v>
      </c>
      <c r="AB425">
        <v>0</v>
      </c>
      <c r="AC425">
        <v>0</v>
      </c>
      <c r="AD425">
        <v>0</v>
      </c>
      <c r="AE425">
        <v>0</v>
      </c>
      <c r="AF425">
        <v>0</v>
      </c>
      <c r="AG425">
        <v>0</v>
      </c>
      <c r="AH425">
        <v>0</v>
      </c>
      <c r="AI425">
        <v>0</v>
      </c>
      <c r="AJ425">
        <v>0</v>
      </c>
      <c r="AK425">
        <v>0</v>
      </c>
      <c r="AL425">
        <v>0</v>
      </c>
      <c r="AM425">
        <v>0</v>
      </c>
      <c r="AN425">
        <v>0</v>
      </c>
      <c r="AO425">
        <v>0</v>
      </c>
      <c r="AP425">
        <v>0</v>
      </c>
      <c r="AQ425">
        <v>0</v>
      </c>
      <c r="AR425">
        <v>0</v>
      </c>
      <c r="AS425">
        <v>0</v>
      </c>
      <c r="AT425">
        <v>0</v>
      </c>
      <c r="AU425">
        <v>0</v>
      </c>
      <c r="AV425">
        <v>0</v>
      </c>
      <c r="AW425">
        <v>0</v>
      </c>
      <c r="AX425">
        <v>0</v>
      </c>
      <c r="AY425">
        <v>0</v>
      </c>
      <c r="AZ425">
        <v>0</v>
      </c>
      <c r="BA425">
        <v>0</v>
      </c>
      <c r="BB425">
        <v>0</v>
      </c>
      <c r="BC425">
        <v>0</v>
      </c>
      <c r="BD425">
        <v>0</v>
      </c>
      <c r="BE425">
        <v>0</v>
      </c>
      <c r="BF425">
        <v>0</v>
      </c>
      <c r="BG425">
        <v>0</v>
      </c>
      <c r="BH425">
        <v>0</v>
      </c>
      <c r="BI425">
        <v>0</v>
      </c>
      <c r="BJ425">
        <v>0</v>
      </c>
      <c r="BK425">
        <v>0</v>
      </c>
      <c r="BL425">
        <v>0</v>
      </c>
      <c r="BM425">
        <v>0</v>
      </c>
      <c r="BN425">
        <v>0</v>
      </c>
      <c r="BO425">
        <v>0</v>
      </c>
      <c r="BP425">
        <v>0</v>
      </c>
      <c r="BQ425">
        <v>0</v>
      </c>
      <c r="BR425">
        <v>0</v>
      </c>
      <c r="BS425">
        <v>0</v>
      </c>
    </row>
    <row r="426" spans="1:71" x14ac:dyDescent="0.3">
      <c r="A426" t="s">
        <v>1929</v>
      </c>
      <c r="B426" t="s">
        <v>1930</v>
      </c>
      <c r="C426" t="s">
        <v>29</v>
      </c>
      <c r="D426" t="s">
        <v>29</v>
      </c>
      <c r="E426" t="s">
        <v>29</v>
      </c>
      <c r="F426" t="s">
        <v>486</v>
      </c>
      <c r="G426" t="s">
        <v>1919</v>
      </c>
      <c r="H426">
        <v>2024</v>
      </c>
      <c r="I426">
        <v>16</v>
      </c>
      <c r="J426">
        <v>17</v>
      </c>
      <c r="K426" t="s">
        <v>29</v>
      </c>
      <c r="L426" t="s">
        <v>29</v>
      </c>
      <c r="M426" t="s">
        <v>29</v>
      </c>
      <c r="N426" t="s">
        <v>29</v>
      </c>
      <c r="O426" t="s">
        <v>29</v>
      </c>
      <c r="P426">
        <v>7499</v>
      </c>
      <c r="Q426" t="s">
        <v>1931</v>
      </c>
      <c r="R426" t="s">
        <v>29</v>
      </c>
      <c r="S426" t="s">
        <v>29</v>
      </c>
      <c r="T426">
        <v>0</v>
      </c>
      <c r="U426">
        <v>0</v>
      </c>
      <c r="V426">
        <v>0</v>
      </c>
      <c r="W426">
        <v>0</v>
      </c>
      <c r="X426">
        <v>0</v>
      </c>
      <c r="Y426">
        <v>0</v>
      </c>
      <c r="Z426">
        <v>0</v>
      </c>
      <c r="AA426">
        <v>0</v>
      </c>
      <c r="AB426">
        <v>0</v>
      </c>
      <c r="AC426">
        <v>0</v>
      </c>
      <c r="AD426">
        <v>0</v>
      </c>
      <c r="AE426">
        <v>0</v>
      </c>
      <c r="AF426">
        <v>0</v>
      </c>
      <c r="AG426">
        <v>0</v>
      </c>
      <c r="AH426">
        <v>0</v>
      </c>
      <c r="AI426">
        <v>0</v>
      </c>
      <c r="AJ426">
        <v>0</v>
      </c>
      <c r="AK426">
        <v>0</v>
      </c>
      <c r="AL426">
        <v>0</v>
      </c>
      <c r="AM426">
        <v>0</v>
      </c>
      <c r="AN426">
        <v>0</v>
      </c>
      <c r="AO426">
        <v>0</v>
      </c>
      <c r="AP426">
        <v>0</v>
      </c>
      <c r="AQ426">
        <v>0</v>
      </c>
      <c r="AR426">
        <v>0</v>
      </c>
      <c r="AS426">
        <v>0</v>
      </c>
      <c r="AT426">
        <v>0</v>
      </c>
      <c r="AU426">
        <v>0</v>
      </c>
      <c r="AV426">
        <v>0</v>
      </c>
      <c r="AW426">
        <v>0</v>
      </c>
      <c r="AX426">
        <v>0</v>
      </c>
      <c r="AY426">
        <v>0</v>
      </c>
      <c r="AZ426">
        <v>0</v>
      </c>
      <c r="BA426">
        <v>0</v>
      </c>
      <c r="BB426">
        <v>0</v>
      </c>
      <c r="BC426">
        <v>0</v>
      </c>
      <c r="BD426">
        <v>0</v>
      </c>
      <c r="BE426">
        <v>0</v>
      </c>
      <c r="BF426">
        <v>0</v>
      </c>
      <c r="BG426">
        <v>0</v>
      </c>
      <c r="BH426">
        <v>0</v>
      </c>
      <c r="BI426">
        <v>0</v>
      </c>
      <c r="BJ426">
        <v>0</v>
      </c>
      <c r="BK426">
        <v>0</v>
      </c>
      <c r="BL426">
        <v>0</v>
      </c>
      <c r="BM426">
        <v>0</v>
      </c>
      <c r="BN426">
        <v>0</v>
      </c>
      <c r="BO426">
        <v>0</v>
      </c>
      <c r="BP426">
        <v>0</v>
      </c>
      <c r="BQ426">
        <v>0</v>
      </c>
      <c r="BR426">
        <v>0</v>
      </c>
      <c r="BS426">
        <v>0</v>
      </c>
    </row>
    <row r="427" spans="1:71" x14ac:dyDescent="0.3">
      <c r="A427" t="s">
        <v>1932</v>
      </c>
      <c r="B427" t="s">
        <v>1933</v>
      </c>
      <c r="C427" t="s">
        <v>29</v>
      </c>
      <c r="D427" t="s">
        <v>29</v>
      </c>
      <c r="E427" t="s">
        <v>29</v>
      </c>
      <c r="F427" t="s">
        <v>157</v>
      </c>
      <c r="G427" t="s">
        <v>29</v>
      </c>
      <c r="H427">
        <v>2024</v>
      </c>
      <c r="I427" t="s">
        <v>29</v>
      </c>
      <c r="J427" t="s">
        <v>29</v>
      </c>
      <c r="K427" t="s">
        <v>29</v>
      </c>
      <c r="L427" t="s">
        <v>29</v>
      </c>
      <c r="M427" t="s">
        <v>29</v>
      </c>
      <c r="N427" t="s">
        <v>29</v>
      </c>
      <c r="O427" t="s">
        <v>29</v>
      </c>
      <c r="P427" t="s">
        <v>29</v>
      </c>
      <c r="Q427" t="s">
        <v>1934</v>
      </c>
      <c r="R427" t="s">
        <v>29</v>
      </c>
      <c r="S427" t="s">
        <v>29</v>
      </c>
      <c r="T427">
        <v>0</v>
      </c>
      <c r="U427">
        <v>0</v>
      </c>
      <c r="V427">
        <v>0</v>
      </c>
      <c r="W427">
        <v>0</v>
      </c>
      <c r="X427">
        <v>0</v>
      </c>
      <c r="Y427">
        <v>0</v>
      </c>
      <c r="Z427">
        <v>0</v>
      </c>
      <c r="AA427">
        <v>0</v>
      </c>
      <c r="AB427">
        <v>0</v>
      </c>
      <c r="AC427">
        <v>0</v>
      </c>
      <c r="AD427">
        <v>0</v>
      </c>
      <c r="AE427">
        <v>0</v>
      </c>
      <c r="AF427">
        <v>0</v>
      </c>
      <c r="AG427">
        <v>0</v>
      </c>
      <c r="AH427">
        <v>0</v>
      </c>
      <c r="AI427">
        <v>0</v>
      </c>
      <c r="AJ427">
        <v>0</v>
      </c>
      <c r="AK427">
        <v>0</v>
      </c>
      <c r="AL427">
        <v>0</v>
      </c>
      <c r="AM427">
        <v>0</v>
      </c>
      <c r="AN427">
        <v>0</v>
      </c>
      <c r="AO427">
        <v>0</v>
      </c>
      <c r="AP427">
        <v>0</v>
      </c>
      <c r="AQ427">
        <v>0</v>
      </c>
      <c r="AR427">
        <v>0</v>
      </c>
      <c r="AS427">
        <v>0</v>
      </c>
      <c r="AT427">
        <v>0</v>
      </c>
      <c r="AU427">
        <v>0</v>
      </c>
      <c r="AV427">
        <v>0</v>
      </c>
      <c r="AW427">
        <v>0</v>
      </c>
      <c r="AX427">
        <v>0</v>
      </c>
      <c r="AY427">
        <v>0</v>
      </c>
      <c r="AZ427">
        <v>0</v>
      </c>
      <c r="BA427">
        <v>0</v>
      </c>
      <c r="BB427">
        <v>0</v>
      </c>
      <c r="BC427">
        <v>0</v>
      </c>
      <c r="BD427">
        <v>0</v>
      </c>
      <c r="BE427">
        <v>0</v>
      </c>
      <c r="BF427">
        <v>0</v>
      </c>
      <c r="BG427">
        <v>0</v>
      </c>
      <c r="BH427">
        <v>0</v>
      </c>
      <c r="BI427">
        <v>0</v>
      </c>
      <c r="BJ427">
        <v>0</v>
      </c>
      <c r="BK427">
        <v>0</v>
      </c>
      <c r="BL427">
        <v>0</v>
      </c>
      <c r="BM427">
        <v>0</v>
      </c>
      <c r="BN427">
        <v>0</v>
      </c>
      <c r="BO427">
        <v>0</v>
      </c>
      <c r="BP427">
        <v>0</v>
      </c>
      <c r="BQ427">
        <v>0</v>
      </c>
      <c r="BR427">
        <v>0</v>
      </c>
      <c r="BS427">
        <v>0</v>
      </c>
    </row>
    <row r="428" spans="1:71" x14ac:dyDescent="0.3">
      <c r="A428" t="s">
        <v>1935</v>
      </c>
      <c r="B428" t="s">
        <v>1936</v>
      </c>
      <c r="C428" t="s">
        <v>29</v>
      </c>
      <c r="D428" t="s">
        <v>29</v>
      </c>
      <c r="E428" t="s">
        <v>29</v>
      </c>
      <c r="F428" t="s">
        <v>1937</v>
      </c>
      <c r="G428" t="s">
        <v>1938</v>
      </c>
      <c r="H428">
        <v>2024</v>
      </c>
      <c r="I428">
        <v>18</v>
      </c>
      <c r="J428" t="s">
        <v>29</v>
      </c>
      <c r="K428" t="s">
        <v>29</v>
      </c>
      <c r="L428" t="s">
        <v>29</v>
      </c>
      <c r="M428" t="s">
        <v>29</v>
      </c>
      <c r="N428" t="s">
        <v>29</v>
      </c>
      <c r="O428" t="s">
        <v>29</v>
      </c>
      <c r="P428">
        <v>1427512</v>
      </c>
      <c r="Q428" t="s">
        <v>1939</v>
      </c>
      <c r="R428" t="s">
        <v>29</v>
      </c>
      <c r="S428" t="s">
        <v>29</v>
      </c>
      <c r="T428">
        <v>0</v>
      </c>
      <c r="U428">
        <v>0</v>
      </c>
      <c r="V428">
        <v>0</v>
      </c>
      <c r="W428">
        <v>0</v>
      </c>
      <c r="X428">
        <v>0</v>
      </c>
      <c r="Y428">
        <v>0</v>
      </c>
      <c r="Z428">
        <v>0</v>
      </c>
      <c r="AA428">
        <v>0</v>
      </c>
      <c r="AB428">
        <v>0</v>
      </c>
      <c r="AC428">
        <v>0</v>
      </c>
      <c r="AD428">
        <v>0</v>
      </c>
      <c r="AE428">
        <v>0</v>
      </c>
      <c r="AF428">
        <v>0</v>
      </c>
      <c r="AG428">
        <v>0</v>
      </c>
      <c r="AH428">
        <v>0</v>
      </c>
      <c r="AI428">
        <v>0</v>
      </c>
      <c r="AJ428">
        <v>0</v>
      </c>
      <c r="AK428">
        <v>0</v>
      </c>
      <c r="AL428">
        <v>0</v>
      </c>
      <c r="AM428">
        <v>0</v>
      </c>
      <c r="AN428">
        <v>0</v>
      </c>
      <c r="AO428">
        <v>0</v>
      </c>
      <c r="AP428">
        <v>0</v>
      </c>
      <c r="AQ428">
        <v>0</v>
      </c>
      <c r="AR428">
        <v>0</v>
      </c>
      <c r="AS428">
        <v>0</v>
      </c>
      <c r="AT428">
        <v>0</v>
      </c>
      <c r="AU428">
        <v>0</v>
      </c>
      <c r="AV428">
        <v>0</v>
      </c>
      <c r="AW428">
        <v>0</v>
      </c>
      <c r="AX428">
        <v>0</v>
      </c>
      <c r="AY428">
        <v>0</v>
      </c>
      <c r="AZ428">
        <v>0</v>
      </c>
      <c r="BA428">
        <v>0</v>
      </c>
      <c r="BB428">
        <v>0</v>
      </c>
      <c r="BC428">
        <v>0</v>
      </c>
      <c r="BD428">
        <v>0</v>
      </c>
      <c r="BE428">
        <v>0</v>
      </c>
      <c r="BF428">
        <v>0</v>
      </c>
      <c r="BG428">
        <v>0</v>
      </c>
      <c r="BH428">
        <v>0</v>
      </c>
      <c r="BI428">
        <v>0</v>
      </c>
      <c r="BJ428">
        <v>0</v>
      </c>
      <c r="BK428">
        <v>0</v>
      </c>
      <c r="BL428">
        <v>0</v>
      </c>
      <c r="BM428">
        <v>0</v>
      </c>
      <c r="BN428">
        <v>0</v>
      </c>
      <c r="BO428">
        <v>0</v>
      </c>
      <c r="BP428">
        <v>0</v>
      </c>
      <c r="BQ428">
        <v>0</v>
      </c>
      <c r="BR428">
        <v>0</v>
      </c>
      <c r="BS428">
        <v>0</v>
      </c>
    </row>
    <row r="429" spans="1:71" x14ac:dyDescent="0.3">
      <c r="A429" t="s">
        <v>1940</v>
      </c>
      <c r="B429" t="s">
        <v>1941</v>
      </c>
      <c r="C429" t="s">
        <v>29</v>
      </c>
      <c r="D429" t="s">
        <v>29</v>
      </c>
      <c r="E429" t="s">
        <v>29</v>
      </c>
      <c r="F429" t="s">
        <v>1942</v>
      </c>
      <c r="G429" t="s">
        <v>1892</v>
      </c>
      <c r="H429">
        <v>2024</v>
      </c>
      <c r="I429">
        <v>71</v>
      </c>
      <c r="J429" t="s">
        <v>29</v>
      </c>
      <c r="K429" t="s">
        <v>29</v>
      </c>
      <c r="L429" t="s">
        <v>29</v>
      </c>
      <c r="M429" t="s">
        <v>29</v>
      </c>
      <c r="N429">
        <v>248</v>
      </c>
      <c r="O429">
        <v>260</v>
      </c>
      <c r="P429" t="s">
        <v>29</v>
      </c>
      <c r="Q429" t="s">
        <v>1943</v>
      </c>
      <c r="R429" t="s">
        <v>29</v>
      </c>
      <c r="S429" t="s">
        <v>29</v>
      </c>
      <c r="T429">
        <v>0</v>
      </c>
      <c r="U429">
        <v>0</v>
      </c>
      <c r="V429">
        <v>0</v>
      </c>
      <c r="W429">
        <v>0</v>
      </c>
      <c r="X429">
        <v>0</v>
      </c>
      <c r="Y429">
        <v>0</v>
      </c>
      <c r="Z429">
        <v>0</v>
      </c>
      <c r="AA429">
        <v>0</v>
      </c>
      <c r="AB429">
        <v>0</v>
      </c>
      <c r="AC429">
        <v>0</v>
      </c>
      <c r="AD429">
        <v>0</v>
      </c>
      <c r="AE429">
        <v>0</v>
      </c>
      <c r="AF429">
        <v>0</v>
      </c>
      <c r="AG429">
        <v>0</v>
      </c>
      <c r="AH429">
        <v>0</v>
      </c>
      <c r="AI429">
        <v>0</v>
      </c>
      <c r="AJ429">
        <v>0</v>
      </c>
      <c r="AK429">
        <v>0</v>
      </c>
      <c r="AL429">
        <v>0</v>
      </c>
      <c r="AM429">
        <v>0</v>
      </c>
      <c r="AN429">
        <v>0</v>
      </c>
      <c r="AO429">
        <v>0</v>
      </c>
      <c r="AP429">
        <v>0</v>
      </c>
      <c r="AQ429">
        <v>0</v>
      </c>
      <c r="AR429">
        <v>0</v>
      </c>
      <c r="AS429">
        <v>0</v>
      </c>
      <c r="AT429">
        <v>0</v>
      </c>
      <c r="AU429">
        <v>0</v>
      </c>
      <c r="AV429">
        <v>0</v>
      </c>
      <c r="AW429">
        <v>0</v>
      </c>
      <c r="AX429">
        <v>0</v>
      </c>
      <c r="AY429">
        <v>0</v>
      </c>
      <c r="AZ429">
        <v>0</v>
      </c>
      <c r="BA429">
        <v>0</v>
      </c>
      <c r="BB429">
        <v>0</v>
      </c>
      <c r="BC429">
        <v>0</v>
      </c>
      <c r="BD429">
        <v>0</v>
      </c>
      <c r="BE429">
        <v>0</v>
      </c>
      <c r="BF429">
        <v>0</v>
      </c>
      <c r="BG429">
        <v>0</v>
      </c>
      <c r="BH429">
        <v>0</v>
      </c>
      <c r="BI429">
        <v>0</v>
      </c>
      <c r="BJ429">
        <v>0</v>
      </c>
      <c r="BK429">
        <v>0</v>
      </c>
      <c r="BL429">
        <v>0</v>
      </c>
      <c r="BM429">
        <v>0</v>
      </c>
      <c r="BN429">
        <v>0</v>
      </c>
      <c r="BO429">
        <v>0</v>
      </c>
      <c r="BP429">
        <v>0</v>
      </c>
      <c r="BQ429">
        <v>0</v>
      </c>
      <c r="BR429">
        <v>0</v>
      </c>
      <c r="BS429">
        <v>0</v>
      </c>
    </row>
    <row r="430" spans="1:71" x14ac:dyDescent="0.3">
      <c r="A430" t="s">
        <v>1944</v>
      </c>
      <c r="B430" t="s">
        <v>1945</v>
      </c>
      <c r="C430" t="s">
        <v>29</v>
      </c>
      <c r="D430" t="s">
        <v>29</v>
      </c>
      <c r="E430" t="s">
        <v>29</v>
      </c>
      <c r="F430" t="s">
        <v>1946</v>
      </c>
      <c r="G430" t="s">
        <v>935</v>
      </c>
      <c r="H430">
        <v>2024</v>
      </c>
      <c r="I430">
        <v>116</v>
      </c>
      <c r="J430">
        <v>6</v>
      </c>
      <c r="K430" t="s">
        <v>29</v>
      </c>
      <c r="L430" t="s">
        <v>29</v>
      </c>
      <c r="M430" t="s">
        <v>29</v>
      </c>
      <c r="N430">
        <v>903</v>
      </c>
      <c r="O430">
        <v>920</v>
      </c>
      <c r="P430" t="s">
        <v>29</v>
      </c>
      <c r="Q430" t="s">
        <v>1947</v>
      </c>
      <c r="R430" t="s">
        <v>29</v>
      </c>
      <c r="S430" t="s">
        <v>29</v>
      </c>
      <c r="T430">
        <v>0</v>
      </c>
      <c r="U430">
        <v>0</v>
      </c>
      <c r="V430">
        <v>0</v>
      </c>
      <c r="W430">
        <v>0</v>
      </c>
      <c r="X430">
        <v>0</v>
      </c>
      <c r="Y430">
        <v>0</v>
      </c>
      <c r="Z430">
        <v>0</v>
      </c>
      <c r="AA430">
        <v>0</v>
      </c>
      <c r="AB430">
        <v>0</v>
      </c>
      <c r="AC430">
        <v>0</v>
      </c>
      <c r="AD430">
        <v>0</v>
      </c>
      <c r="AE430">
        <v>0</v>
      </c>
      <c r="AF430">
        <v>0</v>
      </c>
      <c r="AG430">
        <v>0</v>
      </c>
      <c r="AH430">
        <v>0</v>
      </c>
      <c r="AI430">
        <v>0</v>
      </c>
      <c r="AJ430">
        <v>0</v>
      </c>
      <c r="AK430">
        <v>0</v>
      </c>
      <c r="AL430">
        <v>0</v>
      </c>
      <c r="AM430">
        <v>0</v>
      </c>
      <c r="AN430">
        <v>0</v>
      </c>
      <c r="AO430">
        <v>0</v>
      </c>
      <c r="AP430">
        <v>0</v>
      </c>
      <c r="AQ430">
        <v>0</v>
      </c>
      <c r="AR430">
        <v>0</v>
      </c>
      <c r="AS430">
        <v>0</v>
      </c>
      <c r="AT430">
        <v>0</v>
      </c>
      <c r="AU430">
        <v>0</v>
      </c>
      <c r="AV430">
        <v>0</v>
      </c>
      <c r="AW430">
        <v>0</v>
      </c>
      <c r="AX430">
        <v>0</v>
      </c>
      <c r="AY430">
        <v>0</v>
      </c>
      <c r="AZ430">
        <v>0</v>
      </c>
      <c r="BA430">
        <v>0</v>
      </c>
      <c r="BB430">
        <v>0</v>
      </c>
      <c r="BC430">
        <v>0</v>
      </c>
      <c r="BD430">
        <v>0</v>
      </c>
      <c r="BE430">
        <v>0</v>
      </c>
      <c r="BF430">
        <v>0</v>
      </c>
      <c r="BG430">
        <v>0</v>
      </c>
      <c r="BH430">
        <v>0</v>
      </c>
      <c r="BI430">
        <v>0</v>
      </c>
      <c r="BJ430">
        <v>0</v>
      </c>
      <c r="BK430">
        <v>0</v>
      </c>
      <c r="BL430">
        <v>0</v>
      </c>
      <c r="BM430">
        <v>0</v>
      </c>
      <c r="BN430">
        <v>0</v>
      </c>
      <c r="BO430">
        <v>0</v>
      </c>
      <c r="BP430">
        <v>0</v>
      </c>
      <c r="BQ430">
        <v>0</v>
      </c>
      <c r="BR430">
        <v>0</v>
      </c>
      <c r="BS430">
        <v>0</v>
      </c>
    </row>
    <row r="431" spans="1:71" x14ac:dyDescent="0.3">
      <c r="A431" t="s">
        <v>1948</v>
      </c>
      <c r="B431" t="s">
        <v>1949</v>
      </c>
      <c r="C431" t="s">
        <v>29</v>
      </c>
      <c r="D431" t="s">
        <v>29</v>
      </c>
      <c r="E431" t="s">
        <v>29</v>
      </c>
      <c r="F431" t="s">
        <v>1950</v>
      </c>
      <c r="G431" t="s">
        <v>935</v>
      </c>
      <c r="H431">
        <v>2024</v>
      </c>
      <c r="I431">
        <v>15</v>
      </c>
      <c r="J431">
        <v>8</v>
      </c>
      <c r="K431" t="s">
        <v>29</v>
      </c>
      <c r="L431" t="s">
        <v>29</v>
      </c>
      <c r="M431" t="s">
        <v>29</v>
      </c>
      <c r="N431" t="s">
        <v>29</v>
      </c>
      <c r="O431" t="s">
        <v>29</v>
      </c>
      <c r="P431">
        <v>496</v>
      </c>
      <c r="Q431" t="s">
        <v>1951</v>
      </c>
      <c r="R431" t="s">
        <v>29</v>
      </c>
      <c r="S431" t="s">
        <v>29</v>
      </c>
      <c r="T431">
        <v>0</v>
      </c>
      <c r="U431">
        <v>0</v>
      </c>
      <c r="V431">
        <v>0</v>
      </c>
      <c r="W431">
        <v>0</v>
      </c>
      <c r="X431">
        <v>0</v>
      </c>
      <c r="Y431">
        <v>0</v>
      </c>
      <c r="Z431">
        <v>0</v>
      </c>
      <c r="AA431">
        <v>0</v>
      </c>
      <c r="AB431">
        <v>0</v>
      </c>
      <c r="AC431">
        <v>0</v>
      </c>
      <c r="AD431">
        <v>0</v>
      </c>
      <c r="AE431">
        <v>0</v>
      </c>
      <c r="AF431">
        <v>0</v>
      </c>
      <c r="AG431">
        <v>0</v>
      </c>
      <c r="AH431">
        <v>0</v>
      </c>
      <c r="AI431">
        <v>0</v>
      </c>
      <c r="AJ431">
        <v>0</v>
      </c>
      <c r="AK431">
        <v>0</v>
      </c>
      <c r="AL431">
        <v>0</v>
      </c>
      <c r="AM431">
        <v>0</v>
      </c>
      <c r="AN431">
        <v>0</v>
      </c>
      <c r="AO431">
        <v>0</v>
      </c>
      <c r="AP431">
        <v>0</v>
      </c>
      <c r="AQ431">
        <v>0</v>
      </c>
      <c r="AR431">
        <v>0</v>
      </c>
      <c r="AS431">
        <v>0</v>
      </c>
      <c r="AT431">
        <v>0</v>
      </c>
      <c r="AU431">
        <v>0</v>
      </c>
      <c r="AV431">
        <v>0</v>
      </c>
      <c r="AW431">
        <v>0</v>
      </c>
      <c r="AX431">
        <v>0</v>
      </c>
      <c r="AY431">
        <v>0</v>
      </c>
      <c r="AZ431">
        <v>0</v>
      </c>
      <c r="BA431">
        <v>0</v>
      </c>
      <c r="BB431">
        <v>0</v>
      </c>
      <c r="BC431">
        <v>0</v>
      </c>
      <c r="BD431">
        <v>0</v>
      </c>
      <c r="BE431">
        <v>0</v>
      </c>
      <c r="BF431">
        <v>0</v>
      </c>
      <c r="BG431">
        <v>0</v>
      </c>
      <c r="BH431">
        <v>0</v>
      </c>
      <c r="BI431">
        <v>0</v>
      </c>
      <c r="BJ431">
        <v>0</v>
      </c>
      <c r="BK431">
        <v>0</v>
      </c>
      <c r="BL431">
        <v>0</v>
      </c>
      <c r="BM431">
        <v>0</v>
      </c>
      <c r="BN431">
        <v>0</v>
      </c>
      <c r="BO431">
        <v>0</v>
      </c>
      <c r="BP431">
        <v>0</v>
      </c>
      <c r="BQ431">
        <v>0</v>
      </c>
      <c r="BR431">
        <v>0</v>
      </c>
      <c r="BS431">
        <v>0</v>
      </c>
    </row>
    <row r="432" spans="1:71" x14ac:dyDescent="0.3">
      <c r="A432" t="s">
        <v>1952</v>
      </c>
      <c r="B432" t="s">
        <v>1953</v>
      </c>
      <c r="C432" t="s">
        <v>29</v>
      </c>
      <c r="D432" t="s">
        <v>29</v>
      </c>
      <c r="E432" t="s">
        <v>29</v>
      </c>
      <c r="F432" t="s">
        <v>1954</v>
      </c>
      <c r="G432" t="s">
        <v>29</v>
      </c>
      <c r="H432">
        <v>2024</v>
      </c>
      <c r="I432" t="s">
        <v>29</v>
      </c>
      <c r="J432" t="s">
        <v>29</v>
      </c>
      <c r="K432" t="s">
        <v>29</v>
      </c>
      <c r="L432" t="s">
        <v>29</v>
      </c>
      <c r="M432" t="s">
        <v>29</v>
      </c>
      <c r="N432" t="s">
        <v>29</v>
      </c>
      <c r="O432" t="s">
        <v>29</v>
      </c>
      <c r="P432" t="s">
        <v>29</v>
      </c>
      <c r="Q432" t="s">
        <v>1955</v>
      </c>
      <c r="R432" t="s">
        <v>29</v>
      </c>
      <c r="S432" t="s">
        <v>29</v>
      </c>
      <c r="T432">
        <v>0</v>
      </c>
      <c r="U432">
        <v>0</v>
      </c>
      <c r="V432">
        <v>0</v>
      </c>
      <c r="W432">
        <v>0</v>
      </c>
      <c r="X432">
        <v>0</v>
      </c>
      <c r="Y432">
        <v>0</v>
      </c>
      <c r="Z432">
        <v>0</v>
      </c>
      <c r="AA432">
        <v>0</v>
      </c>
      <c r="AB432">
        <v>0</v>
      </c>
      <c r="AC432">
        <v>0</v>
      </c>
      <c r="AD432">
        <v>0</v>
      </c>
      <c r="AE432">
        <v>0</v>
      </c>
      <c r="AF432">
        <v>0</v>
      </c>
      <c r="AG432">
        <v>0</v>
      </c>
      <c r="AH432">
        <v>0</v>
      </c>
      <c r="AI432">
        <v>0</v>
      </c>
      <c r="AJ432">
        <v>0</v>
      </c>
      <c r="AK432">
        <v>0</v>
      </c>
      <c r="AL432">
        <v>0</v>
      </c>
      <c r="AM432">
        <v>0</v>
      </c>
      <c r="AN432">
        <v>0</v>
      </c>
      <c r="AO432">
        <v>0</v>
      </c>
      <c r="AP432">
        <v>0</v>
      </c>
      <c r="AQ432">
        <v>0</v>
      </c>
      <c r="AR432">
        <v>0</v>
      </c>
      <c r="AS432">
        <v>0</v>
      </c>
      <c r="AT432">
        <v>0</v>
      </c>
      <c r="AU432">
        <v>0</v>
      </c>
      <c r="AV432">
        <v>0</v>
      </c>
      <c r="AW432">
        <v>0</v>
      </c>
      <c r="AX432">
        <v>0</v>
      </c>
      <c r="AY432">
        <v>0</v>
      </c>
      <c r="AZ432">
        <v>0</v>
      </c>
      <c r="BA432">
        <v>0</v>
      </c>
      <c r="BB432">
        <v>0</v>
      </c>
      <c r="BC432">
        <v>0</v>
      </c>
      <c r="BD432">
        <v>0</v>
      </c>
      <c r="BE432">
        <v>0</v>
      </c>
      <c r="BF432">
        <v>0</v>
      </c>
      <c r="BG432">
        <v>0</v>
      </c>
      <c r="BH432">
        <v>0</v>
      </c>
      <c r="BI432">
        <v>0</v>
      </c>
      <c r="BJ432">
        <v>0</v>
      </c>
      <c r="BK432">
        <v>0</v>
      </c>
      <c r="BL432">
        <v>0</v>
      </c>
      <c r="BM432">
        <v>0</v>
      </c>
      <c r="BN432">
        <v>0</v>
      </c>
      <c r="BO432">
        <v>0</v>
      </c>
      <c r="BP432">
        <v>0</v>
      </c>
      <c r="BQ432">
        <v>0</v>
      </c>
      <c r="BR432">
        <v>0</v>
      </c>
      <c r="BS432">
        <v>0</v>
      </c>
    </row>
    <row r="433" spans="1:71" x14ac:dyDescent="0.3">
      <c r="A433" t="s">
        <v>1956</v>
      </c>
      <c r="B433" t="s">
        <v>1957</v>
      </c>
      <c r="C433" t="s">
        <v>29</v>
      </c>
      <c r="D433" t="s">
        <v>29</v>
      </c>
      <c r="E433" t="s">
        <v>29</v>
      </c>
      <c r="F433" t="s">
        <v>1958</v>
      </c>
      <c r="G433">
        <v>2024</v>
      </c>
      <c r="H433">
        <v>2024</v>
      </c>
      <c r="I433">
        <v>58</v>
      </c>
      <c r="J433">
        <v>3</v>
      </c>
      <c r="K433" t="s">
        <v>29</v>
      </c>
      <c r="L433" t="s">
        <v>29</v>
      </c>
      <c r="M433" t="s">
        <v>29</v>
      </c>
      <c r="N433">
        <v>298</v>
      </c>
      <c r="O433">
        <v>303</v>
      </c>
      <c r="P433" t="s">
        <v>29</v>
      </c>
      <c r="Q433" t="s">
        <v>1959</v>
      </c>
      <c r="R433" t="s">
        <v>1960</v>
      </c>
      <c r="S433" t="s">
        <v>1961</v>
      </c>
      <c r="T433">
        <v>0</v>
      </c>
      <c r="U433">
        <v>0</v>
      </c>
      <c r="V433">
        <v>0</v>
      </c>
      <c r="W433">
        <v>0</v>
      </c>
      <c r="X433">
        <v>0</v>
      </c>
      <c r="Y433">
        <v>0</v>
      </c>
      <c r="Z433">
        <v>0</v>
      </c>
      <c r="AA433">
        <v>0</v>
      </c>
      <c r="AB433">
        <v>0</v>
      </c>
      <c r="AC433">
        <v>0</v>
      </c>
      <c r="AD433">
        <v>0</v>
      </c>
      <c r="AE433">
        <v>0</v>
      </c>
      <c r="AF433">
        <v>0</v>
      </c>
      <c r="AG433">
        <v>0</v>
      </c>
      <c r="AH433">
        <v>0</v>
      </c>
      <c r="AI433">
        <v>0</v>
      </c>
      <c r="AJ433">
        <v>0</v>
      </c>
      <c r="AK433">
        <v>0</v>
      </c>
      <c r="AL433">
        <v>0</v>
      </c>
      <c r="AM433">
        <v>0</v>
      </c>
      <c r="AN433">
        <v>0</v>
      </c>
      <c r="AO433">
        <v>0</v>
      </c>
      <c r="AP433">
        <v>0</v>
      </c>
      <c r="AQ433">
        <v>0</v>
      </c>
      <c r="AR433">
        <v>0</v>
      </c>
      <c r="AS433">
        <v>0</v>
      </c>
      <c r="AT433">
        <v>0</v>
      </c>
      <c r="AU433">
        <v>0</v>
      </c>
      <c r="AV433">
        <v>0</v>
      </c>
      <c r="AW433">
        <v>0</v>
      </c>
      <c r="AX433">
        <v>0</v>
      </c>
      <c r="AY433">
        <v>0</v>
      </c>
      <c r="AZ433">
        <v>0</v>
      </c>
      <c r="BA433">
        <v>0</v>
      </c>
      <c r="BB433">
        <v>0</v>
      </c>
      <c r="BC433">
        <v>0</v>
      </c>
      <c r="BD433">
        <v>0</v>
      </c>
      <c r="BE433">
        <v>0</v>
      </c>
      <c r="BF433">
        <v>0</v>
      </c>
      <c r="BG433">
        <v>0</v>
      </c>
      <c r="BH433">
        <v>0</v>
      </c>
      <c r="BI433">
        <v>0</v>
      </c>
      <c r="BJ433">
        <v>0</v>
      </c>
      <c r="BK433">
        <v>0</v>
      </c>
      <c r="BL433">
        <v>0</v>
      </c>
      <c r="BM433">
        <v>0</v>
      </c>
      <c r="BN433">
        <v>0</v>
      </c>
      <c r="BO433">
        <v>0</v>
      </c>
      <c r="BP433">
        <v>0</v>
      </c>
      <c r="BQ433">
        <v>0</v>
      </c>
      <c r="BR433">
        <v>0</v>
      </c>
      <c r="BS433">
        <v>0</v>
      </c>
    </row>
    <row r="434" spans="1:71" x14ac:dyDescent="0.3">
      <c r="A434" t="s">
        <v>1962</v>
      </c>
      <c r="B434" t="s">
        <v>1963</v>
      </c>
      <c r="C434" t="s">
        <v>29</v>
      </c>
      <c r="D434" t="s">
        <v>29</v>
      </c>
      <c r="E434" t="s">
        <v>29</v>
      </c>
      <c r="F434" t="s">
        <v>1964</v>
      </c>
      <c r="G434" t="s">
        <v>29</v>
      </c>
      <c r="H434">
        <v>2024</v>
      </c>
      <c r="I434" t="s">
        <v>29</v>
      </c>
      <c r="J434" t="s">
        <v>29</v>
      </c>
      <c r="K434" t="s">
        <v>29</v>
      </c>
      <c r="L434" t="s">
        <v>29</v>
      </c>
      <c r="M434" t="s">
        <v>29</v>
      </c>
      <c r="N434" t="s">
        <v>29</v>
      </c>
      <c r="O434" t="s">
        <v>29</v>
      </c>
      <c r="P434" t="s">
        <v>29</v>
      </c>
      <c r="Q434" t="s">
        <v>1965</v>
      </c>
      <c r="R434" t="s">
        <v>29</v>
      </c>
      <c r="S434" t="s">
        <v>29</v>
      </c>
      <c r="T434">
        <v>0</v>
      </c>
      <c r="U434">
        <v>0</v>
      </c>
      <c r="V434">
        <v>0</v>
      </c>
      <c r="W434">
        <v>0</v>
      </c>
      <c r="X434">
        <v>0</v>
      </c>
      <c r="Y434">
        <v>0</v>
      </c>
      <c r="Z434">
        <v>0</v>
      </c>
      <c r="AA434">
        <v>0</v>
      </c>
      <c r="AB434">
        <v>0</v>
      </c>
      <c r="AC434">
        <v>0</v>
      </c>
      <c r="AD434">
        <v>0</v>
      </c>
      <c r="AE434">
        <v>0</v>
      </c>
      <c r="AF434">
        <v>0</v>
      </c>
      <c r="AG434">
        <v>0</v>
      </c>
      <c r="AH434">
        <v>0</v>
      </c>
      <c r="AI434">
        <v>0</v>
      </c>
      <c r="AJ434">
        <v>0</v>
      </c>
      <c r="AK434">
        <v>0</v>
      </c>
      <c r="AL434">
        <v>0</v>
      </c>
      <c r="AM434">
        <v>0</v>
      </c>
      <c r="AN434">
        <v>0</v>
      </c>
      <c r="AO434">
        <v>0</v>
      </c>
      <c r="AP434">
        <v>0</v>
      </c>
      <c r="AQ434">
        <v>0</v>
      </c>
      <c r="AR434">
        <v>0</v>
      </c>
      <c r="AS434">
        <v>0</v>
      </c>
      <c r="AT434">
        <v>0</v>
      </c>
      <c r="AU434">
        <v>0</v>
      </c>
      <c r="AV434">
        <v>0</v>
      </c>
      <c r="AW434">
        <v>0</v>
      </c>
      <c r="AX434">
        <v>0</v>
      </c>
      <c r="AY434">
        <v>0</v>
      </c>
      <c r="AZ434">
        <v>0</v>
      </c>
      <c r="BA434">
        <v>0</v>
      </c>
      <c r="BB434">
        <v>0</v>
      </c>
      <c r="BC434">
        <v>0</v>
      </c>
      <c r="BD434">
        <v>0</v>
      </c>
      <c r="BE434">
        <v>0</v>
      </c>
      <c r="BF434">
        <v>0</v>
      </c>
      <c r="BG434">
        <v>0</v>
      </c>
      <c r="BH434">
        <v>0</v>
      </c>
      <c r="BI434">
        <v>0</v>
      </c>
      <c r="BJ434">
        <v>0</v>
      </c>
      <c r="BK434">
        <v>0</v>
      </c>
      <c r="BL434">
        <v>0</v>
      </c>
      <c r="BM434">
        <v>0</v>
      </c>
      <c r="BN434">
        <v>0</v>
      </c>
      <c r="BO434">
        <v>0</v>
      </c>
      <c r="BP434">
        <v>0</v>
      </c>
      <c r="BQ434">
        <v>0</v>
      </c>
      <c r="BR434">
        <v>0</v>
      </c>
      <c r="BS434">
        <v>0</v>
      </c>
    </row>
    <row r="435" spans="1:71" x14ac:dyDescent="0.3">
      <c r="A435" t="s">
        <v>1966</v>
      </c>
      <c r="B435" t="s">
        <v>1967</v>
      </c>
      <c r="C435" t="s">
        <v>29</v>
      </c>
      <c r="D435" t="s">
        <v>29</v>
      </c>
      <c r="E435" t="s">
        <v>29</v>
      </c>
      <c r="F435" t="s">
        <v>816</v>
      </c>
      <c r="G435" t="s">
        <v>1968</v>
      </c>
      <c r="H435">
        <v>2024</v>
      </c>
      <c r="I435">
        <v>11</v>
      </c>
      <c r="J435">
        <v>1</v>
      </c>
      <c r="K435" t="s">
        <v>29</v>
      </c>
      <c r="L435" t="s">
        <v>29</v>
      </c>
      <c r="M435" t="s">
        <v>29</v>
      </c>
      <c r="N435" t="s">
        <v>29</v>
      </c>
      <c r="O435" t="s">
        <v>29</v>
      </c>
      <c r="P435">
        <v>931</v>
      </c>
      <c r="Q435" t="s">
        <v>1969</v>
      </c>
      <c r="R435" t="s">
        <v>29</v>
      </c>
      <c r="S435" t="s">
        <v>29</v>
      </c>
      <c r="T435">
        <v>0</v>
      </c>
      <c r="U435">
        <v>0</v>
      </c>
      <c r="V435">
        <v>0</v>
      </c>
      <c r="W435">
        <v>0</v>
      </c>
      <c r="X435">
        <v>0</v>
      </c>
      <c r="Y435">
        <v>0</v>
      </c>
      <c r="Z435">
        <v>0</v>
      </c>
      <c r="AA435">
        <v>0</v>
      </c>
      <c r="AB435">
        <v>0</v>
      </c>
      <c r="AC435">
        <v>0</v>
      </c>
      <c r="AD435">
        <v>0</v>
      </c>
      <c r="AE435">
        <v>0</v>
      </c>
      <c r="AF435">
        <v>0</v>
      </c>
      <c r="AG435">
        <v>0</v>
      </c>
      <c r="AH435">
        <v>0</v>
      </c>
      <c r="AI435">
        <v>0</v>
      </c>
      <c r="AJ435">
        <v>0</v>
      </c>
      <c r="AK435">
        <v>0</v>
      </c>
      <c r="AL435">
        <v>0</v>
      </c>
      <c r="AM435">
        <v>0</v>
      </c>
      <c r="AN435">
        <v>0</v>
      </c>
      <c r="AO435">
        <v>0</v>
      </c>
      <c r="AP435">
        <v>0</v>
      </c>
      <c r="AQ435">
        <v>0</v>
      </c>
      <c r="AR435">
        <v>0</v>
      </c>
      <c r="AS435">
        <v>0</v>
      </c>
      <c r="AT435">
        <v>0</v>
      </c>
      <c r="AU435">
        <v>0</v>
      </c>
      <c r="AV435">
        <v>0</v>
      </c>
      <c r="AW435">
        <v>0</v>
      </c>
      <c r="AX435">
        <v>0</v>
      </c>
      <c r="AY435">
        <v>0</v>
      </c>
      <c r="AZ435">
        <v>0</v>
      </c>
      <c r="BA435">
        <v>0</v>
      </c>
      <c r="BB435">
        <v>0</v>
      </c>
      <c r="BC435">
        <v>0</v>
      </c>
      <c r="BD435">
        <v>0</v>
      </c>
      <c r="BE435">
        <v>0</v>
      </c>
      <c r="BF435">
        <v>0</v>
      </c>
      <c r="BG435">
        <v>0</v>
      </c>
      <c r="BH435">
        <v>0</v>
      </c>
      <c r="BI435">
        <v>0</v>
      </c>
      <c r="BJ435">
        <v>0</v>
      </c>
      <c r="BK435">
        <v>0</v>
      </c>
      <c r="BL435">
        <v>0</v>
      </c>
      <c r="BM435">
        <v>0</v>
      </c>
      <c r="BN435">
        <v>0</v>
      </c>
      <c r="BO435">
        <v>0</v>
      </c>
      <c r="BP435">
        <v>0</v>
      </c>
      <c r="BQ435">
        <v>0</v>
      </c>
      <c r="BR435">
        <v>0</v>
      </c>
      <c r="BS435">
        <v>0</v>
      </c>
    </row>
    <row r="436" spans="1:71" x14ac:dyDescent="0.3">
      <c r="A436" t="s">
        <v>1970</v>
      </c>
      <c r="B436" t="s">
        <v>1971</v>
      </c>
      <c r="C436" t="s">
        <v>29</v>
      </c>
      <c r="D436" t="s">
        <v>29</v>
      </c>
      <c r="E436" t="s">
        <v>29</v>
      </c>
      <c r="F436" t="s">
        <v>185</v>
      </c>
      <c r="G436" t="s">
        <v>1972</v>
      </c>
      <c r="H436">
        <v>2024</v>
      </c>
      <c r="I436">
        <v>99</v>
      </c>
      <c r="J436">
        <v>5</v>
      </c>
      <c r="K436" t="s">
        <v>29</v>
      </c>
      <c r="L436" t="s">
        <v>29</v>
      </c>
      <c r="M436" t="s">
        <v>29</v>
      </c>
      <c r="N436">
        <v>345</v>
      </c>
      <c r="O436">
        <v>351</v>
      </c>
      <c r="P436" t="s">
        <v>29</v>
      </c>
      <c r="Q436" t="s">
        <v>1973</v>
      </c>
      <c r="R436" t="s">
        <v>29</v>
      </c>
      <c r="S436" t="s">
        <v>29</v>
      </c>
      <c r="T436">
        <v>0</v>
      </c>
      <c r="U436">
        <v>0</v>
      </c>
      <c r="V436">
        <v>0</v>
      </c>
      <c r="W436">
        <v>0</v>
      </c>
      <c r="X436">
        <v>0</v>
      </c>
      <c r="Y436">
        <v>0</v>
      </c>
      <c r="Z436">
        <v>0</v>
      </c>
      <c r="AA436">
        <v>0</v>
      </c>
      <c r="AB436">
        <v>0</v>
      </c>
      <c r="AC436">
        <v>0</v>
      </c>
      <c r="AD436">
        <v>0</v>
      </c>
      <c r="AE436">
        <v>0</v>
      </c>
      <c r="AF436">
        <v>0</v>
      </c>
      <c r="AG436">
        <v>0</v>
      </c>
      <c r="AH436">
        <v>0</v>
      </c>
      <c r="AI436">
        <v>0</v>
      </c>
      <c r="AJ436">
        <v>0</v>
      </c>
      <c r="AK436">
        <v>0</v>
      </c>
      <c r="AL436">
        <v>0</v>
      </c>
      <c r="AM436">
        <v>0</v>
      </c>
      <c r="AN436">
        <v>0</v>
      </c>
      <c r="AO436">
        <v>0</v>
      </c>
      <c r="AP436">
        <v>0</v>
      </c>
      <c r="AQ436">
        <v>0</v>
      </c>
      <c r="AR436">
        <v>0</v>
      </c>
      <c r="AS436">
        <v>0</v>
      </c>
      <c r="AT436">
        <v>0</v>
      </c>
      <c r="AU436">
        <v>0</v>
      </c>
      <c r="AV436">
        <v>0</v>
      </c>
      <c r="AW436">
        <v>0</v>
      </c>
      <c r="AX436">
        <v>0</v>
      </c>
      <c r="AY436">
        <v>0</v>
      </c>
      <c r="AZ436">
        <v>0</v>
      </c>
      <c r="BA436">
        <v>0</v>
      </c>
      <c r="BB436">
        <v>0</v>
      </c>
      <c r="BC436">
        <v>0</v>
      </c>
      <c r="BD436">
        <v>0</v>
      </c>
      <c r="BE436">
        <v>0</v>
      </c>
      <c r="BF436">
        <v>0</v>
      </c>
      <c r="BG436">
        <v>0</v>
      </c>
      <c r="BH436">
        <v>0</v>
      </c>
      <c r="BI436">
        <v>0</v>
      </c>
      <c r="BJ436">
        <v>0</v>
      </c>
      <c r="BK436">
        <v>0</v>
      </c>
      <c r="BL436">
        <v>0</v>
      </c>
      <c r="BM436">
        <v>0</v>
      </c>
      <c r="BN436">
        <v>0</v>
      </c>
      <c r="BO436">
        <v>0</v>
      </c>
      <c r="BP436">
        <v>0</v>
      </c>
      <c r="BQ436">
        <v>0</v>
      </c>
      <c r="BR436">
        <v>0</v>
      </c>
      <c r="BS436">
        <v>0</v>
      </c>
    </row>
    <row r="437" spans="1:71" x14ac:dyDescent="0.3">
      <c r="A437" t="s">
        <v>1974</v>
      </c>
      <c r="B437" t="s">
        <v>1975</v>
      </c>
      <c r="C437" t="s">
        <v>29</v>
      </c>
      <c r="D437" t="s">
        <v>29</v>
      </c>
      <c r="E437" t="s">
        <v>29</v>
      </c>
      <c r="F437" t="s">
        <v>897</v>
      </c>
      <c r="G437" t="s">
        <v>1976</v>
      </c>
      <c r="H437">
        <v>2024</v>
      </c>
      <c r="I437">
        <v>45</v>
      </c>
      <c r="J437">
        <v>8</v>
      </c>
      <c r="K437" t="s">
        <v>29</v>
      </c>
      <c r="L437" t="s">
        <v>29</v>
      </c>
      <c r="M437" t="s">
        <v>29</v>
      </c>
      <c r="N437">
        <v>1607</v>
      </c>
      <c r="O437">
        <v>1625</v>
      </c>
      <c r="P437" t="s">
        <v>29</v>
      </c>
      <c r="Q437" t="s">
        <v>1977</v>
      </c>
      <c r="R437" t="s">
        <v>29</v>
      </c>
      <c r="S437" t="s">
        <v>29</v>
      </c>
      <c r="T437">
        <v>0</v>
      </c>
      <c r="U437">
        <v>0</v>
      </c>
      <c r="V437">
        <v>0</v>
      </c>
      <c r="W437">
        <v>0</v>
      </c>
      <c r="X437">
        <v>0</v>
      </c>
      <c r="Y437">
        <v>0</v>
      </c>
      <c r="Z437">
        <v>0</v>
      </c>
      <c r="AA437">
        <v>0</v>
      </c>
      <c r="AB437">
        <v>0</v>
      </c>
      <c r="AC437">
        <v>0</v>
      </c>
      <c r="AD437">
        <v>0</v>
      </c>
      <c r="AE437">
        <v>0</v>
      </c>
      <c r="AF437">
        <v>0</v>
      </c>
      <c r="AG437">
        <v>0</v>
      </c>
      <c r="AH437">
        <v>0</v>
      </c>
      <c r="AI437">
        <v>0</v>
      </c>
      <c r="AJ437">
        <v>0</v>
      </c>
      <c r="AK437">
        <v>0</v>
      </c>
      <c r="AL437">
        <v>0</v>
      </c>
      <c r="AM437">
        <v>0</v>
      </c>
      <c r="AN437">
        <v>0</v>
      </c>
      <c r="AO437">
        <v>0</v>
      </c>
      <c r="AP437">
        <v>0</v>
      </c>
      <c r="AQ437">
        <v>0</v>
      </c>
      <c r="AR437">
        <v>0</v>
      </c>
      <c r="AS437">
        <v>0</v>
      </c>
      <c r="AT437">
        <v>0</v>
      </c>
      <c r="AU437">
        <v>0</v>
      </c>
      <c r="AV437">
        <v>0</v>
      </c>
      <c r="AW437">
        <v>0</v>
      </c>
      <c r="AX437">
        <v>0</v>
      </c>
      <c r="AY437">
        <v>0</v>
      </c>
      <c r="AZ437">
        <v>0</v>
      </c>
      <c r="BA437">
        <v>0</v>
      </c>
      <c r="BB437">
        <v>0</v>
      </c>
      <c r="BC437">
        <v>0</v>
      </c>
      <c r="BD437">
        <v>0</v>
      </c>
      <c r="BE437">
        <v>0</v>
      </c>
      <c r="BF437">
        <v>0</v>
      </c>
      <c r="BG437">
        <v>0</v>
      </c>
      <c r="BH437">
        <v>0</v>
      </c>
      <c r="BI437">
        <v>0</v>
      </c>
      <c r="BJ437">
        <v>0</v>
      </c>
      <c r="BK437">
        <v>0</v>
      </c>
      <c r="BL437">
        <v>0</v>
      </c>
      <c r="BM437">
        <v>0</v>
      </c>
      <c r="BN437">
        <v>0</v>
      </c>
      <c r="BO437">
        <v>0</v>
      </c>
      <c r="BP437">
        <v>0</v>
      </c>
      <c r="BQ437">
        <v>0</v>
      </c>
      <c r="BR437">
        <v>0</v>
      </c>
      <c r="BS437">
        <v>0</v>
      </c>
    </row>
    <row r="438" spans="1:71" x14ac:dyDescent="0.3">
      <c r="A438" t="s">
        <v>1978</v>
      </c>
      <c r="B438" t="s">
        <v>1979</v>
      </c>
      <c r="C438" t="s">
        <v>29</v>
      </c>
      <c r="D438" t="s">
        <v>29</v>
      </c>
      <c r="E438" t="s">
        <v>29</v>
      </c>
      <c r="F438" t="s">
        <v>1980</v>
      </c>
      <c r="G438" t="s">
        <v>29</v>
      </c>
      <c r="H438">
        <v>2024</v>
      </c>
      <c r="I438" t="s">
        <v>29</v>
      </c>
      <c r="J438" t="s">
        <v>29</v>
      </c>
      <c r="K438" t="s">
        <v>29</v>
      </c>
      <c r="L438" t="s">
        <v>29</v>
      </c>
      <c r="M438" t="s">
        <v>29</v>
      </c>
      <c r="N438" t="s">
        <v>29</v>
      </c>
      <c r="O438" t="s">
        <v>29</v>
      </c>
      <c r="P438" t="s">
        <v>29</v>
      </c>
      <c r="Q438" t="s">
        <v>1981</v>
      </c>
      <c r="R438" t="s">
        <v>29</v>
      </c>
      <c r="S438" t="s">
        <v>29</v>
      </c>
      <c r="T438">
        <v>0</v>
      </c>
      <c r="U438">
        <v>0</v>
      </c>
      <c r="V438">
        <v>0</v>
      </c>
      <c r="W438">
        <v>0</v>
      </c>
      <c r="X438">
        <v>0</v>
      </c>
      <c r="Y438">
        <v>0</v>
      </c>
      <c r="Z438">
        <v>0</v>
      </c>
      <c r="AA438">
        <v>0</v>
      </c>
      <c r="AB438">
        <v>0</v>
      </c>
      <c r="AC438">
        <v>0</v>
      </c>
      <c r="AD438">
        <v>0</v>
      </c>
      <c r="AE438">
        <v>0</v>
      </c>
      <c r="AF438">
        <v>0</v>
      </c>
      <c r="AG438">
        <v>0</v>
      </c>
      <c r="AH438">
        <v>0</v>
      </c>
      <c r="AI438">
        <v>0</v>
      </c>
      <c r="AJ438">
        <v>0</v>
      </c>
      <c r="AK438">
        <v>0</v>
      </c>
      <c r="AL438">
        <v>0</v>
      </c>
      <c r="AM438">
        <v>0</v>
      </c>
      <c r="AN438">
        <v>0</v>
      </c>
      <c r="AO438">
        <v>0</v>
      </c>
      <c r="AP438">
        <v>0</v>
      </c>
      <c r="AQ438">
        <v>0</v>
      </c>
      <c r="AR438">
        <v>0</v>
      </c>
      <c r="AS438">
        <v>0</v>
      </c>
      <c r="AT438">
        <v>0</v>
      </c>
      <c r="AU438">
        <v>0</v>
      </c>
      <c r="AV438">
        <v>0</v>
      </c>
      <c r="AW438">
        <v>0</v>
      </c>
      <c r="AX438">
        <v>0</v>
      </c>
      <c r="AY438">
        <v>0</v>
      </c>
      <c r="AZ438">
        <v>0</v>
      </c>
      <c r="BA438">
        <v>0</v>
      </c>
      <c r="BB438">
        <v>0</v>
      </c>
      <c r="BC438">
        <v>0</v>
      </c>
      <c r="BD438">
        <v>0</v>
      </c>
      <c r="BE438">
        <v>0</v>
      </c>
      <c r="BF438">
        <v>0</v>
      </c>
      <c r="BG438">
        <v>0</v>
      </c>
      <c r="BH438">
        <v>0</v>
      </c>
      <c r="BI438">
        <v>0</v>
      </c>
      <c r="BJ438">
        <v>0</v>
      </c>
      <c r="BK438">
        <v>0</v>
      </c>
      <c r="BL438">
        <v>0</v>
      </c>
      <c r="BM438">
        <v>0</v>
      </c>
      <c r="BN438">
        <v>0</v>
      </c>
      <c r="BO438">
        <v>0</v>
      </c>
      <c r="BP438">
        <v>0</v>
      </c>
      <c r="BQ438">
        <v>0</v>
      </c>
      <c r="BR438">
        <v>0</v>
      </c>
      <c r="BS438">
        <v>0</v>
      </c>
    </row>
    <row r="439" spans="1:71" x14ac:dyDescent="0.3">
      <c r="A439" t="s">
        <v>1982</v>
      </c>
      <c r="B439" t="s">
        <v>1983</v>
      </c>
      <c r="C439" t="s">
        <v>29</v>
      </c>
      <c r="D439" t="s">
        <v>29</v>
      </c>
      <c r="E439" t="s">
        <v>29</v>
      </c>
      <c r="F439" t="s">
        <v>1984</v>
      </c>
      <c r="G439" t="s">
        <v>1503</v>
      </c>
      <c r="H439">
        <v>2024</v>
      </c>
      <c r="I439">
        <v>16</v>
      </c>
      <c r="J439" t="s">
        <v>29</v>
      </c>
      <c r="K439" t="s">
        <v>29</v>
      </c>
      <c r="L439">
        <v>3</v>
      </c>
      <c r="M439" t="s">
        <v>29</v>
      </c>
      <c r="N439" t="s">
        <v>1985</v>
      </c>
      <c r="O439" t="s">
        <v>1986</v>
      </c>
      <c r="P439" t="s">
        <v>29</v>
      </c>
      <c r="Q439" t="s">
        <v>1987</v>
      </c>
      <c r="R439" t="s">
        <v>29</v>
      </c>
      <c r="S439" t="s">
        <v>29</v>
      </c>
      <c r="T439">
        <v>0</v>
      </c>
      <c r="U439">
        <v>0</v>
      </c>
      <c r="V439">
        <v>0</v>
      </c>
      <c r="W439">
        <v>0</v>
      </c>
      <c r="X439">
        <v>0</v>
      </c>
      <c r="Y439">
        <v>0</v>
      </c>
      <c r="Z439">
        <v>0</v>
      </c>
      <c r="AA439">
        <v>0</v>
      </c>
      <c r="AB439">
        <v>0</v>
      </c>
      <c r="AC439">
        <v>0</v>
      </c>
      <c r="AD439">
        <v>0</v>
      </c>
      <c r="AE439">
        <v>0</v>
      </c>
      <c r="AF439">
        <v>0</v>
      </c>
      <c r="AG439">
        <v>0</v>
      </c>
      <c r="AH439">
        <v>0</v>
      </c>
      <c r="AI439">
        <v>0</v>
      </c>
      <c r="AJ439">
        <v>0</v>
      </c>
      <c r="AK439">
        <v>0</v>
      </c>
      <c r="AL439">
        <v>0</v>
      </c>
      <c r="AM439">
        <v>0</v>
      </c>
      <c r="AN439">
        <v>0</v>
      </c>
      <c r="AO439">
        <v>0</v>
      </c>
      <c r="AP439">
        <v>0</v>
      </c>
      <c r="AQ439">
        <v>0</v>
      </c>
      <c r="AR439">
        <v>0</v>
      </c>
      <c r="AS439">
        <v>0</v>
      </c>
      <c r="AT439">
        <v>0</v>
      </c>
      <c r="AU439">
        <v>0</v>
      </c>
      <c r="AV439">
        <v>0</v>
      </c>
      <c r="AW439">
        <v>0</v>
      </c>
      <c r="AX439">
        <v>0</v>
      </c>
      <c r="AY439">
        <v>0</v>
      </c>
      <c r="AZ439">
        <v>0</v>
      </c>
      <c r="BA439">
        <v>0</v>
      </c>
      <c r="BB439">
        <v>0</v>
      </c>
      <c r="BC439">
        <v>0</v>
      </c>
      <c r="BD439">
        <v>0</v>
      </c>
      <c r="BE439">
        <v>0</v>
      </c>
      <c r="BF439">
        <v>0</v>
      </c>
      <c r="BG439">
        <v>0</v>
      </c>
      <c r="BH439">
        <v>0</v>
      </c>
      <c r="BI439">
        <v>0</v>
      </c>
      <c r="BJ439">
        <v>0</v>
      </c>
      <c r="BK439">
        <v>0</v>
      </c>
      <c r="BL439">
        <v>0</v>
      </c>
      <c r="BM439">
        <v>0</v>
      </c>
      <c r="BN439">
        <v>0</v>
      </c>
      <c r="BO439">
        <v>0</v>
      </c>
      <c r="BP439">
        <v>0</v>
      </c>
      <c r="BQ439">
        <v>0</v>
      </c>
      <c r="BR439">
        <v>0</v>
      </c>
      <c r="BS439">
        <v>0</v>
      </c>
    </row>
    <row r="440" spans="1:71" x14ac:dyDescent="0.3">
      <c r="A440" t="s">
        <v>1988</v>
      </c>
      <c r="B440" t="s">
        <v>1989</v>
      </c>
      <c r="C440" t="s">
        <v>29</v>
      </c>
      <c r="D440" t="s">
        <v>29</v>
      </c>
      <c r="E440" t="s">
        <v>29</v>
      </c>
      <c r="F440" t="s">
        <v>276</v>
      </c>
      <c r="G440" t="s">
        <v>1503</v>
      </c>
      <c r="H440">
        <v>2024</v>
      </c>
      <c r="I440">
        <v>14</v>
      </c>
      <c r="J440">
        <v>3</v>
      </c>
      <c r="K440" t="s">
        <v>29</v>
      </c>
      <c r="L440" t="s">
        <v>29</v>
      </c>
      <c r="M440" t="s">
        <v>29</v>
      </c>
      <c r="N440" t="s">
        <v>29</v>
      </c>
      <c r="O440" t="s">
        <v>29</v>
      </c>
      <c r="P440">
        <v>2.158244024127194E+16</v>
      </c>
      <c r="Q440" t="s">
        <v>1990</v>
      </c>
      <c r="R440" t="s">
        <v>29</v>
      </c>
      <c r="S440" t="s">
        <v>29</v>
      </c>
      <c r="T440">
        <v>0</v>
      </c>
      <c r="U440">
        <v>0</v>
      </c>
      <c r="V440">
        <v>0</v>
      </c>
      <c r="W440">
        <v>0</v>
      </c>
      <c r="X440">
        <v>0</v>
      </c>
      <c r="Y440">
        <v>0</v>
      </c>
      <c r="Z440">
        <v>0</v>
      </c>
      <c r="AA440">
        <v>0</v>
      </c>
      <c r="AB440">
        <v>0</v>
      </c>
      <c r="AC440">
        <v>0</v>
      </c>
      <c r="AD440">
        <v>0</v>
      </c>
      <c r="AE440">
        <v>0</v>
      </c>
      <c r="AF440">
        <v>0</v>
      </c>
      <c r="AG440">
        <v>0</v>
      </c>
      <c r="AH440">
        <v>0</v>
      </c>
      <c r="AI440">
        <v>0</v>
      </c>
      <c r="AJ440">
        <v>0</v>
      </c>
      <c r="AK440">
        <v>0</v>
      </c>
      <c r="AL440">
        <v>0</v>
      </c>
      <c r="AM440">
        <v>0</v>
      </c>
      <c r="AN440">
        <v>0</v>
      </c>
      <c r="AO440">
        <v>0</v>
      </c>
      <c r="AP440">
        <v>0</v>
      </c>
      <c r="AQ440">
        <v>0</v>
      </c>
      <c r="AR440">
        <v>0</v>
      </c>
      <c r="AS440">
        <v>0</v>
      </c>
      <c r="AT440">
        <v>0</v>
      </c>
      <c r="AU440">
        <v>0</v>
      </c>
      <c r="AV440">
        <v>0</v>
      </c>
      <c r="AW440">
        <v>0</v>
      </c>
      <c r="AX440">
        <v>0</v>
      </c>
      <c r="AY440">
        <v>0</v>
      </c>
      <c r="AZ440">
        <v>0</v>
      </c>
      <c r="BA440">
        <v>0</v>
      </c>
      <c r="BB440">
        <v>0</v>
      </c>
      <c r="BC440">
        <v>0</v>
      </c>
      <c r="BD440">
        <v>0</v>
      </c>
      <c r="BE440">
        <v>0</v>
      </c>
      <c r="BF440">
        <v>0</v>
      </c>
      <c r="BG440">
        <v>0</v>
      </c>
      <c r="BH440">
        <v>0</v>
      </c>
      <c r="BI440">
        <v>0</v>
      </c>
      <c r="BJ440">
        <v>0</v>
      </c>
      <c r="BK440">
        <v>0</v>
      </c>
      <c r="BL440">
        <v>0</v>
      </c>
      <c r="BM440">
        <v>0</v>
      </c>
      <c r="BN440">
        <v>0</v>
      </c>
      <c r="BO440">
        <v>0</v>
      </c>
      <c r="BP440">
        <v>0</v>
      </c>
      <c r="BQ440">
        <v>0</v>
      </c>
      <c r="BR440">
        <v>0</v>
      </c>
      <c r="BS440">
        <v>0</v>
      </c>
    </row>
    <row r="441" spans="1:71" x14ac:dyDescent="0.3">
      <c r="A441" t="s">
        <v>1991</v>
      </c>
      <c r="B441" t="s">
        <v>1992</v>
      </c>
      <c r="C441" t="s">
        <v>29</v>
      </c>
      <c r="D441" t="s">
        <v>29</v>
      </c>
      <c r="E441" t="s">
        <v>29</v>
      </c>
      <c r="F441" t="s">
        <v>486</v>
      </c>
      <c r="G441" t="s">
        <v>1503</v>
      </c>
      <c r="H441">
        <v>2024</v>
      </c>
      <c r="I441">
        <v>16</v>
      </c>
      <c r="J441">
        <v>14</v>
      </c>
      <c r="K441" t="s">
        <v>29</v>
      </c>
      <c r="L441" t="s">
        <v>29</v>
      </c>
      <c r="M441" t="s">
        <v>29</v>
      </c>
      <c r="N441" t="s">
        <v>29</v>
      </c>
      <c r="O441" t="s">
        <v>29</v>
      </c>
      <c r="P441">
        <v>6080</v>
      </c>
      <c r="Q441" t="s">
        <v>1993</v>
      </c>
      <c r="R441" t="s">
        <v>29</v>
      </c>
      <c r="S441" t="s">
        <v>29</v>
      </c>
      <c r="T441">
        <v>0</v>
      </c>
      <c r="U441">
        <v>0</v>
      </c>
      <c r="V441">
        <v>0</v>
      </c>
      <c r="W441">
        <v>0</v>
      </c>
      <c r="X441">
        <v>0</v>
      </c>
      <c r="Y441">
        <v>0</v>
      </c>
      <c r="Z441">
        <v>0</v>
      </c>
      <c r="AA441">
        <v>0</v>
      </c>
      <c r="AB441">
        <v>0</v>
      </c>
      <c r="AC441">
        <v>0</v>
      </c>
      <c r="AD441">
        <v>0</v>
      </c>
      <c r="AE441">
        <v>0</v>
      </c>
      <c r="AF441">
        <v>0</v>
      </c>
      <c r="AG441">
        <v>0</v>
      </c>
      <c r="AH441">
        <v>0</v>
      </c>
      <c r="AI441">
        <v>0</v>
      </c>
      <c r="AJ441">
        <v>0</v>
      </c>
      <c r="AK441">
        <v>0</v>
      </c>
      <c r="AL441">
        <v>0</v>
      </c>
      <c r="AM441">
        <v>0</v>
      </c>
      <c r="AN441">
        <v>0</v>
      </c>
      <c r="AO441">
        <v>0</v>
      </c>
      <c r="AP441">
        <v>0</v>
      </c>
      <c r="AQ441">
        <v>0</v>
      </c>
      <c r="AR441">
        <v>0</v>
      </c>
      <c r="AS441">
        <v>0</v>
      </c>
      <c r="AT441">
        <v>0</v>
      </c>
      <c r="AU441">
        <v>0</v>
      </c>
      <c r="AV441">
        <v>0</v>
      </c>
      <c r="AW441">
        <v>0</v>
      </c>
      <c r="AX441">
        <v>0</v>
      </c>
      <c r="AY441">
        <v>0</v>
      </c>
      <c r="AZ441">
        <v>0</v>
      </c>
      <c r="BA441">
        <v>0</v>
      </c>
      <c r="BB441">
        <v>0</v>
      </c>
      <c r="BC441">
        <v>0</v>
      </c>
      <c r="BD441">
        <v>0</v>
      </c>
      <c r="BE441">
        <v>0</v>
      </c>
      <c r="BF441">
        <v>0</v>
      </c>
      <c r="BG441">
        <v>0</v>
      </c>
      <c r="BH441">
        <v>0</v>
      </c>
      <c r="BI441">
        <v>0</v>
      </c>
      <c r="BJ441">
        <v>0</v>
      </c>
      <c r="BK441">
        <v>0</v>
      </c>
      <c r="BL441">
        <v>0</v>
      </c>
      <c r="BM441">
        <v>0</v>
      </c>
      <c r="BN441">
        <v>0</v>
      </c>
      <c r="BO441">
        <v>0</v>
      </c>
      <c r="BP441">
        <v>0</v>
      </c>
      <c r="BQ441">
        <v>0</v>
      </c>
      <c r="BR441">
        <v>0</v>
      </c>
      <c r="BS441">
        <v>0</v>
      </c>
    </row>
    <row r="442" spans="1:71" x14ac:dyDescent="0.3">
      <c r="A442" t="s">
        <v>1994</v>
      </c>
      <c r="B442" t="s">
        <v>1995</v>
      </c>
      <c r="C442" t="s">
        <v>29</v>
      </c>
      <c r="D442" t="s">
        <v>29</v>
      </c>
      <c r="E442" t="s">
        <v>29</v>
      </c>
      <c r="F442" t="s">
        <v>1996</v>
      </c>
      <c r="G442" t="s">
        <v>1997</v>
      </c>
      <c r="H442">
        <v>2024</v>
      </c>
      <c r="I442">
        <v>23</v>
      </c>
      <c r="J442">
        <v>2</v>
      </c>
      <c r="K442" t="s">
        <v>29</v>
      </c>
      <c r="L442" t="s">
        <v>29</v>
      </c>
      <c r="M442" t="s">
        <v>29</v>
      </c>
      <c r="N442">
        <v>271</v>
      </c>
      <c r="O442">
        <v>280</v>
      </c>
      <c r="P442" t="s">
        <v>29</v>
      </c>
      <c r="Q442" t="s">
        <v>29</v>
      </c>
      <c r="R442" t="s">
        <v>29</v>
      </c>
      <c r="S442" t="s">
        <v>29</v>
      </c>
      <c r="T442">
        <v>0</v>
      </c>
      <c r="U442">
        <v>0</v>
      </c>
      <c r="V442">
        <v>0</v>
      </c>
      <c r="W442">
        <v>0</v>
      </c>
      <c r="X442">
        <v>0</v>
      </c>
      <c r="Y442">
        <v>0</v>
      </c>
      <c r="Z442">
        <v>0</v>
      </c>
      <c r="AA442">
        <v>0</v>
      </c>
      <c r="AB442">
        <v>0</v>
      </c>
      <c r="AC442">
        <v>0</v>
      </c>
      <c r="AD442">
        <v>0</v>
      </c>
      <c r="AE442">
        <v>0</v>
      </c>
      <c r="AF442">
        <v>0</v>
      </c>
      <c r="AG442">
        <v>0</v>
      </c>
      <c r="AH442">
        <v>0</v>
      </c>
      <c r="AI442">
        <v>0</v>
      </c>
      <c r="AJ442">
        <v>0</v>
      </c>
      <c r="AK442">
        <v>0</v>
      </c>
      <c r="AL442">
        <v>0</v>
      </c>
      <c r="AM442">
        <v>0</v>
      </c>
      <c r="AN442">
        <v>0</v>
      </c>
      <c r="AO442">
        <v>0</v>
      </c>
      <c r="AP442">
        <v>0</v>
      </c>
      <c r="AQ442">
        <v>0</v>
      </c>
      <c r="AR442">
        <v>0</v>
      </c>
      <c r="AS442">
        <v>0</v>
      </c>
      <c r="AT442">
        <v>0</v>
      </c>
      <c r="AU442">
        <v>0</v>
      </c>
      <c r="AV442">
        <v>0</v>
      </c>
      <c r="AW442">
        <v>0</v>
      </c>
      <c r="AX442">
        <v>0</v>
      </c>
      <c r="AY442">
        <v>0</v>
      </c>
      <c r="AZ442">
        <v>0</v>
      </c>
      <c r="BA442">
        <v>0</v>
      </c>
      <c r="BB442">
        <v>0</v>
      </c>
      <c r="BC442">
        <v>0</v>
      </c>
      <c r="BD442">
        <v>0</v>
      </c>
      <c r="BE442">
        <v>0</v>
      </c>
      <c r="BF442">
        <v>0</v>
      </c>
      <c r="BG442">
        <v>0</v>
      </c>
      <c r="BH442">
        <v>0</v>
      </c>
      <c r="BI442">
        <v>0</v>
      </c>
      <c r="BJ442">
        <v>0</v>
      </c>
      <c r="BK442">
        <v>0</v>
      </c>
      <c r="BL442">
        <v>0</v>
      </c>
      <c r="BM442">
        <v>0</v>
      </c>
      <c r="BN442">
        <v>0</v>
      </c>
      <c r="BO442">
        <v>0</v>
      </c>
      <c r="BP442">
        <v>0</v>
      </c>
      <c r="BQ442">
        <v>0</v>
      </c>
      <c r="BR442">
        <v>0</v>
      </c>
      <c r="BS442">
        <v>0</v>
      </c>
    </row>
    <row r="443" spans="1:71" x14ac:dyDescent="0.3">
      <c r="A443" t="s">
        <v>1998</v>
      </c>
      <c r="B443" t="s">
        <v>1999</v>
      </c>
      <c r="C443" t="s">
        <v>29</v>
      </c>
      <c r="D443" t="s">
        <v>29</v>
      </c>
      <c r="E443" t="s">
        <v>29</v>
      </c>
      <c r="F443" t="s">
        <v>30</v>
      </c>
      <c r="G443" t="s">
        <v>1906</v>
      </c>
      <c r="H443">
        <v>2024</v>
      </c>
      <c r="I443">
        <v>90</v>
      </c>
      <c r="J443" t="s">
        <v>29</v>
      </c>
      <c r="K443" t="s">
        <v>29</v>
      </c>
      <c r="L443" t="s">
        <v>29</v>
      </c>
      <c r="M443" t="s">
        <v>29</v>
      </c>
      <c r="N443" t="s">
        <v>29</v>
      </c>
      <c r="O443" t="s">
        <v>29</v>
      </c>
      <c r="P443">
        <v>102575</v>
      </c>
      <c r="Q443" t="s">
        <v>2000</v>
      </c>
      <c r="R443" t="s">
        <v>29</v>
      </c>
      <c r="S443" t="s">
        <v>29</v>
      </c>
      <c r="T443">
        <v>0</v>
      </c>
      <c r="U443">
        <v>0</v>
      </c>
      <c r="V443">
        <v>0</v>
      </c>
      <c r="W443">
        <v>0</v>
      </c>
      <c r="X443">
        <v>0</v>
      </c>
      <c r="Y443">
        <v>0</v>
      </c>
      <c r="Z443">
        <v>0</v>
      </c>
      <c r="AA443">
        <v>0</v>
      </c>
      <c r="AB443">
        <v>0</v>
      </c>
      <c r="AC443">
        <v>0</v>
      </c>
      <c r="AD443">
        <v>0</v>
      </c>
      <c r="AE443">
        <v>0</v>
      </c>
      <c r="AF443">
        <v>0</v>
      </c>
      <c r="AG443">
        <v>0</v>
      </c>
      <c r="AH443">
        <v>0</v>
      </c>
      <c r="AI443">
        <v>0</v>
      </c>
      <c r="AJ443">
        <v>0</v>
      </c>
      <c r="AK443">
        <v>0</v>
      </c>
      <c r="AL443">
        <v>0</v>
      </c>
      <c r="AM443">
        <v>0</v>
      </c>
      <c r="AN443">
        <v>0</v>
      </c>
      <c r="AO443">
        <v>0</v>
      </c>
      <c r="AP443">
        <v>0</v>
      </c>
      <c r="AQ443">
        <v>0</v>
      </c>
      <c r="AR443">
        <v>0</v>
      </c>
      <c r="AS443">
        <v>0</v>
      </c>
      <c r="AT443">
        <v>0</v>
      </c>
      <c r="AU443">
        <v>0</v>
      </c>
      <c r="AV443">
        <v>0</v>
      </c>
      <c r="AW443">
        <v>0</v>
      </c>
      <c r="AX443">
        <v>0</v>
      </c>
      <c r="AY443">
        <v>0</v>
      </c>
      <c r="AZ443">
        <v>0</v>
      </c>
      <c r="BA443">
        <v>0</v>
      </c>
      <c r="BB443">
        <v>0</v>
      </c>
      <c r="BC443">
        <v>0</v>
      </c>
      <c r="BD443">
        <v>0</v>
      </c>
      <c r="BE443">
        <v>0</v>
      </c>
      <c r="BF443">
        <v>0</v>
      </c>
      <c r="BG443">
        <v>0</v>
      </c>
      <c r="BH443">
        <v>0</v>
      </c>
      <c r="BI443">
        <v>0</v>
      </c>
      <c r="BJ443">
        <v>0</v>
      </c>
      <c r="BK443">
        <v>0</v>
      </c>
      <c r="BL443">
        <v>0</v>
      </c>
      <c r="BM443">
        <v>0</v>
      </c>
      <c r="BN443">
        <v>0</v>
      </c>
      <c r="BO443">
        <v>0</v>
      </c>
      <c r="BP443">
        <v>0</v>
      </c>
      <c r="BQ443">
        <v>0</v>
      </c>
      <c r="BR443">
        <v>0</v>
      </c>
      <c r="BS443">
        <v>0</v>
      </c>
    </row>
    <row r="444" spans="1:71" x14ac:dyDescent="0.3">
      <c r="A444" t="s">
        <v>2001</v>
      </c>
      <c r="B444" t="s">
        <v>2002</v>
      </c>
      <c r="C444" t="s">
        <v>29</v>
      </c>
      <c r="D444" t="s">
        <v>29</v>
      </c>
      <c r="E444" t="s">
        <v>29</v>
      </c>
      <c r="F444" t="s">
        <v>30</v>
      </c>
      <c r="G444" t="s">
        <v>1906</v>
      </c>
      <c r="H444">
        <v>2024</v>
      </c>
      <c r="I444">
        <v>90</v>
      </c>
      <c r="J444" t="s">
        <v>29</v>
      </c>
      <c r="K444" t="s">
        <v>29</v>
      </c>
      <c r="L444" t="s">
        <v>29</v>
      </c>
      <c r="M444" t="s">
        <v>29</v>
      </c>
      <c r="N444" t="s">
        <v>29</v>
      </c>
      <c r="O444" t="s">
        <v>29</v>
      </c>
      <c r="P444">
        <v>102576</v>
      </c>
      <c r="Q444" t="s">
        <v>2003</v>
      </c>
      <c r="R444" t="s">
        <v>29</v>
      </c>
      <c r="S444" t="s">
        <v>29</v>
      </c>
      <c r="T444">
        <v>0</v>
      </c>
      <c r="U444">
        <v>0</v>
      </c>
      <c r="V444">
        <v>0</v>
      </c>
      <c r="W444">
        <v>0</v>
      </c>
      <c r="X444">
        <v>0</v>
      </c>
      <c r="Y444">
        <v>0</v>
      </c>
      <c r="Z444">
        <v>0</v>
      </c>
      <c r="AA444">
        <v>0</v>
      </c>
      <c r="AB444">
        <v>0</v>
      </c>
      <c r="AC444">
        <v>0</v>
      </c>
      <c r="AD444">
        <v>0</v>
      </c>
      <c r="AE444">
        <v>0</v>
      </c>
      <c r="AF444">
        <v>0</v>
      </c>
      <c r="AG444">
        <v>0</v>
      </c>
      <c r="AH444">
        <v>0</v>
      </c>
      <c r="AI444">
        <v>0</v>
      </c>
      <c r="AJ444">
        <v>0</v>
      </c>
      <c r="AK444">
        <v>0</v>
      </c>
      <c r="AL444">
        <v>0</v>
      </c>
      <c r="AM444">
        <v>0</v>
      </c>
      <c r="AN444">
        <v>0</v>
      </c>
      <c r="AO444">
        <v>0</v>
      </c>
      <c r="AP444">
        <v>0</v>
      </c>
      <c r="AQ444">
        <v>0</v>
      </c>
      <c r="AR444">
        <v>0</v>
      </c>
      <c r="AS444">
        <v>0</v>
      </c>
      <c r="AT444">
        <v>0</v>
      </c>
      <c r="AU444">
        <v>0</v>
      </c>
      <c r="AV444">
        <v>0</v>
      </c>
      <c r="AW444">
        <v>0</v>
      </c>
      <c r="AX444">
        <v>0</v>
      </c>
      <c r="AY444">
        <v>0</v>
      </c>
      <c r="AZ444">
        <v>0</v>
      </c>
      <c r="BA444">
        <v>0</v>
      </c>
      <c r="BB444">
        <v>0</v>
      </c>
      <c r="BC444">
        <v>0</v>
      </c>
      <c r="BD444">
        <v>0</v>
      </c>
      <c r="BE444">
        <v>0</v>
      </c>
      <c r="BF444">
        <v>0</v>
      </c>
      <c r="BG444">
        <v>0</v>
      </c>
      <c r="BH444">
        <v>0</v>
      </c>
      <c r="BI444">
        <v>0</v>
      </c>
      <c r="BJ444">
        <v>0</v>
      </c>
      <c r="BK444">
        <v>0</v>
      </c>
      <c r="BL444">
        <v>0</v>
      </c>
      <c r="BM444">
        <v>0</v>
      </c>
      <c r="BN444">
        <v>0</v>
      </c>
      <c r="BO444">
        <v>0</v>
      </c>
      <c r="BP444">
        <v>0</v>
      </c>
      <c r="BQ444">
        <v>0</v>
      </c>
      <c r="BR444">
        <v>0</v>
      </c>
      <c r="BS444">
        <v>0</v>
      </c>
    </row>
    <row r="445" spans="1:71" x14ac:dyDescent="0.3">
      <c r="A445" t="s">
        <v>2004</v>
      </c>
      <c r="B445" t="s">
        <v>2005</v>
      </c>
      <c r="C445" t="s">
        <v>29</v>
      </c>
      <c r="D445" t="s">
        <v>29</v>
      </c>
      <c r="E445" t="s">
        <v>29</v>
      </c>
      <c r="F445" t="s">
        <v>2006</v>
      </c>
      <c r="G445" t="s">
        <v>944</v>
      </c>
      <c r="H445">
        <v>2024</v>
      </c>
      <c r="I445">
        <v>11</v>
      </c>
      <c r="J445">
        <v>6</v>
      </c>
      <c r="K445" t="s">
        <v>29</v>
      </c>
      <c r="L445" t="s">
        <v>29</v>
      </c>
      <c r="M445" t="s">
        <v>29</v>
      </c>
      <c r="N445">
        <v>194</v>
      </c>
      <c r="O445">
        <v>204</v>
      </c>
      <c r="P445" t="s">
        <v>29</v>
      </c>
      <c r="Q445" t="s">
        <v>2007</v>
      </c>
      <c r="R445" t="s">
        <v>29</v>
      </c>
      <c r="S445" t="s">
        <v>29</v>
      </c>
      <c r="T445">
        <v>0</v>
      </c>
      <c r="U445">
        <v>0</v>
      </c>
      <c r="V445">
        <v>0</v>
      </c>
      <c r="W445">
        <v>0</v>
      </c>
      <c r="X445">
        <v>0</v>
      </c>
      <c r="Y445">
        <v>0</v>
      </c>
      <c r="Z445">
        <v>0</v>
      </c>
      <c r="AA445">
        <v>0</v>
      </c>
      <c r="AB445">
        <v>0</v>
      </c>
      <c r="AC445">
        <v>0</v>
      </c>
      <c r="AD445">
        <v>0</v>
      </c>
      <c r="AE445">
        <v>0</v>
      </c>
      <c r="AF445">
        <v>0</v>
      </c>
      <c r="AG445">
        <v>0</v>
      </c>
      <c r="AH445">
        <v>0</v>
      </c>
      <c r="AI445">
        <v>0</v>
      </c>
      <c r="AJ445">
        <v>0</v>
      </c>
      <c r="AK445">
        <v>0</v>
      </c>
      <c r="AL445">
        <v>0</v>
      </c>
      <c r="AM445">
        <v>0</v>
      </c>
      <c r="AN445">
        <v>0</v>
      </c>
      <c r="AO445">
        <v>0</v>
      </c>
      <c r="AP445">
        <v>0</v>
      </c>
      <c r="AQ445">
        <v>0</v>
      </c>
      <c r="AR445">
        <v>0</v>
      </c>
      <c r="AS445">
        <v>0</v>
      </c>
      <c r="AT445">
        <v>0</v>
      </c>
      <c r="AU445">
        <v>0</v>
      </c>
      <c r="AV445">
        <v>0</v>
      </c>
      <c r="AW445">
        <v>0</v>
      </c>
      <c r="AX445">
        <v>0</v>
      </c>
      <c r="AY445">
        <v>0</v>
      </c>
      <c r="AZ445">
        <v>0</v>
      </c>
      <c r="BA445">
        <v>0</v>
      </c>
      <c r="BB445">
        <v>0</v>
      </c>
      <c r="BC445">
        <v>0</v>
      </c>
      <c r="BD445">
        <v>0</v>
      </c>
      <c r="BE445">
        <v>0</v>
      </c>
      <c r="BF445">
        <v>0</v>
      </c>
      <c r="BG445">
        <v>0</v>
      </c>
      <c r="BH445">
        <v>0</v>
      </c>
      <c r="BI445">
        <v>0</v>
      </c>
      <c r="BJ445">
        <v>0</v>
      </c>
      <c r="BK445">
        <v>0</v>
      </c>
      <c r="BL445">
        <v>0</v>
      </c>
      <c r="BM445">
        <v>0</v>
      </c>
      <c r="BN445">
        <v>0</v>
      </c>
      <c r="BO445">
        <v>0</v>
      </c>
      <c r="BP445">
        <v>0</v>
      </c>
      <c r="BQ445">
        <v>0</v>
      </c>
      <c r="BR445">
        <v>0</v>
      </c>
      <c r="BS445">
        <v>0</v>
      </c>
    </row>
    <row r="446" spans="1:71" x14ac:dyDescent="0.3">
      <c r="A446" t="s">
        <v>2008</v>
      </c>
      <c r="B446" t="s">
        <v>2009</v>
      </c>
      <c r="C446" t="s">
        <v>29</v>
      </c>
      <c r="D446" t="s">
        <v>29</v>
      </c>
      <c r="E446" t="s">
        <v>29</v>
      </c>
      <c r="F446" t="s">
        <v>2010</v>
      </c>
      <c r="G446" t="s">
        <v>944</v>
      </c>
      <c r="H446">
        <v>2024</v>
      </c>
      <c r="I446">
        <v>114</v>
      </c>
      <c r="J446">
        <v>6</v>
      </c>
      <c r="K446" t="s">
        <v>29</v>
      </c>
      <c r="L446" t="s">
        <v>29</v>
      </c>
      <c r="M446" t="s">
        <v>29</v>
      </c>
      <c r="N446">
        <v>1723</v>
      </c>
      <c r="O446">
        <v>1768</v>
      </c>
      <c r="P446" t="s">
        <v>29</v>
      </c>
      <c r="Q446" t="s">
        <v>2011</v>
      </c>
      <c r="R446" t="s">
        <v>29</v>
      </c>
      <c r="S446" t="s">
        <v>29</v>
      </c>
      <c r="T446">
        <v>0</v>
      </c>
      <c r="U446">
        <v>0</v>
      </c>
      <c r="V446">
        <v>0</v>
      </c>
      <c r="W446">
        <v>0</v>
      </c>
      <c r="X446">
        <v>0</v>
      </c>
      <c r="Y446">
        <v>0</v>
      </c>
      <c r="Z446">
        <v>0</v>
      </c>
      <c r="AA446">
        <v>0</v>
      </c>
      <c r="AB446">
        <v>0</v>
      </c>
      <c r="AC446">
        <v>0</v>
      </c>
      <c r="AD446">
        <v>0</v>
      </c>
      <c r="AE446">
        <v>0</v>
      </c>
      <c r="AF446">
        <v>0</v>
      </c>
      <c r="AG446">
        <v>0</v>
      </c>
      <c r="AH446">
        <v>0</v>
      </c>
      <c r="AI446">
        <v>0</v>
      </c>
      <c r="AJ446">
        <v>0</v>
      </c>
      <c r="AK446">
        <v>0</v>
      </c>
      <c r="AL446">
        <v>0</v>
      </c>
      <c r="AM446">
        <v>0</v>
      </c>
      <c r="AN446">
        <v>0</v>
      </c>
      <c r="AO446">
        <v>0</v>
      </c>
      <c r="AP446">
        <v>0</v>
      </c>
      <c r="AQ446">
        <v>0</v>
      </c>
      <c r="AR446">
        <v>0</v>
      </c>
      <c r="AS446">
        <v>0</v>
      </c>
      <c r="AT446">
        <v>0</v>
      </c>
      <c r="AU446">
        <v>0</v>
      </c>
      <c r="AV446">
        <v>0</v>
      </c>
      <c r="AW446">
        <v>0</v>
      </c>
      <c r="AX446">
        <v>0</v>
      </c>
      <c r="AY446">
        <v>0</v>
      </c>
      <c r="AZ446">
        <v>0</v>
      </c>
      <c r="BA446">
        <v>0</v>
      </c>
      <c r="BB446">
        <v>0</v>
      </c>
      <c r="BC446">
        <v>0</v>
      </c>
      <c r="BD446">
        <v>0</v>
      </c>
      <c r="BE446">
        <v>0</v>
      </c>
      <c r="BF446">
        <v>0</v>
      </c>
      <c r="BG446">
        <v>0</v>
      </c>
      <c r="BH446">
        <v>0</v>
      </c>
      <c r="BI446">
        <v>0</v>
      </c>
      <c r="BJ446">
        <v>0</v>
      </c>
      <c r="BK446">
        <v>0</v>
      </c>
      <c r="BL446">
        <v>0</v>
      </c>
      <c r="BM446">
        <v>0</v>
      </c>
      <c r="BN446">
        <v>0</v>
      </c>
      <c r="BO446">
        <v>0</v>
      </c>
      <c r="BP446">
        <v>0</v>
      </c>
      <c r="BQ446">
        <v>0</v>
      </c>
      <c r="BR446">
        <v>0</v>
      </c>
      <c r="BS446">
        <v>0</v>
      </c>
    </row>
    <row r="447" spans="1:71" x14ac:dyDescent="0.3">
      <c r="A447" t="s">
        <v>2012</v>
      </c>
      <c r="B447" t="s">
        <v>2013</v>
      </c>
      <c r="C447" t="s">
        <v>29</v>
      </c>
      <c r="D447" t="s">
        <v>29</v>
      </c>
      <c r="E447" t="s">
        <v>29</v>
      </c>
      <c r="F447" t="s">
        <v>581</v>
      </c>
      <c r="G447" t="s">
        <v>1892</v>
      </c>
      <c r="H447">
        <v>2024</v>
      </c>
      <c r="I447">
        <v>25</v>
      </c>
      <c r="J447">
        <v>4</v>
      </c>
      <c r="K447" t="s">
        <v>29</v>
      </c>
      <c r="L447" t="s">
        <v>29</v>
      </c>
      <c r="M447" t="s">
        <v>29</v>
      </c>
      <c r="N447">
        <v>1877</v>
      </c>
      <c r="O447">
        <v>1894</v>
      </c>
      <c r="P447" t="s">
        <v>29</v>
      </c>
      <c r="Q447" t="s">
        <v>2014</v>
      </c>
      <c r="R447" t="s">
        <v>29</v>
      </c>
      <c r="S447" t="s">
        <v>29</v>
      </c>
      <c r="T447">
        <v>0</v>
      </c>
      <c r="U447">
        <v>0</v>
      </c>
      <c r="V447">
        <v>0</v>
      </c>
      <c r="W447">
        <v>0</v>
      </c>
      <c r="X447">
        <v>0</v>
      </c>
      <c r="Y447">
        <v>0</v>
      </c>
      <c r="Z447">
        <v>0</v>
      </c>
      <c r="AA447">
        <v>0</v>
      </c>
      <c r="AB447">
        <v>0</v>
      </c>
      <c r="AC447">
        <v>0</v>
      </c>
      <c r="AD447">
        <v>0</v>
      </c>
      <c r="AE447">
        <v>0</v>
      </c>
      <c r="AF447">
        <v>0</v>
      </c>
      <c r="AG447">
        <v>0</v>
      </c>
      <c r="AH447">
        <v>0</v>
      </c>
      <c r="AI447">
        <v>0</v>
      </c>
      <c r="AJ447">
        <v>0</v>
      </c>
      <c r="AK447">
        <v>0</v>
      </c>
      <c r="AL447">
        <v>0</v>
      </c>
      <c r="AM447">
        <v>0</v>
      </c>
      <c r="AN447">
        <v>0</v>
      </c>
      <c r="AO447">
        <v>0</v>
      </c>
      <c r="AP447">
        <v>0</v>
      </c>
      <c r="AQ447">
        <v>0</v>
      </c>
      <c r="AR447">
        <v>0</v>
      </c>
      <c r="AS447">
        <v>0</v>
      </c>
      <c r="AT447">
        <v>0</v>
      </c>
      <c r="AU447">
        <v>0</v>
      </c>
      <c r="AV447">
        <v>0</v>
      </c>
      <c r="AW447">
        <v>0</v>
      </c>
      <c r="AX447">
        <v>0</v>
      </c>
      <c r="AY447">
        <v>0</v>
      </c>
      <c r="AZ447">
        <v>0</v>
      </c>
      <c r="BA447">
        <v>0</v>
      </c>
      <c r="BB447">
        <v>0</v>
      </c>
      <c r="BC447">
        <v>0</v>
      </c>
      <c r="BD447">
        <v>0</v>
      </c>
      <c r="BE447">
        <v>0</v>
      </c>
      <c r="BF447">
        <v>0</v>
      </c>
      <c r="BG447">
        <v>0</v>
      </c>
      <c r="BH447">
        <v>0</v>
      </c>
      <c r="BI447">
        <v>0</v>
      </c>
      <c r="BJ447">
        <v>0</v>
      </c>
      <c r="BK447">
        <v>0</v>
      </c>
      <c r="BL447">
        <v>0</v>
      </c>
      <c r="BM447">
        <v>0</v>
      </c>
      <c r="BN447">
        <v>0</v>
      </c>
      <c r="BO447">
        <v>0</v>
      </c>
      <c r="BP447">
        <v>0</v>
      </c>
      <c r="BQ447">
        <v>0</v>
      </c>
      <c r="BR447">
        <v>0</v>
      </c>
      <c r="BS447">
        <v>0</v>
      </c>
    </row>
    <row r="448" spans="1:71" x14ac:dyDescent="0.3">
      <c r="A448" t="s">
        <v>2015</v>
      </c>
      <c r="B448" t="s">
        <v>2016</v>
      </c>
      <c r="C448" t="s">
        <v>29</v>
      </c>
      <c r="D448" t="s">
        <v>29</v>
      </c>
      <c r="E448" t="s">
        <v>29</v>
      </c>
      <c r="F448" t="s">
        <v>2017</v>
      </c>
      <c r="G448" t="s">
        <v>29</v>
      </c>
      <c r="H448">
        <v>2024</v>
      </c>
      <c r="I448" t="s">
        <v>29</v>
      </c>
      <c r="J448" t="s">
        <v>29</v>
      </c>
      <c r="K448" t="s">
        <v>29</v>
      </c>
      <c r="L448" t="s">
        <v>29</v>
      </c>
      <c r="M448" t="s">
        <v>29</v>
      </c>
      <c r="N448" t="s">
        <v>29</v>
      </c>
      <c r="O448" t="s">
        <v>29</v>
      </c>
      <c r="P448" t="s">
        <v>29</v>
      </c>
      <c r="Q448" t="s">
        <v>2018</v>
      </c>
      <c r="R448" t="s">
        <v>29</v>
      </c>
      <c r="S448" t="s">
        <v>29</v>
      </c>
      <c r="T448">
        <v>0</v>
      </c>
      <c r="U448">
        <v>0</v>
      </c>
      <c r="V448">
        <v>0</v>
      </c>
      <c r="W448">
        <v>0</v>
      </c>
      <c r="X448">
        <v>0</v>
      </c>
      <c r="Y448">
        <v>0</v>
      </c>
      <c r="Z448">
        <v>0</v>
      </c>
      <c r="AA448">
        <v>0</v>
      </c>
      <c r="AB448">
        <v>0</v>
      </c>
      <c r="AC448">
        <v>0</v>
      </c>
      <c r="AD448">
        <v>0</v>
      </c>
      <c r="AE448">
        <v>0</v>
      </c>
      <c r="AF448">
        <v>0</v>
      </c>
      <c r="AG448">
        <v>0</v>
      </c>
      <c r="AH448">
        <v>0</v>
      </c>
      <c r="AI448">
        <v>0</v>
      </c>
      <c r="AJ448">
        <v>0</v>
      </c>
      <c r="AK448">
        <v>0</v>
      </c>
      <c r="AL448">
        <v>0</v>
      </c>
      <c r="AM448">
        <v>0</v>
      </c>
      <c r="AN448">
        <v>0</v>
      </c>
      <c r="AO448">
        <v>0</v>
      </c>
      <c r="AP448">
        <v>0</v>
      </c>
      <c r="AQ448">
        <v>0</v>
      </c>
      <c r="AR448">
        <v>0</v>
      </c>
      <c r="AS448">
        <v>0</v>
      </c>
      <c r="AT448">
        <v>0</v>
      </c>
      <c r="AU448">
        <v>0</v>
      </c>
      <c r="AV448">
        <v>0</v>
      </c>
      <c r="AW448">
        <v>0</v>
      </c>
      <c r="AX448">
        <v>0</v>
      </c>
      <c r="AY448">
        <v>0</v>
      </c>
      <c r="AZ448">
        <v>0</v>
      </c>
      <c r="BA448">
        <v>0</v>
      </c>
      <c r="BB448">
        <v>0</v>
      </c>
      <c r="BC448">
        <v>0</v>
      </c>
      <c r="BD448">
        <v>0</v>
      </c>
      <c r="BE448">
        <v>0</v>
      </c>
      <c r="BF448">
        <v>0</v>
      </c>
      <c r="BG448">
        <v>0</v>
      </c>
      <c r="BH448">
        <v>0</v>
      </c>
      <c r="BI448">
        <v>0</v>
      </c>
      <c r="BJ448">
        <v>0</v>
      </c>
      <c r="BK448">
        <v>0</v>
      </c>
      <c r="BL448">
        <v>0</v>
      </c>
      <c r="BM448">
        <v>0</v>
      </c>
      <c r="BN448">
        <v>0</v>
      </c>
      <c r="BO448">
        <v>0</v>
      </c>
      <c r="BP448">
        <v>0</v>
      </c>
      <c r="BQ448">
        <v>0</v>
      </c>
      <c r="BR448">
        <v>0</v>
      </c>
      <c r="BS448">
        <v>0</v>
      </c>
    </row>
    <row r="449" spans="1:71" x14ac:dyDescent="0.3">
      <c r="A449" t="s">
        <v>2019</v>
      </c>
      <c r="B449" t="s">
        <v>2020</v>
      </c>
      <c r="C449" t="s">
        <v>29</v>
      </c>
      <c r="D449" t="s">
        <v>29</v>
      </c>
      <c r="E449" t="s">
        <v>29</v>
      </c>
      <c r="F449" t="s">
        <v>2021</v>
      </c>
      <c r="G449" t="s">
        <v>2022</v>
      </c>
      <c r="H449">
        <v>2024</v>
      </c>
      <c r="I449">
        <v>47</v>
      </c>
      <c r="J449">
        <v>134</v>
      </c>
      <c r="K449" t="s">
        <v>29</v>
      </c>
      <c r="L449" t="s">
        <v>29</v>
      </c>
      <c r="M449" t="s">
        <v>29</v>
      </c>
      <c r="N449">
        <v>38</v>
      </c>
      <c r="O449">
        <v>52</v>
      </c>
      <c r="P449" t="s">
        <v>29</v>
      </c>
      <c r="Q449" t="s">
        <v>2023</v>
      </c>
      <c r="R449" t="s">
        <v>29</v>
      </c>
      <c r="S449" t="s">
        <v>29</v>
      </c>
      <c r="T449">
        <v>0</v>
      </c>
      <c r="U449">
        <v>0</v>
      </c>
      <c r="V449">
        <v>0</v>
      </c>
      <c r="W449">
        <v>0</v>
      </c>
      <c r="X449">
        <v>0</v>
      </c>
      <c r="Y449">
        <v>0</v>
      </c>
      <c r="Z449">
        <v>0</v>
      </c>
      <c r="AA449">
        <v>0</v>
      </c>
      <c r="AB449">
        <v>0</v>
      </c>
      <c r="AC449">
        <v>0</v>
      </c>
      <c r="AD449">
        <v>0</v>
      </c>
      <c r="AE449">
        <v>0</v>
      </c>
      <c r="AF449">
        <v>0</v>
      </c>
      <c r="AG449">
        <v>0</v>
      </c>
      <c r="AH449">
        <v>0</v>
      </c>
      <c r="AI449">
        <v>0</v>
      </c>
      <c r="AJ449">
        <v>0</v>
      </c>
      <c r="AK449">
        <v>0</v>
      </c>
      <c r="AL449">
        <v>0</v>
      </c>
      <c r="AM449">
        <v>0</v>
      </c>
      <c r="AN449">
        <v>0</v>
      </c>
      <c r="AO449">
        <v>0</v>
      </c>
      <c r="AP449">
        <v>0</v>
      </c>
      <c r="AQ449">
        <v>0</v>
      </c>
      <c r="AR449">
        <v>0</v>
      </c>
      <c r="AS449">
        <v>0</v>
      </c>
      <c r="AT449">
        <v>0</v>
      </c>
      <c r="AU449">
        <v>0</v>
      </c>
      <c r="AV449">
        <v>0</v>
      </c>
      <c r="AW449">
        <v>0</v>
      </c>
      <c r="AX449">
        <v>0</v>
      </c>
      <c r="AY449">
        <v>0</v>
      </c>
      <c r="AZ449">
        <v>0</v>
      </c>
      <c r="BA449">
        <v>0</v>
      </c>
      <c r="BB449">
        <v>0</v>
      </c>
      <c r="BC449">
        <v>0</v>
      </c>
      <c r="BD449">
        <v>0</v>
      </c>
      <c r="BE449">
        <v>0</v>
      </c>
      <c r="BF449">
        <v>0</v>
      </c>
      <c r="BG449">
        <v>0</v>
      </c>
      <c r="BH449">
        <v>0</v>
      </c>
      <c r="BI449">
        <v>0</v>
      </c>
      <c r="BJ449">
        <v>0</v>
      </c>
      <c r="BK449">
        <v>0</v>
      </c>
      <c r="BL449">
        <v>0</v>
      </c>
      <c r="BM449">
        <v>0</v>
      </c>
      <c r="BN449">
        <v>0</v>
      </c>
      <c r="BO449">
        <v>0</v>
      </c>
      <c r="BP449">
        <v>0</v>
      </c>
      <c r="BQ449">
        <v>0</v>
      </c>
      <c r="BR449">
        <v>0</v>
      </c>
      <c r="BS449">
        <v>0</v>
      </c>
    </row>
    <row r="450" spans="1:71" x14ac:dyDescent="0.3">
      <c r="A450" t="s">
        <v>2024</v>
      </c>
      <c r="B450" t="s">
        <v>2025</v>
      </c>
      <c r="C450" t="s">
        <v>29</v>
      </c>
      <c r="D450" t="s">
        <v>29</v>
      </c>
      <c r="E450" t="s">
        <v>29</v>
      </c>
      <c r="F450" t="s">
        <v>48</v>
      </c>
      <c r="G450" t="s">
        <v>2026</v>
      </c>
      <c r="H450">
        <v>2024</v>
      </c>
      <c r="I450">
        <v>66</v>
      </c>
      <c r="J450" t="s">
        <v>2027</v>
      </c>
      <c r="K450" t="s">
        <v>29</v>
      </c>
      <c r="L450" t="s">
        <v>29</v>
      </c>
      <c r="M450" t="s">
        <v>29</v>
      </c>
      <c r="N450">
        <v>233</v>
      </c>
      <c r="O450">
        <v>251</v>
      </c>
      <c r="P450" t="s">
        <v>29</v>
      </c>
      <c r="Q450" t="s">
        <v>2028</v>
      </c>
      <c r="R450" t="s">
        <v>29</v>
      </c>
      <c r="S450" t="s">
        <v>29</v>
      </c>
      <c r="T450">
        <v>0</v>
      </c>
      <c r="U450">
        <v>0</v>
      </c>
      <c r="V450">
        <v>0</v>
      </c>
      <c r="W450">
        <v>0</v>
      </c>
      <c r="X450">
        <v>0</v>
      </c>
      <c r="Y450">
        <v>0</v>
      </c>
      <c r="Z450">
        <v>0</v>
      </c>
      <c r="AA450">
        <v>0</v>
      </c>
      <c r="AB450">
        <v>0</v>
      </c>
      <c r="AC450">
        <v>0</v>
      </c>
      <c r="AD450">
        <v>0</v>
      </c>
      <c r="AE450">
        <v>0</v>
      </c>
      <c r="AF450">
        <v>0</v>
      </c>
      <c r="AG450">
        <v>0</v>
      </c>
      <c r="AH450">
        <v>0</v>
      </c>
      <c r="AI450">
        <v>0</v>
      </c>
      <c r="AJ450">
        <v>0</v>
      </c>
      <c r="AK450">
        <v>0</v>
      </c>
      <c r="AL450">
        <v>0</v>
      </c>
      <c r="AM450">
        <v>0</v>
      </c>
      <c r="AN450">
        <v>0</v>
      </c>
      <c r="AO450">
        <v>0</v>
      </c>
      <c r="AP450">
        <v>0</v>
      </c>
      <c r="AQ450">
        <v>0</v>
      </c>
      <c r="AR450">
        <v>0</v>
      </c>
      <c r="AS450">
        <v>0</v>
      </c>
      <c r="AT450">
        <v>0</v>
      </c>
      <c r="AU450">
        <v>0</v>
      </c>
      <c r="AV450">
        <v>0</v>
      </c>
      <c r="AW450">
        <v>0</v>
      </c>
      <c r="AX450">
        <v>0</v>
      </c>
      <c r="AY450">
        <v>0</v>
      </c>
      <c r="AZ450">
        <v>0</v>
      </c>
      <c r="BA450">
        <v>0</v>
      </c>
      <c r="BB450">
        <v>0</v>
      </c>
      <c r="BC450">
        <v>0</v>
      </c>
      <c r="BD450">
        <v>0</v>
      </c>
      <c r="BE450">
        <v>0</v>
      </c>
      <c r="BF450">
        <v>0</v>
      </c>
      <c r="BG450">
        <v>0</v>
      </c>
      <c r="BH450">
        <v>0</v>
      </c>
      <c r="BI450">
        <v>0</v>
      </c>
      <c r="BJ450">
        <v>0</v>
      </c>
      <c r="BK450">
        <v>0</v>
      </c>
      <c r="BL450">
        <v>0</v>
      </c>
      <c r="BM450">
        <v>0</v>
      </c>
      <c r="BN450">
        <v>0</v>
      </c>
      <c r="BO450">
        <v>0</v>
      </c>
      <c r="BP450">
        <v>0</v>
      </c>
      <c r="BQ450">
        <v>0</v>
      </c>
      <c r="BR450">
        <v>0</v>
      </c>
      <c r="BS450">
        <v>0</v>
      </c>
    </row>
    <row r="451" spans="1:71" x14ac:dyDescent="0.3">
      <c r="A451" t="s">
        <v>2029</v>
      </c>
      <c r="B451" t="s">
        <v>2030</v>
      </c>
      <c r="C451" t="s">
        <v>29</v>
      </c>
      <c r="D451" t="s">
        <v>29</v>
      </c>
      <c r="E451" t="s">
        <v>29</v>
      </c>
      <c r="F451" t="s">
        <v>640</v>
      </c>
      <c r="G451" t="s">
        <v>2031</v>
      </c>
      <c r="H451">
        <v>2024</v>
      </c>
      <c r="I451">
        <v>38</v>
      </c>
      <c r="J451">
        <v>4</v>
      </c>
      <c r="K451" t="s">
        <v>29</v>
      </c>
      <c r="L451" t="s">
        <v>29</v>
      </c>
      <c r="M451" t="s">
        <v>29</v>
      </c>
      <c r="N451">
        <v>1021</v>
      </c>
      <c r="O451">
        <v>1044</v>
      </c>
      <c r="P451" t="s">
        <v>29</v>
      </c>
      <c r="Q451" t="s">
        <v>2032</v>
      </c>
      <c r="R451" t="s">
        <v>29</v>
      </c>
      <c r="S451" t="s">
        <v>29</v>
      </c>
      <c r="T451">
        <v>0</v>
      </c>
      <c r="U451">
        <v>0</v>
      </c>
      <c r="V451">
        <v>0</v>
      </c>
      <c r="W451">
        <v>0</v>
      </c>
      <c r="X451">
        <v>0</v>
      </c>
      <c r="Y451">
        <v>0</v>
      </c>
      <c r="Z451">
        <v>0</v>
      </c>
      <c r="AA451">
        <v>0</v>
      </c>
      <c r="AB451">
        <v>0</v>
      </c>
      <c r="AC451">
        <v>0</v>
      </c>
      <c r="AD451">
        <v>0</v>
      </c>
      <c r="AE451">
        <v>0</v>
      </c>
      <c r="AF451">
        <v>0</v>
      </c>
      <c r="AG451">
        <v>0</v>
      </c>
      <c r="AH451">
        <v>0</v>
      </c>
      <c r="AI451">
        <v>0</v>
      </c>
      <c r="AJ451">
        <v>0</v>
      </c>
      <c r="AK451">
        <v>0</v>
      </c>
      <c r="AL451">
        <v>0</v>
      </c>
      <c r="AM451">
        <v>0</v>
      </c>
      <c r="AN451">
        <v>0</v>
      </c>
      <c r="AO451">
        <v>0</v>
      </c>
      <c r="AP451">
        <v>0</v>
      </c>
      <c r="AQ451">
        <v>0</v>
      </c>
      <c r="AR451">
        <v>0</v>
      </c>
      <c r="AS451">
        <v>0</v>
      </c>
      <c r="AT451">
        <v>0</v>
      </c>
      <c r="AU451">
        <v>0</v>
      </c>
      <c r="AV451">
        <v>0</v>
      </c>
      <c r="AW451">
        <v>0</v>
      </c>
      <c r="AX451">
        <v>0</v>
      </c>
      <c r="AY451">
        <v>0</v>
      </c>
      <c r="AZ451">
        <v>0</v>
      </c>
      <c r="BA451">
        <v>0</v>
      </c>
      <c r="BB451">
        <v>0</v>
      </c>
      <c r="BC451">
        <v>0</v>
      </c>
      <c r="BD451">
        <v>0</v>
      </c>
      <c r="BE451">
        <v>0</v>
      </c>
      <c r="BF451">
        <v>0</v>
      </c>
      <c r="BG451">
        <v>0</v>
      </c>
      <c r="BH451">
        <v>0</v>
      </c>
      <c r="BI451">
        <v>0</v>
      </c>
      <c r="BJ451">
        <v>0</v>
      </c>
      <c r="BK451">
        <v>0</v>
      </c>
      <c r="BL451">
        <v>0</v>
      </c>
      <c r="BM451">
        <v>0</v>
      </c>
      <c r="BN451">
        <v>0</v>
      </c>
      <c r="BO451">
        <v>0</v>
      </c>
      <c r="BP451">
        <v>0</v>
      </c>
      <c r="BQ451">
        <v>0</v>
      </c>
      <c r="BR451">
        <v>0</v>
      </c>
      <c r="BS451">
        <v>0</v>
      </c>
    </row>
    <row r="452" spans="1:71" x14ac:dyDescent="0.3">
      <c r="A452" t="s">
        <v>2033</v>
      </c>
      <c r="B452" t="s">
        <v>2034</v>
      </c>
      <c r="C452" t="s">
        <v>29</v>
      </c>
      <c r="D452" t="s">
        <v>29</v>
      </c>
      <c r="E452" t="s">
        <v>29</v>
      </c>
      <c r="F452" t="s">
        <v>2035</v>
      </c>
      <c r="G452" t="s">
        <v>2036</v>
      </c>
      <c r="H452">
        <v>2024</v>
      </c>
      <c r="I452">
        <v>178</v>
      </c>
      <c r="J452" t="s">
        <v>29</v>
      </c>
      <c r="K452" t="s">
        <v>29</v>
      </c>
      <c r="L452" t="s">
        <v>29</v>
      </c>
      <c r="M452" t="s">
        <v>29</v>
      </c>
      <c r="N452" t="s">
        <v>29</v>
      </c>
      <c r="O452" t="s">
        <v>29</v>
      </c>
      <c r="P452">
        <v>114671</v>
      </c>
      <c r="Q452" t="s">
        <v>2037</v>
      </c>
      <c r="R452" t="s">
        <v>29</v>
      </c>
      <c r="S452" t="s">
        <v>29</v>
      </c>
      <c r="T452">
        <v>0</v>
      </c>
      <c r="U452">
        <v>0</v>
      </c>
      <c r="V452">
        <v>0</v>
      </c>
      <c r="W452">
        <v>0</v>
      </c>
      <c r="X452">
        <v>0</v>
      </c>
      <c r="Y452">
        <v>0</v>
      </c>
      <c r="Z452">
        <v>0</v>
      </c>
      <c r="AA452">
        <v>0</v>
      </c>
      <c r="AB452">
        <v>0</v>
      </c>
      <c r="AC452">
        <v>0</v>
      </c>
      <c r="AD452">
        <v>0</v>
      </c>
      <c r="AE452">
        <v>0</v>
      </c>
      <c r="AF452">
        <v>0</v>
      </c>
      <c r="AG452">
        <v>0</v>
      </c>
      <c r="AH452">
        <v>0</v>
      </c>
      <c r="AI452">
        <v>0</v>
      </c>
      <c r="AJ452">
        <v>0</v>
      </c>
      <c r="AK452">
        <v>0</v>
      </c>
      <c r="AL452">
        <v>0</v>
      </c>
      <c r="AM452">
        <v>0</v>
      </c>
      <c r="AN452">
        <v>0</v>
      </c>
      <c r="AO452">
        <v>0</v>
      </c>
      <c r="AP452">
        <v>0</v>
      </c>
      <c r="AQ452">
        <v>0</v>
      </c>
      <c r="AR452">
        <v>0</v>
      </c>
      <c r="AS452">
        <v>0</v>
      </c>
      <c r="AT452">
        <v>0</v>
      </c>
      <c r="AU452">
        <v>0</v>
      </c>
      <c r="AV452">
        <v>0</v>
      </c>
      <c r="AW452">
        <v>0</v>
      </c>
      <c r="AX452">
        <v>0</v>
      </c>
      <c r="AY452">
        <v>0</v>
      </c>
      <c r="AZ452">
        <v>0</v>
      </c>
      <c r="BA452">
        <v>0</v>
      </c>
      <c r="BB452">
        <v>0</v>
      </c>
      <c r="BC452">
        <v>0</v>
      </c>
      <c r="BD452">
        <v>0</v>
      </c>
      <c r="BE452">
        <v>0</v>
      </c>
      <c r="BF452">
        <v>0</v>
      </c>
      <c r="BG452">
        <v>0</v>
      </c>
      <c r="BH452">
        <v>0</v>
      </c>
      <c r="BI452">
        <v>0</v>
      </c>
      <c r="BJ452">
        <v>0</v>
      </c>
      <c r="BK452">
        <v>0</v>
      </c>
      <c r="BL452">
        <v>0</v>
      </c>
      <c r="BM452">
        <v>0</v>
      </c>
      <c r="BN452">
        <v>0</v>
      </c>
      <c r="BO452">
        <v>0</v>
      </c>
      <c r="BP452">
        <v>0</v>
      </c>
      <c r="BQ452">
        <v>0</v>
      </c>
      <c r="BR452">
        <v>0</v>
      </c>
      <c r="BS452">
        <v>0</v>
      </c>
    </row>
    <row r="453" spans="1:71" x14ac:dyDescent="0.3">
      <c r="A453" t="s">
        <v>2038</v>
      </c>
      <c r="B453" t="s">
        <v>2039</v>
      </c>
      <c r="C453" t="s">
        <v>29</v>
      </c>
      <c r="D453" t="s">
        <v>29</v>
      </c>
      <c r="E453" t="s">
        <v>29</v>
      </c>
      <c r="F453" t="s">
        <v>2040</v>
      </c>
      <c r="G453" t="s">
        <v>2041</v>
      </c>
      <c r="H453">
        <v>2024</v>
      </c>
      <c r="I453">
        <v>17</v>
      </c>
      <c r="J453">
        <v>2</v>
      </c>
      <c r="K453" t="s">
        <v>29</v>
      </c>
      <c r="L453" t="s">
        <v>29</v>
      </c>
      <c r="M453" t="s">
        <v>29</v>
      </c>
      <c r="N453">
        <v>304</v>
      </c>
      <c r="O453">
        <v>318</v>
      </c>
      <c r="P453" t="s">
        <v>29</v>
      </c>
      <c r="Q453" t="s">
        <v>2042</v>
      </c>
      <c r="R453" t="s">
        <v>29</v>
      </c>
      <c r="S453" t="s">
        <v>29</v>
      </c>
      <c r="T453">
        <v>0</v>
      </c>
      <c r="U453">
        <v>0</v>
      </c>
      <c r="V453">
        <v>0</v>
      </c>
      <c r="W453">
        <v>0</v>
      </c>
      <c r="X453">
        <v>0</v>
      </c>
      <c r="Y453">
        <v>0</v>
      </c>
      <c r="Z453">
        <v>0</v>
      </c>
      <c r="AA453">
        <v>0</v>
      </c>
      <c r="AB453">
        <v>0</v>
      </c>
      <c r="AC453">
        <v>0</v>
      </c>
      <c r="AD453">
        <v>0</v>
      </c>
      <c r="AE453">
        <v>0</v>
      </c>
      <c r="AF453">
        <v>0</v>
      </c>
      <c r="AG453">
        <v>0</v>
      </c>
      <c r="AH453">
        <v>0</v>
      </c>
      <c r="AI453">
        <v>0</v>
      </c>
      <c r="AJ453">
        <v>0</v>
      </c>
      <c r="AK453">
        <v>0</v>
      </c>
      <c r="AL453">
        <v>0</v>
      </c>
      <c r="AM453">
        <v>0</v>
      </c>
      <c r="AN453">
        <v>0</v>
      </c>
      <c r="AO453">
        <v>0</v>
      </c>
      <c r="AP453">
        <v>0</v>
      </c>
      <c r="AQ453">
        <v>0</v>
      </c>
      <c r="AR453">
        <v>0</v>
      </c>
      <c r="AS453">
        <v>0</v>
      </c>
      <c r="AT453">
        <v>0</v>
      </c>
      <c r="AU453">
        <v>0</v>
      </c>
      <c r="AV453">
        <v>0</v>
      </c>
      <c r="AW453">
        <v>0</v>
      </c>
      <c r="AX453">
        <v>0</v>
      </c>
      <c r="AY453">
        <v>0</v>
      </c>
      <c r="AZ453">
        <v>0</v>
      </c>
      <c r="BA453">
        <v>0</v>
      </c>
      <c r="BB453">
        <v>0</v>
      </c>
      <c r="BC453">
        <v>0</v>
      </c>
      <c r="BD453">
        <v>0</v>
      </c>
      <c r="BE453">
        <v>0</v>
      </c>
      <c r="BF453">
        <v>0</v>
      </c>
      <c r="BG453">
        <v>0</v>
      </c>
      <c r="BH453">
        <v>0</v>
      </c>
      <c r="BI453">
        <v>0</v>
      </c>
      <c r="BJ453">
        <v>0</v>
      </c>
      <c r="BK453">
        <v>0</v>
      </c>
      <c r="BL453">
        <v>0</v>
      </c>
      <c r="BM453">
        <v>0</v>
      </c>
      <c r="BN453">
        <v>0</v>
      </c>
      <c r="BO453">
        <v>0</v>
      </c>
      <c r="BP453">
        <v>0</v>
      </c>
      <c r="BQ453">
        <v>0</v>
      </c>
      <c r="BR453">
        <v>0</v>
      </c>
      <c r="BS453">
        <v>0</v>
      </c>
    </row>
    <row r="454" spans="1:71" x14ac:dyDescent="0.3">
      <c r="A454" t="s">
        <v>2043</v>
      </c>
      <c r="B454" t="s">
        <v>2044</v>
      </c>
      <c r="C454" t="s">
        <v>29</v>
      </c>
      <c r="D454" t="s">
        <v>29</v>
      </c>
      <c r="E454" t="s">
        <v>29</v>
      </c>
      <c r="F454" t="s">
        <v>753</v>
      </c>
      <c r="G454" t="s">
        <v>1039</v>
      </c>
      <c r="H454">
        <v>2024</v>
      </c>
      <c r="I454" t="s">
        <v>29</v>
      </c>
      <c r="J454" t="s">
        <v>29</v>
      </c>
      <c r="K454" t="s">
        <v>29</v>
      </c>
      <c r="L454" t="s">
        <v>29</v>
      </c>
      <c r="M454" t="s">
        <v>32</v>
      </c>
      <c r="N454">
        <v>56</v>
      </c>
      <c r="O454">
        <v>72</v>
      </c>
      <c r="P454" t="s">
        <v>29</v>
      </c>
      <c r="Q454" t="s">
        <v>2045</v>
      </c>
      <c r="R454" t="s">
        <v>29</v>
      </c>
      <c r="S454" t="s">
        <v>29</v>
      </c>
      <c r="T454">
        <v>0</v>
      </c>
      <c r="U454">
        <v>0</v>
      </c>
      <c r="V454">
        <v>0</v>
      </c>
      <c r="W454">
        <v>0</v>
      </c>
      <c r="X454">
        <v>0</v>
      </c>
      <c r="Y454">
        <v>0</v>
      </c>
      <c r="Z454">
        <v>0</v>
      </c>
      <c r="AA454">
        <v>0</v>
      </c>
      <c r="AB454">
        <v>0</v>
      </c>
      <c r="AC454">
        <v>0</v>
      </c>
      <c r="AD454">
        <v>0</v>
      </c>
      <c r="AE454">
        <v>0</v>
      </c>
      <c r="AF454">
        <v>0</v>
      </c>
      <c r="AG454">
        <v>0</v>
      </c>
      <c r="AH454">
        <v>0</v>
      </c>
      <c r="AI454">
        <v>0</v>
      </c>
      <c r="AJ454">
        <v>0</v>
      </c>
      <c r="AK454">
        <v>0</v>
      </c>
      <c r="AL454">
        <v>0</v>
      </c>
      <c r="AM454">
        <v>0</v>
      </c>
      <c r="AN454">
        <v>0</v>
      </c>
      <c r="AO454">
        <v>0</v>
      </c>
      <c r="AP454">
        <v>0</v>
      </c>
      <c r="AQ454">
        <v>0</v>
      </c>
      <c r="AR454">
        <v>0</v>
      </c>
      <c r="AS454">
        <v>0</v>
      </c>
      <c r="AT454">
        <v>0</v>
      </c>
      <c r="AU454">
        <v>0</v>
      </c>
      <c r="AV454">
        <v>0</v>
      </c>
      <c r="AW454">
        <v>0</v>
      </c>
      <c r="AX454">
        <v>0</v>
      </c>
      <c r="AY454">
        <v>0</v>
      </c>
      <c r="AZ454">
        <v>0</v>
      </c>
      <c r="BA454">
        <v>0</v>
      </c>
      <c r="BB454">
        <v>0</v>
      </c>
      <c r="BC454">
        <v>0</v>
      </c>
      <c r="BD454">
        <v>0</v>
      </c>
      <c r="BE454">
        <v>0</v>
      </c>
      <c r="BF454">
        <v>0</v>
      </c>
      <c r="BG454">
        <v>0</v>
      </c>
      <c r="BH454">
        <v>0</v>
      </c>
      <c r="BI454">
        <v>0</v>
      </c>
      <c r="BJ454">
        <v>0</v>
      </c>
      <c r="BK454">
        <v>0</v>
      </c>
      <c r="BL454">
        <v>0</v>
      </c>
      <c r="BM454">
        <v>0</v>
      </c>
      <c r="BN454">
        <v>0</v>
      </c>
      <c r="BO454">
        <v>0</v>
      </c>
      <c r="BP454">
        <v>0</v>
      </c>
      <c r="BQ454">
        <v>0</v>
      </c>
      <c r="BR454">
        <v>0</v>
      </c>
      <c r="BS454">
        <v>0</v>
      </c>
    </row>
    <row r="455" spans="1:71" x14ac:dyDescent="0.3">
      <c r="A455" t="s">
        <v>2046</v>
      </c>
      <c r="B455" t="s">
        <v>2047</v>
      </c>
      <c r="C455" t="s">
        <v>29</v>
      </c>
      <c r="D455" t="s">
        <v>29</v>
      </c>
      <c r="E455" t="s">
        <v>29</v>
      </c>
      <c r="F455" t="s">
        <v>2048</v>
      </c>
      <c r="G455" t="s">
        <v>1039</v>
      </c>
      <c r="H455">
        <v>2024</v>
      </c>
      <c r="I455">
        <v>53</v>
      </c>
      <c r="J455">
        <v>1</v>
      </c>
      <c r="K455" t="s">
        <v>29</v>
      </c>
      <c r="L455" t="s">
        <v>29</v>
      </c>
      <c r="M455" t="s">
        <v>29</v>
      </c>
      <c r="N455">
        <v>61</v>
      </c>
      <c r="O455">
        <v>80</v>
      </c>
      <c r="P455" t="s">
        <v>29</v>
      </c>
      <c r="Q455" t="s">
        <v>2049</v>
      </c>
      <c r="R455" t="s">
        <v>29</v>
      </c>
      <c r="S455" t="s">
        <v>29</v>
      </c>
      <c r="T455">
        <v>0</v>
      </c>
      <c r="U455">
        <v>0</v>
      </c>
      <c r="V455">
        <v>0</v>
      </c>
      <c r="W455">
        <v>0</v>
      </c>
      <c r="X455">
        <v>0</v>
      </c>
      <c r="Y455">
        <v>0</v>
      </c>
      <c r="Z455">
        <v>0</v>
      </c>
      <c r="AA455">
        <v>0</v>
      </c>
      <c r="AB455">
        <v>0</v>
      </c>
      <c r="AC455">
        <v>0</v>
      </c>
      <c r="AD455">
        <v>0</v>
      </c>
      <c r="AE455">
        <v>0</v>
      </c>
      <c r="AF455">
        <v>0</v>
      </c>
      <c r="AG455">
        <v>0</v>
      </c>
      <c r="AH455">
        <v>0</v>
      </c>
      <c r="AI455">
        <v>0</v>
      </c>
      <c r="AJ455">
        <v>0</v>
      </c>
      <c r="AK455">
        <v>0</v>
      </c>
      <c r="AL455">
        <v>0</v>
      </c>
      <c r="AM455">
        <v>0</v>
      </c>
      <c r="AN455">
        <v>0</v>
      </c>
      <c r="AO455">
        <v>0</v>
      </c>
      <c r="AP455">
        <v>0</v>
      </c>
      <c r="AQ455">
        <v>0</v>
      </c>
      <c r="AR455">
        <v>0</v>
      </c>
      <c r="AS455">
        <v>0</v>
      </c>
      <c r="AT455">
        <v>0</v>
      </c>
      <c r="AU455">
        <v>0</v>
      </c>
      <c r="AV455">
        <v>0</v>
      </c>
      <c r="AW455">
        <v>0</v>
      </c>
      <c r="AX455">
        <v>0</v>
      </c>
      <c r="AY455">
        <v>0</v>
      </c>
      <c r="AZ455">
        <v>0</v>
      </c>
      <c r="BA455">
        <v>0</v>
      </c>
      <c r="BB455">
        <v>0</v>
      </c>
      <c r="BC455">
        <v>0</v>
      </c>
      <c r="BD455">
        <v>0</v>
      </c>
      <c r="BE455">
        <v>0</v>
      </c>
      <c r="BF455">
        <v>0</v>
      </c>
      <c r="BG455">
        <v>0</v>
      </c>
      <c r="BH455">
        <v>0</v>
      </c>
      <c r="BI455">
        <v>0</v>
      </c>
      <c r="BJ455">
        <v>0</v>
      </c>
      <c r="BK455">
        <v>0</v>
      </c>
      <c r="BL455">
        <v>0</v>
      </c>
      <c r="BM455">
        <v>0</v>
      </c>
      <c r="BN455">
        <v>0</v>
      </c>
      <c r="BO455">
        <v>0</v>
      </c>
      <c r="BP455">
        <v>0</v>
      </c>
      <c r="BQ455">
        <v>0</v>
      </c>
      <c r="BR455">
        <v>0</v>
      </c>
      <c r="BS455">
        <v>0</v>
      </c>
    </row>
    <row r="456" spans="1:71" x14ac:dyDescent="0.3">
      <c r="A456" t="s">
        <v>2050</v>
      </c>
      <c r="B456" t="s">
        <v>2051</v>
      </c>
      <c r="C456" t="s">
        <v>29</v>
      </c>
      <c r="D456" t="s">
        <v>29</v>
      </c>
      <c r="E456" t="s">
        <v>29</v>
      </c>
      <c r="F456" t="s">
        <v>2052</v>
      </c>
      <c r="G456" t="s">
        <v>2036</v>
      </c>
      <c r="H456">
        <v>2024</v>
      </c>
      <c r="I456">
        <v>83</v>
      </c>
      <c r="J456">
        <v>3</v>
      </c>
      <c r="K456" t="s">
        <v>29</v>
      </c>
      <c r="L456" t="s">
        <v>29</v>
      </c>
      <c r="M456" t="s">
        <v>29</v>
      </c>
      <c r="N456">
        <v>631</v>
      </c>
      <c r="O456">
        <v>645</v>
      </c>
      <c r="P456" t="s">
        <v>29</v>
      </c>
      <c r="Q456" t="s">
        <v>2053</v>
      </c>
      <c r="R456" t="s">
        <v>29</v>
      </c>
      <c r="S456" t="s">
        <v>29</v>
      </c>
      <c r="T456">
        <v>0</v>
      </c>
      <c r="U456">
        <v>0</v>
      </c>
      <c r="V456">
        <v>0</v>
      </c>
      <c r="W456">
        <v>0</v>
      </c>
      <c r="X456">
        <v>0</v>
      </c>
      <c r="Y456">
        <v>0</v>
      </c>
      <c r="Z456">
        <v>0</v>
      </c>
      <c r="AA456">
        <v>0</v>
      </c>
      <c r="AB456">
        <v>0</v>
      </c>
      <c r="AC456">
        <v>0</v>
      </c>
      <c r="AD456">
        <v>0</v>
      </c>
      <c r="AE456">
        <v>0</v>
      </c>
      <c r="AF456">
        <v>0</v>
      </c>
      <c r="AG456">
        <v>0</v>
      </c>
      <c r="AH456">
        <v>0</v>
      </c>
      <c r="AI456">
        <v>0</v>
      </c>
      <c r="AJ456">
        <v>0</v>
      </c>
      <c r="AK456">
        <v>0</v>
      </c>
      <c r="AL456">
        <v>0</v>
      </c>
      <c r="AM456">
        <v>0</v>
      </c>
      <c r="AN456">
        <v>0</v>
      </c>
      <c r="AO456">
        <v>0</v>
      </c>
      <c r="AP456">
        <v>0</v>
      </c>
      <c r="AQ456">
        <v>0</v>
      </c>
      <c r="AR456">
        <v>0</v>
      </c>
      <c r="AS456">
        <v>0</v>
      </c>
      <c r="AT456">
        <v>0</v>
      </c>
      <c r="AU456">
        <v>0</v>
      </c>
      <c r="AV456">
        <v>0</v>
      </c>
      <c r="AW456">
        <v>0</v>
      </c>
      <c r="AX456">
        <v>0</v>
      </c>
      <c r="AY456">
        <v>0</v>
      </c>
      <c r="AZ456">
        <v>0</v>
      </c>
      <c r="BA456">
        <v>0</v>
      </c>
      <c r="BB456">
        <v>0</v>
      </c>
      <c r="BC456">
        <v>0</v>
      </c>
      <c r="BD456">
        <v>0</v>
      </c>
      <c r="BE456">
        <v>0</v>
      </c>
      <c r="BF456">
        <v>0</v>
      </c>
      <c r="BG456">
        <v>0</v>
      </c>
      <c r="BH456">
        <v>0</v>
      </c>
      <c r="BI456">
        <v>0</v>
      </c>
      <c r="BJ456">
        <v>0</v>
      </c>
      <c r="BK456">
        <v>0</v>
      </c>
      <c r="BL456">
        <v>0</v>
      </c>
      <c r="BM456">
        <v>0</v>
      </c>
      <c r="BN456">
        <v>0</v>
      </c>
      <c r="BO456">
        <v>0</v>
      </c>
      <c r="BP456">
        <v>0</v>
      </c>
      <c r="BQ456">
        <v>0</v>
      </c>
      <c r="BR456">
        <v>0</v>
      </c>
      <c r="BS456">
        <v>0</v>
      </c>
    </row>
    <row r="457" spans="1:71" x14ac:dyDescent="0.3">
      <c r="A457" t="s">
        <v>2054</v>
      </c>
      <c r="B457" t="s">
        <v>2055</v>
      </c>
      <c r="C457" t="s">
        <v>29</v>
      </c>
      <c r="D457" t="s">
        <v>29</v>
      </c>
      <c r="E457" t="s">
        <v>29</v>
      </c>
      <c r="F457" t="s">
        <v>2056</v>
      </c>
      <c r="G457" t="s">
        <v>29</v>
      </c>
      <c r="H457">
        <v>2024</v>
      </c>
      <c r="I457" t="s">
        <v>29</v>
      </c>
      <c r="J457" t="s">
        <v>29</v>
      </c>
      <c r="K457" t="s">
        <v>29</v>
      </c>
      <c r="L457" t="s">
        <v>29</v>
      </c>
      <c r="M457" t="s">
        <v>29</v>
      </c>
      <c r="N457" t="s">
        <v>29</v>
      </c>
      <c r="O457" t="s">
        <v>29</v>
      </c>
      <c r="P457" t="s">
        <v>29</v>
      </c>
      <c r="Q457" t="s">
        <v>2057</v>
      </c>
      <c r="R457" t="s">
        <v>29</v>
      </c>
      <c r="S457" t="s">
        <v>29</v>
      </c>
      <c r="T457">
        <v>0</v>
      </c>
      <c r="U457">
        <v>0</v>
      </c>
      <c r="V457">
        <v>0</v>
      </c>
      <c r="W457">
        <v>0</v>
      </c>
      <c r="X457">
        <v>0</v>
      </c>
      <c r="Y457">
        <v>0</v>
      </c>
      <c r="Z457">
        <v>0</v>
      </c>
      <c r="AA457">
        <v>0</v>
      </c>
      <c r="AB457">
        <v>0</v>
      </c>
      <c r="AC457">
        <v>0</v>
      </c>
      <c r="AD457">
        <v>0</v>
      </c>
      <c r="AE457">
        <v>0</v>
      </c>
      <c r="AF457">
        <v>0</v>
      </c>
      <c r="AG457">
        <v>0</v>
      </c>
      <c r="AH457">
        <v>0</v>
      </c>
      <c r="AI457">
        <v>0</v>
      </c>
      <c r="AJ457">
        <v>0</v>
      </c>
      <c r="AK457">
        <v>0</v>
      </c>
      <c r="AL457">
        <v>0</v>
      </c>
      <c r="AM457">
        <v>0</v>
      </c>
      <c r="AN457">
        <v>0</v>
      </c>
      <c r="AO457">
        <v>0</v>
      </c>
      <c r="AP457">
        <v>0</v>
      </c>
      <c r="AQ457">
        <v>0</v>
      </c>
      <c r="AR457">
        <v>0</v>
      </c>
      <c r="AS457">
        <v>0</v>
      </c>
      <c r="AT457">
        <v>0</v>
      </c>
      <c r="AU457">
        <v>0</v>
      </c>
      <c r="AV457">
        <v>0</v>
      </c>
      <c r="AW457">
        <v>0</v>
      </c>
      <c r="AX457">
        <v>0</v>
      </c>
      <c r="AY457">
        <v>0</v>
      </c>
      <c r="AZ457">
        <v>0</v>
      </c>
      <c r="BA457">
        <v>0</v>
      </c>
      <c r="BB457">
        <v>0</v>
      </c>
      <c r="BC457">
        <v>0</v>
      </c>
      <c r="BD457">
        <v>0</v>
      </c>
      <c r="BE457">
        <v>0</v>
      </c>
      <c r="BF457">
        <v>0</v>
      </c>
      <c r="BG457">
        <v>0</v>
      </c>
      <c r="BH457">
        <v>0</v>
      </c>
      <c r="BI457">
        <v>0</v>
      </c>
      <c r="BJ457">
        <v>0</v>
      </c>
      <c r="BK457">
        <v>0</v>
      </c>
      <c r="BL457">
        <v>0</v>
      </c>
      <c r="BM457">
        <v>0</v>
      </c>
      <c r="BN457">
        <v>0</v>
      </c>
      <c r="BO457">
        <v>0</v>
      </c>
      <c r="BP457">
        <v>0</v>
      </c>
      <c r="BQ457">
        <v>0</v>
      </c>
      <c r="BR457">
        <v>0</v>
      </c>
      <c r="BS457">
        <v>0</v>
      </c>
    </row>
    <row r="458" spans="1:71" x14ac:dyDescent="0.3">
      <c r="A458" t="s">
        <v>2058</v>
      </c>
      <c r="B458" t="s">
        <v>2059</v>
      </c>
      <c r="C458" t="s">
        <v>29</v>
      </c>
      <c r="D458" t="s">
        <v>29</v>
      </c>
      <c r="E458" t="s">
        <v>29</v>
      </c>
      <c r="F458" t="s">
        <v>883</v>
      </c>
      <c r="G458" t="s">
        <v>944</v>
      </c>
      <c r="H458">
        <v>2024</v>
      </c>
      <c r="I458">
        <v>82</v>
      </c>
      <c r="J458" t="s">
        <v>29</v>
      </c>
      <c r="K458" t="s">
        <v>29</v>
      </c>
      <c r="L458" t="s">
        <v>29</v>
      </c>
      <c r="M458" t="s">
        <v>29</v>
      </c>
      <c r="N458">
        <v>233</v>
      </c>
      <c r="O458">
        <v>247</v>
      </c>
      <c r="P458" t="s">
        <v>29</v>
      </c>
      <c r="Q458" t="s">
        <v>2060</v>
      </c>
      <c r="R458" t="s">
        <v>29</v>
      </c>
      <c r="S458" t="s">
        <v>29</v>
      </c>
      <c r="T458">
        <v>0</v>
      </c>
      <c r="U458">
        <v>0</v>
      </c>
      <c r="V458">
        <v>0</v>
      </c>
      <c r="W458">
        <v>0</v>
      </c>
      <c r="X458">
        <v>0</v>
      </c>
      <c r="Y458">
        <v>0</v>
      </c>
      <c r="Z458">
        <v>0</v>
      </c>
      <c r="AA458">
        <v>0</v>
      </c>
      <c r="AB458">
        <v>0</v>
      </c>
      <c r="AC458">
        <v>0</v>
      </c>
      <c r="AD458">
        <v>0</v>
      </c>
      <c r="AE458">
        <v>0</v>
      </c>
      <c r="AF458">
        <v>0</v>
      </c>
      <c r="AG458">
        <v>0</v>
      </c>
      <c r="AH458">
        <v>0</v>
      </c>
      <c r="AI458">
        <v>0</v>
      </c>
      <c r="AJ458">
        <v>0</v>
      </c>
      <c r="AK458">
        <v>0</v>
      </c>
      <c r="AL458">
        <v>0</v>
      </c>
      <c r="AM458">
        <v>0</v>
      </c>
      <c r="AN458">
        <v>0</v>
      </c>
      <c r="AO458">
        <v>0</v>
      </c>
      <c r="AP458">
        <v>0</v>
      </c>
      <c r="AQ458">
        <v>0</v>
      </c>
      <c r="AR458">
        <v>0</v>
      </c>
      <c r="AS458">
        <v>0</v>
      </c>
      <c r="AT458">
        <v>0</v>
      </c>
      <c r="AU458">
        <v>0</v>
      </c>
      <c r="AV458">
        <v>0</v>
      </c>
      <c r="AW458">
        <v>0</v>
      </c>
      <c r="AX458">
        <v>0</v>
      </c>
      <c r="AY458">
        <v>0</v>
      </c>
      <c r="AZ458">
        <v>0</v>
      </c>
      <c r="BA458">
        <v>0</v>
      </c>
      <c r="BB458">
        <v>0</v>
      </c>
      <c r="BC458">
        <v>0</v>
      </c>
      <c r="BD458">
        <v>0</v>
      </c>
      <c r="BE458">
        <v>0</v>
      </c>
      <c r="BF458">
        <v>0</v>
      </c>
      <c r="BG458">
        <v>0</v>
      </c>
      <c r="BH458">
        <v>0</v>
      </c>
      <c r="BI458">
        <v>0</v>
      </c>
      <c r="BJ458">
        <v>0</v>
      </c>
      <c r="BK458">
        <v>0</v>
      </c>
      <c r="BL458">
        <v>0</v>
      </c>
      <c r="BM458">
        <v>0</v>
      </c>
      <c r="BN458">
        <v>0</v>
      </c>
      <c r="BO458">
        <v>0</v>
      </c>
      <c r="BP458">
        <v>0</v>
      </c>
      <c r="BQ458">
        <v>0</v>
      </c>
      <c r="BR458">
        <v>0</v>
      </c>
      <c r="BS458">
        <v>0</v>
      </c>
    </row>
    <row r="459" spans="1:71" x14ac:dyDescent="0.3">
      <c r="A459" t="s">
        <v>2061</v>
      </c>
      <c r="B459" t="s">
        <v>2062</v>
      </c>
      <c r="C459" t="s">
        <v>29</v>
      </c>
      <c r="D459" t="s">
        <v>29</v>
      </c>
      <c r="E459" t="s">
        <v>29</v>
      </c>
      <c r="F459" t="s">
        <v>2063</v>
      </c>
      <c r="G459" t="s">
        <v>1039</v>
      </c>
      <c r="H459">
        <v>2024</v>
      </c>
      <c r="I459">
        <v>53</v>
      </c>
      <c r="J459" t="s">
        <v>29</v>
      </c>
      <c r="K459" t="s">
        <v>29</v>
      </c>
      <c r="L459" t="s">
        <v>29</v>
      </c>
      <c r="M459" t="s">
        <v>29</v>
      </c>
      <c r="N459" t="s">
        <v>29</v>
      </c>
      <c r="O459" t="s">
        <v>29</v>
      </c>
      <c r="P459">
        <v>110192</v>
      </c>
      <c r="Q459" t="s">
        <v>2064</v>
      </c>
      <c r="R459" t="s">
        <v>29</v>
      </c>
      <c r="S459" t="s">
        <v>29</v>
      </c>
      <c r="T459">
        <v>0</v>
      </c>
      <c r="U459">
        <v>0</v>
      </c>
      <c r="V459">
        <v>0</v>
      </c>
      <c r="W459">
        <v>0</v>
      </c>
      <c r="X459">
        <v>0</v>
      </c>
      <c r="Y459">
        <v>0</v>
      </c>
      <c r="Z459">
        <v>0</v>
      </c>
      <c r="AA459">
        <v>0</v>
      </c>
      <c r="AB459">
        <v>0</v>
      </c>
      <c r="AC459">
        <v>0</v>
      </c>
      <c r="AD459">
        <v>0</v>
      </c>
      <c r="AE459">
        <v>0</v>
      </c>
      <c r="AF459">
        <v>0</v>
      </c>
      <c r="AG459">
        <v>0</v>
      </c>
      <c r="AH459">
        <v>0</v>
      </c>
      <c r="AI459">
        <v>0</v>
      </c>
      <c r="AJ459">
        <v>0</v>
      </c>
      <c r="AK459">
        <v>0</v>
      </c>
      <c r="AL459">
        <v>0</v>
      </c>
      <c r="AM459">
        <v>0</v>
      </c>
      <c r="AN459">
        <v>0</v>
      </c>
      <c r="AO459">
        <v>0</v>
      </c>
      <c r="AP459">
        <v>0</v>
      </c>
      <c r="AQ459">
        <v>0</v>
      </c>
      <c r="AR459">
        <v>0</v>
      </c>
      <c r="AS459">
        <v>0</v>
      </c>
      <c r="AT459">
        <v>0</v>
      </c>
      <c r="AU459">
        <v>0</v>
      </c>
      <c r="AV459">
        <v>0</v>
      </c>
      <c r="AW459">
        <v>0</v>
      </c>
      <c r="AX459">
        <v>0</v>
      </c>
      <c r="AY459">
        <v>0</v>
      </c>
      <c r="AZ459">
        <v>0</v>
      </c>
      <c r="BA459">
        <v>0</v>
      </c>
      <c r="BB459">
        <v>0</v>
      </c>
      <c r="BC459">
        <v>0</v>
      </c>
      <c r="BD459">
        <v>0</v>
      </c>
      <c r="BE459">
        <v>0</v>
      </c>
      <c r="BF459">
        <v>0</v>
      </c>
      <c r="BG459">
        <v>0</v>
      </c>
      <c r="BH459">
        <v>0</v>
      </c>
      <c r="BI459">
        <v>0</v>
      </c>
      <c r="BJ459">
        <v>0</v>
      </c>
      <c r="BK459">
        <v>0</v>
      </c>
      <c r="BL459">
        <v>0</v>
      </c>
      <c r="BM459">
        <v>0</v>
      </c>
      <c r="BN459">
        <v>0</v>
      </c>
      <c r="BO459">
        <v>0</v>
      </c>
      <c r="BP459">
        <v>0</v>
      </c>
      <c r="BQ459">
        <v>0</v>
      </c>
      <c r="BR459">
        <v>0</v>
      </c>
      <c r="BS459">
        <v>0</v>
      </c>
    </row>
    <row r="460" spans="1:71" x14ac:dyDescent="0.3">
      <c r="A460" t="s">
        <v>2065</v>
      </c>
      <c r="B460" t="s">
        <v>2066</v>
      </c>
      <c r="C460" t="s">
        <v>29</v>
      </c>
      <c r="D460" t="s">
        <v>29</v>
      </c>
      <c r="E460" t="s">
        <v>29</v>
      </c>
      <c r="F460" t="s">
        <v>2067</v>
      </c>
      <c r="G460" t="s">
        <v>1039</v>
      </c>
      <c r="H460">
        <v>2024</v>
      </c>
      <c r="I460">
        <v>18</v>
      </c>
      <c r="J460">
        <v>1</v>
      </c>
      <c r="K460" t="s">
        <v>29</v>
      </c>
      <c r="L460" t="s">
        <v>29</v>
      </c>
      <c r="M460" t="s">
        <v>29</v>
      </c>
      <c r="N460">
        <v>79</v>
      </c>
      <c r="O460">
        <v>82</v>
      </c>
      <c r="P460" t="s">
        <v>29</v>
      </c>
      <c r="Q460" t="s">
        <v>2068</v>
      </c>
      <c r="R460" t="s">
        <v>29</v>
      </c>
      <c r="S460" t="s">
        <v>29</v>
      </c>
      <c r="T460">
        <v>0</v>
      </c>
      <c r="U460">
        <v>0</v>
      </c>
      <c r="V460">
        <v>0</v>
      </c>
      <c r="W460">
        <v>0</v>
      </c>
      <c r="X460">
        <v>0</v>
      </c>
      <c r="Y460">
        <v>0</v>
      </c>
      <c r="Z460">
        <v>0</v>
      </c>
      <c r="AA460">
        <v>0</v>
      </c>
      <c r="AB460">
        <v>0</v>
      </c>
      <c r="AC460">
        <v>0</v>
      </c>
      <c r="AD460">
        <v>0</v>
      </c>
      <c r="AE460">
        <v>0</v>
      </c>
      <c r="AF460">
        <v>0</v>
      </c>
      <c r="AG460">
        <v>0</v>
      </c>
      <c r="AH460">
        <v>0</v>
      </c>
      <c r="AI460">
        <v>0</v>
      </c>
      <c r="AJ460">
        <v>0</v>
      </c>
      <c r="AK460">
        <v>0</v>
      </c>
      <c r="AL460">
        <v>0</v>
      </c>
      <c r="AM460">
        <v>0</v>
      </c>
      <c r="AN460">
        <v>0</v>
      </c>
      <c r="AO460">
        <v>0</v>
      </c>
      <c r="AP460">
        <v>0</v>
      </c>
      <c r="AQ460">
        <v>0</v>
      </c>
      <c r="AR460">
        <v>0</v>
      </c>
      <c r="AS460">
        <v>0</v>
      </c>
      <c r="AT460">
        <v>0</v>
      </c>
      <c r="AU460">
        <v>0</v>
      </c>
      <c r="AV460">
        <v>0</v>
      </c>
      <c r="AW460">
        <v>0</v>
      </c>
      <c r="AX460">
        <v>0</v>
      </c>
      <c r="AY460">
        <v>0</v>
      </c>
      <c r="AZ460">
        <v>0</v>
      </c>
      <c r="BA460">
        <v>0</v>
      </c>
      <c r="BB460">
        <v>0</v>
      </c>
      <c r="BC460">
        <v>0</v>
      </c>
      <c r="BD460">
        <v>0</v>
      </c>
      <c r="BE460">
        <v>0</v>
      </c>
      <c r="BF460">
        <v>0</v>
      </c>
      <c r="BG460">
        <v>0</v>
      </c>
      <c r="BH460">
        <v>0</v>
      </c>
      <c r="BI460">
        <v>0</v>
      </c>
      <c r="BJ460">
        <v>0</v>
      </c>
      <c r="BK460">
        <v>0</v>
      </c>
      <c r="BL460">
        <v>0</v>
      </c>
      <c r="BM460">
        <v>0</v>
      </c>
      <c r="BN460">
        <v>0</v>
      </c>
      <c r="BO460">
        <v>0</v>
      </c>
      <c r="BP460">
        <v>0</v>
      </c>
      <c r="BQ460">
        <v>0</v>
      </c>
      <c r="BR460">
        <v>0</v>
      </c>
      <c r="BS460">
        <v>0</v>
      </c>
    </row>
    <row r="461" spans="1:71" x14ac:dyDescent="0.3">
      <c r="A461" t="s">
        <v>2069</v>
      </c>
      <c r="B461" t="s">
        <v>2070</v>
      </c>
      <c r="C461" t="s">
        <v>29</v>
      </c>
      <c r="D461" t="s">
        <v>29</v>
      </c>
      <c r="E461" t="s">
        <v>29</v>
      </c>
      <c r="F461" t="s">
        <v>2071</v>
      </c>
      <c r="G461">
        <v>2024</v>
      </c>
      <c r="H461">
        <v>2024</v>
      </c>
      <c r="I461">
        <v>20</v>
      </c>
      <c r="J461">
        <v>1</v>
      </c>
      <c r="K461" t="s">
        <v>29</v>
      </c>
      <c r="L461" t="s">
        <v>29</v>
      </c>
      <c r="M461" t="s">
        <v>29</v>
      </c>
      <c r="N461" t="s">
        <v>29</v>
      </c>
      <c r="O461" t="s">
        <v>29</v>
      </c>
      <c r="P461">
        <v>357251</v>
      </c>
      <c r="Q461" t="s">
        <v>2072</v>
      </c>
      <c r="R461" t="s">
        <v>29</v>
      </c>
      <c r="S461" t="s">
        <v>29</v>
      </c>
      <c r="T461">
        <v>0</v>
      </c>
      <c r="U461">
        <v>0</v>
      </c>
      <c r="V461">
        <v>0</v>
      </c>
      <c r="W461">
        <v>0</v>
      </c>
      <c r="X461">
        <v>0</v>
      </c>
      <c r="Y461">
        <v>0</v>
      </c>
      <c r="Z461">
        <v>0</v>
      </c>
      <c r="AA461">
        <v>0</v>
      </c>
      <c r="AB461">
        <v>0</v>
      </c>
      <c r="AC461">
        <v>0</v>
      </c>
      <c r="AD461">
        <v>0</v>
      </c>
      <c r="AE461">
        <v>0</v>
      </c>
      <c r="AF461">
        <v>0</v>
      </c>
      <c r="AG461">
        <v>0</v>
      </c>
      <c r="AH461">
        <v>0</v>
      </c>
      <c r="AI461">
        <v>0</v>
      </c>
      <c r="AJ461">
        <v>0</v>
      </c>
      <c r="AK461">
        <v>0</v>
      </c>
      <c r="AL461">
        <v>0</v>
      </c>
      <c r="AM461">
        <v>0</v>
      </c>
      <c r="AN461">
        <v>0</v>
      </c>
      <c r="AO461">
        <v>0</v>
      </c>
      <c r="AP461">
        <v>0</v>
      </c>
      <c r="AQ461">
        <v>0</v>
      </c>
      <c r="AR461">
        <v>0</v>
      </c>
      <c r="AS461">
        <v>0</v>
      </c>
      <c r="AT461">
        <v>0</v>
      </c>
      <c r="AU461">
        <v>0</v>
      </c>
      <c r="AV461">
        <v>0</v>
      </c>
      <c r="AW461">
        <v>0</v>
      </c>
      <c r="AX461">
        <v>0</v>
      </c>
      <c r="AY461">
        <v>0</v>
      </c>
      <c r="AZ461">
        <v>0</v>
      </c>
      <c r="BA461">
        <v>0</v>
      </c>
      <c r="BB461">
        <v>0</v>
      </c>
      <c r="BC461">
        <v>0</v>
      </c>
      <c r="BD461">
        <v>0</v>
      </c>
      <c r="BE461">
        <v>0</v>
      </c>
      <c r="BF461">
        <v>0</v>
      </c>
      <c r="BG461">
        <v>0</v>
      </c>
      <c r="BH461">
        <v>0</v>
      </c>
      <c r="BI461">
        <v>0</v>
      </c>
      <c r="BJ461">
        <v>0</v>
      </c>
      <c r="BK461">
        <v>0</v>
      </c>
      <c r="BL461">
        <v>0</v>
      </c>
      <c r="BM461">
        <v>0</v>
      </c>
      <c r="BN461">
        <v>0</v>
      </c>
      <c r="BO461">
        <v>0</v>
      </c>
      <c r="BP461">
        <v>0</v>
      </c>
      <c r="BQ461">
        <v>0</v>
      </c>
      <c r="BR461">
        <v>0</v>
      </c>
      <c r="BS461">
        <v>0</v>
      </c>
    </row>
    <row r="462" spans="1:71" x14ac:dyDescent="0.3">
      <c r="A462" t="s">
        <v>2073</v>
      </c>
      <c r="B462" t="s">
        <v>2074</v>
      </c>
      <c r="C462" t="s">
        <v>29</v>
      </c>
      <c r="D462" t="s">
        <v>29</v>
      </c>
      <c r="E462" t="s">
        <v>29</v>
      </c>
      <c r="F462" t="s">
        <v>2075</v>
      </c>
      <c r="G462">
        <v>2024</v>
      </c>
      <c r="H462">
        <v>2024</v>
      </c>
      <c r="I462">
        <v>12</v>
      </c>
      <c r="J462">
        <v>4</v>
      </c>
      <c r="K462" t="s">
        <v>29</v>
      </c>
      <c r="L462" t="s">
        <v>29</v>
      </c>
      <c r="M462" t="s">
        <v>29</v>
      </c>
      <c r="N462" t="s">
        <v>29</v>
      </c>
      <c r="O462" t="s">
        <v>29</v>
      </c>
      <c r="P462" t="s">
        <v>29</v>
      </c>
      <c r="Q462" t="s">
        <v>2076</v>
      </c>
      <c r="R462" t="s">
        <v>29</v>
      </c>
      <c r="S462" t="s">
        <v>29</v>
      </c>
      <c r="T462">
        <v>0</v>
      </c>
      <c r="U462">
        <v>0</v>
      </c>
      <c r="V462">
        <v>0</v>
      </c>
      <c r="W462">
        <v>0</v>
      </c>
      <c r="X462">
        <v>0</v>
      </c>
      <c r="Y462">
        <v>0</v>
      </c>
      <c r="Z462">
        <v>0</v>
      </c>
      <c r="AA462">
        <v>0</v>
      </c>
      <c r="AB462">
        <v>0</v>
      </c>
      <c r="AC462">
        <v>0</v>
      </c>
      <c r="AD462">
        <v>0</v>
      </c>
      <c r="AE462">
        <v>0</v>
      </c>
      <c r="AF462">
        <v>0</v>
      </c>
      <c r="AG462">
        <v>0</v>
      </c>
      <c r="AH462">
        <v>0</v>
      </c>
      <c r="AI462">
        <v>0</v>
      </c>
      <c r="AJ462">
        <v>0</v>
      </c>
      <c r="AK462">
        <v>0</v>
      </c>
      <c r="AL462">
        <v>0</v>
      </c>
      <c r="AM462">
        <v>0</v>
      </c>
      <c r="AN462">
        <v>0</v>
      </c>
      <c r="AO462">
        <v>0</v>
      </c>
      <c r="AP462">
        <v>0</v>
      </c>
      <c r="AQ462">
        <v>0</v>
      </c>
      <c r="AR462">
        <v>0</v>
      </c>
      <c r="AS462">
        <v>0</v>
      </c>
      <c r="AT462">
        <v>0</v>
      </c>
      <c r="AU462">
        <v>0</v>
      </c>
      <c r="AV462">
        <v>0</v>
      </c>
      <c r="AW462">
        <v>0</v>
      </c>
      <c r="AX462">
        <v>0</v>
      </c>
      <c r="AY462">
        <v>0</v>
      </c>
      <c r="AZ462">
        <v>0</v>
      </c>
      <c r="BA462">
        <v>0</v>
      </c>
      <c r="BB462">
        <v>0</v>
      </c>
      <c r="BC462">
        <v>0</v>
      </c>
      <c r="BD462">
        <v>0</v>
      </c>
      <c r="BE462">
        <v>0</v>
      </c>
      <c r="BF462">
        <v>0</v>
      </c>
      <c r="BG462">
        <v>0</v>
      </c>
      <c r="BH462">
        <v>0</v>
      </c>
      <c r="BI462">
        <v>0</v>
      </c>
      <c r="BJ462">
        <v>0</v>
      </c>
      <c r="BK462">
        <v>0</v>
      </c>
      <c r="BL462">
        <v>0</v>
      </c>
      <c r="BM462">
        <v>0</v>
      </c>
      <c r="BN462">
        <v>0</v>
      </c>
      <c r="BO462">
        <v>0</v>
      </c>
      <c r="BP462">
        <v>0</v>
      </c>
      <c r="BQ462">
        <v>0</v>
      </c>
      <c r="BR462">
        <v>0</v>
      </c>
      <c r="BS462">
        <v>0</v>
      </c>
    </row>
    <row r="463" spans="1:71" x14ac:dyDescent="0.3">
      <c r="A463" t="s">
        <v>2077</v>
      </c>
      <c r="B463" t="s">
        <v>2078</v>
      </c>
      <c r="C463" t="s">
        <v>29</v>
      </c>
      <c r="D463" t="s">
        <v>29</v>
      </c>
      <c r="E463" t="s">
        <v>29</v>
      </c>
      <c r="F463" t="s">
        <v>2079</v>
      </c>
      <c r="G463">
        <v>2024</v>
      </c>
      <c r="H463">
        <v>2024</v>
      </c>
      <c r="I463">
        <v>14</v>
      </c>
      <c r="J463">
        <v>1</v>
      </c>
      <c r="K463" t="s">
        <v>29</v>
      </c>
      <c r="L463" t="s">
        <v>29</v>
      </c>
      <c r="M463" t="s">
        <v>32</v>
      </c>
      <c r="N463">
        <v>111</v>
      </c>
      <c r="O463">
        <v>116</v>
      </c>
      <c r="P463" t="s">
        <v>29</v>
      </c>
      <c r="Q463" t="s">
        <v>29</v>
      </c>
      <c r="R463" t="s">
        <v>29</v>
      </c>
      <c r="S463" t="s">
        <v>29</v>
      </c>
      <c r="T463">
        <v>0</v>
      </c>
      <c r="U463">
        <v>0</v>
      </c>
      <c r="V463">
        <v>0</v>
      </c>
      <c r="W463">
        <v>0</v>
      </c>
      <c r="X463">
        <v>0</v>
      </c>
      <c r="Y463">
        <v>0</v>
      </c>
      <c r="Z463">
        <v>0</v>
      </c>
      <c r="AA463">
        <v>0</v>
      </c>
      <c r="AB463">
        <v>0</v>
      </c>
      <c r="AC463">
        <v>0</v>
      </c>
      <c r="AD463">
        <v>0</v>
      </c>
      <c r="AE463">
        <v>0</v>
      </c>
      <c r="AF463">
        <v>0</v>
      </c>
      <c r="AG463">
        <v>0</v>
      </c>
      <c r="AH463">
        <v>0</v>
      </c>
      <c r="AI463">
        <v>0</v>
      </c>
      <c r="AJ463">
        <v>0</v>
      </c>
      <c r="AK463">
        <v>0</v>
      </c>
      <c r="AL463">
        <v>0</v>
      </c>
      <c r="AM463">
        <v>0</v>
      </c>
      <c r="AN463">
        <v>0</v>
      </c>
      <c r="AO463">
        <v>0</v>
      </c>
      <c r="AP463">
        <v>0</v>
      </c>
      <c r="AQ463">
        <v>0</v>
      </c>
      <c r="AR463">
        <v>0</v>
      </c>
      <c r="AS463">
        <v>0</v>
      </c>
      <c r="AT463">
        <v>0</v>
      </c>
      <c r="AU463">
        <v>0</v>
      </c>
      <c r="AV463">
        <v>0</v>
      </c>
      <c r="AW463">
        <v>0</v>
      </c>
      <c r="AX463">
        <v>0</v>
      </c>
      <c r="AY463">
        <v>0</v>
      </c>
      <c r="AZ463">
        <v>0</v>
      </c>
      <c r="BA463">
        <v>0</v>
      </c>
      <c r="BB463">
        <v>0</v>
      </c>
      <c r="BC463">
        <v>0</v>
      </c>
      <c r="BD463">
        <v>0</v>
      </c>
      <c r="BE463">
        <v>0</v>
      </c>
      <c r="BF463">
        <v>0</v>
      </c>
      <c r="BG463">
        <v>0</v>
      </c>
      <c r="BH463">
        <v>0</v>
      </c>
      <c r="BI463">
        <v>0</v>
      </c>
      <c r="BJ463">
        <v>0</v>
      </c>
      <c r="BK463">
        <v>0</v>
      </c>
      <c r="BL463">
        <v>0</v>
      </c>
      <c r="BM463">
        <v>0</v>
      </c>
      <c r="BN463">
        <v>0</v>
      </c>
      <c r="BO463">
        <v>0</v>
      </c>
      <c r="BP463">
        <v>0</v>
      </c>
      <c r="BQ463">
        <v>0</v>
      </c>
      <c r="BR463">
        <v>0</v>
      </c>
      <c r="BS463">
        <v>0</v>
      </c>
    </row>
    <row r="464" spans="1:71" x14ac:dyDescent="0.3">
      <c r="A464" t="s">
        <v>2080</v>
      </c>
      <c r="B464" t="s">
        <v>2081</v>
      </c>
      <c r="C464" t="s">
        <v>29</v>
      </c>
      <c r="D464" t="s">
        <v>29</v>
      </c>
      <c r="E464" t="s">
        <v>29</v>
      </c>
      <c r="F464" t="s">
        <v>1513</v>
      </c>
      <c r="G464">
        <v>2024</v>
      </c>
      <c r="H464">
        <v>2024</v>
      </c>
      <c r="I464" t="s">
        <v>29</v>
      </c>
      <c r="J464" t="s">
        <v>29</v>
      </c>
      <c r="K464" t="s">
        <v>29</v>
      </c>
      <c r="L464" t="s">
        <v>29</v>
      </c>
      <c r="M464" t="s">
        <v>29</v>
      </c>
      <c r="N464" t="s">
        <v>29</v>
      </c>
      <c r="O464" t="s">
        <v>29</v>
      </c>
      <c r="P464" t="s">
        <v>29</v>
      </c>
      <c r="Q464" t="s">
        <v>2082</v>
      </c>
      <c r="R464" t="s">
        <v>1515</v>
      </c>
      <c r="S464" t="s">
        <v>1516</v>
      </c>
      <c r="T464">
        <v>0</v>
      </c>
      <c r="U464">
        <v>0</v>
      </c>
      <c r="V464">
        <v>0</v>
      </c>
      <c r="W464">
        <v>0</v>
      </c>
      <c r="X464">
        <v>0</v>
      </c>
      <c r="Y464">
        <v>0</v>
      </c>
      <c r="Z464">
        <v>0</v>
      </c>
      <c r="AA464">
        <v>0</v>
      </c>
      <c r="AB464">
        <v>0</v>
      </c>
      <c r="AC464">
        <v>0</v>
      </c>
      <c r="AD464">
        <v>0</v>
      </c>
      <c r="AE464">
        <v>0</v>
      </c>
      <c r="AF464">
        <v>0</v>
      </c>
      <c r="AG464">
        <v>0</v>
      </c>
      <c r="AH464">
        <v>0</v>
      </c>
      <c r="AI464">
        <v>0</v>
      </c>
      <c r="AJ464">
        <v>0</v>
      </c>
      <c r="AK464">
        <v>0</v>
      </c>
      <c r="AL464">
        <v>0</v>
      </c>
      <c r="AM464">
        <v>0</v>
      </c>
      <c r="AN464">
        <v>0</v>
      </c>
      <c r="AO464">
        <v>0</v>
      </c>
      <c r="AP464">
        <v>0</v>
      </c>
      <c r="AQ464">
        <v>0</v>
      </c>
      <c r="AR464">
        <v>0</v>
      </c>
      <c r="AS464">
        <v>0</v>
      </c>
      <c r="AT464">
        <v>0</v>
      </c>
      <c r="AU464">
        <v>0</v>
      </c>
      <c r="AV464">
        <v>0</v>
      </c>
      <c r="AW464">
        <v>0</v>
      </c>
      <c r="AX464">
        <v>0</v>
      </c>
      <c r="AY464">
        <v>0</v>
      </c>
      <c r="AZ464">
        <v>0</v>
      </c>
      <c r="BA464">
        <v>0</v>
      </c>
      <c r="BB464">
        <v>0</v>
      </c>
      <c r="BC464">
        <v>0</v>
      </c>
      <c r="BD464">
        <v>0</v>
      </c>
      <c r="BE464">
        <v>0</v>
      </c>
      <c r="BF464">
        <v>0</v>
      </c>
      <c r="BG464">
        <v>0</v>
      </c>
      <c r="BH464">
        <v>0</v>
      </c>
      <c r="BI464">
        <v>0</v>
      </c>
      <c r="BJ464">
        <v>0</v>
      </c>
      <c r="BK464">
        <v>0</v>
      </c>
      <c r="BL464">
        <v>0</v>
      </c>
      <c r="BM464">
        <v>0</v>
      </c>
      <c r="BN464">
        <v>0</v>
      </c>
      <c r="BO464">
        <v>0</v>
      </c>
      <c r="BP464">
        <v>0</v>
      </c>
      <c r="BQ464">
        <v>0</v>
      </c>
      <c r="BR464">
        <v>0</v>
      </c>
      <c r="BS464">
        <v>0</v>
      </c>
    </row>
    <row r="465" spans="1:71" x14ac:dyDescent="0.3">
      <c r="A465" t="s">
        <v>2083</v>
      </c>
      <c r="B465" t="s">
        <v>2084</v>
      </c>
      <c r="C465" t="s">
        <v>29</v>
      </c>
      <c r="D465" t="s">
        <v>29</v>
      </c>
      <c r="E465" t="s">
        <v>2085</v>
      </c>
      <c r="F465" t="s">
        <v>2086</v>
      </c>
      <c r="G465">
        <v>2024</v>
      </c>
      <c r="H465">
        <v>2024</v>
      </c>
      <c r="I465">
        <v>900</v>
      </c>
      <c r="J465" t="s">
        <v>29</v>
      </c>
      <c r="K465" t="s">
        <v>29</v>
      </c>
      <c r="L465" t="s">
        <v>29</v>
      </c>
      <c r="M465" t="s">
        <v>29</v>
      </c>
      <c r="N465">
        <v>181</v>
      </c>
      <c r="O465">
        <v>188</v>
      </c>
      <c r="P465" t="s">
        <v>29</v>
      </c>
      <c r="Q465" t="s">
        <v>2087</v>
      </c>
      <c r="R465" t="s">
        <v>2088</v>
      </c>
      <c r="S465" t="s">
        <v>2089</v>
      </c>
      <c r="T465">
        <v>0</v>
      </c>
      <c r="U465">
        <v>0</v>
      </c>
      <c r="V465">
        <v>0</v>
      </c>
      <c r="W465">
        <v>0</v>
      </c>
      <c r="X465">
        <v>0</v>
      </c>
      <c r="Y465">
        <v>0</v>
      </c>
      <c r="Z465">
        <v>0</v>
      </c>
      <c r="AA465">
        <v>0</v>
      </c>
      <c r="AB465">
        <v>0</v>
      </c>
      <c r="AC465">
        <v>0</v>
      </c>
      <c r="AD465">
        <v>0</v>
      </c>
      <c r="AE465">
        <v>0</v>
      </c>
      <c r="AF465">
        <v>0</v>
      </c>
      <c r="AG465">
        <v>0</v>
      </c>
      <c r="AH465">
        <v>0</v>
      </c>
      <c r="AI465">
        <v>0</v>
      </c>
      <c r="AJ465">
        <v>0</v>
      </c>
      <c r="AK465">
        <v>0</v>
      </c>
      <c r="AL465">
        <v>0</v>
      </c>
      <c r="AM465">
        <v>0</v>
      </c>
      <c r="AN465">
        <v>0</v>
      </c>
      <c r="AO465">
        <v>0</v>
      </c>
      <c r="AP465">
        <v>0</v>
      </c>
      <c r="AQ465">
        <v>0</v>
      </c>
      <c r="AR465">
        <v>0</v>
      </c>
      <c r="AS465">
        <v>0</v>
      </c>
      <c r="AT465">
        <v>0</v>
      </c>
      <c r="AU465">
        <v>0</v>
      </c>
      <c r="AV465">
        <v>0</v>
      </c>
      <c r="AW465">
        <v>0</v>
      </c>
      <c r="AX465">
        <v>0</v>
      </c>
      <c r="AY465">
        <v>0</v>
      </c>
      <c r="AZ465">
        <v>0</v>
      </c>
      <c r="BA465">
        <v>0</v>
      </c>
      <c r="BB465">
        <v>0</v>
      </c>
      <c r="BC465">
        <v>0</v>
      </c>
      <c r="BD465">
        <v>0</v>
      </c>
      <c r="BE465">
        <v>0</v>
      </c>
      <c r="BF465">
        <v>0</v>
      </c>
      <c r="BG465">
        <v>0</v>
      </c>
      <c r="BH465">
        <v>0</v>
      </c>
      <c r="BI465">
        <v>0</v>
      </c>
      <c r="BJ465">
        <v>0</v>
      </c>
      <c r="BK465">
        <v>0</v>
      </c>
      <c r="BL465">
        <v>0</v>
      </c>
      <c r="BM465">
        <v>0</v>
      </c>
      <c r="BN465">
        <v>0</v>
      </c>
      <c r="BO465">
        <v>0</v>
      </c>
      <c r="BP465">
        <v>0</v>
      </c>
      <c r="BQ465">
        <v>0</v>
      </c>
      <c r="BR465">
        <v>0</v>
      </c>
      <c r="BS465">
        <v>0</v>
      </c>
    </row>
    <row r="466" spans="1:71" x14ac:dyDescent="0.3">
      <c r="A466" t="s">
        <v>2090</v>
      </c>
      <c r="B466" t="s">
        <v>2091</v>
      </c>
      <c r="C466" t="s">
        <v>29</v>
      </c>
      <c r="D466" t="s">
        <v>29</v>
      </c>
      <c r="E466" t="s">
        <v>29</v>
      </c>
      <c r="F466" t="s">
        <v>328</v>
      </c>
      <c r="G466">
        <v>2024</v>
      </c>
      <c r="H466">
        <v>2024</v>
      </c>
      <c r="I466">
        <v>40</v>
      </c>
      <c r="J466">
        <v>3</v>
      </c>
      <c r="K466" t="s">
        <v>29</v>
      </c>
      <c r="L466" t="s">
        <v>29</v>
      </c>
      <c r="M466" t="s">
        <v>29</v>
      </c>
      <c r="N466">
        <v>624</v>
      </c>
      <c r="O466">
        <v>638</v>
      </c>
      <c r="P466" t="s">
        <v>29</v>
      </c>
      <c r="Q466" t="s">
        <v>29</v>
      </c>
      <c r="R466" t="s">
        <v>29</v>
      </c>
      <c r="S466" t="s">
        <v>29</v>
      </c>
      <c r="T466">
        <v>0</v>
      </c>
      <c r="U466">
        <v>0</v>
      </c>
      <c r="V466">
        <v>0</v>
      </c>
      <c r="W466">
        <v>0</v>
      </c>
      <c r="X466">
        <v>0</v>
      </c>
      <c r="Y466">
        <v>0</v>
      </c>
      <c r="Z466">
        <v>0</v>
      </c>
      <c r="AA466">
        <v>0</v>
      </c>
      <c r="AB466">
        <v>0</v>
      </c>
      <c r="AC466">
        <v>0</v>
      </c>
      <c r="AD466">
        <v>0</v>
      </c>
      <c r="AE466">
        <v>0</v>
      </c>
      <c r="AF466">
        <v>0</v>
      </c>
      <c r="AG466">
        <v>0</v>
      </c>
      <c r="AH466">
        <v>0</v>
      </c>
      <c r="AI466">
        <v>0</v>
      </c>
      <c r="AJ466">
        <v>0</v>
      </c>
      <c r="AK466">
        <v>0</v>
      </c>
      <c r="AL466">
        <v>0</v>
      </c>
      <c r="AM466">
        <v>0</v>
      </c>
      <c r="AN466">
        <v>0</v>
      </c>
      <c r="AO466">
        <v>0</v>
      </c>
      <c r="AP466">
        <v>0</v>
      </c>
      <c r="AQ466">
        <v>0</v>
      </c>
      <c r="AR466">
        <v>0</v>
      </c>
      <c r="AS466">
        <v>0</v>
      </c>
      <c r="AT466">
        <v>0</v>
      </c>
      <c r="AU466">
        <v>0</v>
      </c>
      <c r="AV466">
        <v>0</v>
      </c>
      <c r="AW466">
        <v>0</v>
      </c>
      <c r="AX466">
        <v>0</v>
      </c>
      <c r="AY466">
        <v>0</v>
      </c>
      <c r="AZ466">
        <v>0</v>
      </c>
      <c r="BA466">
        <v>0</v>
      </c>
      <c r="BB466">
        <v>0</v>
      </c>
      <c r="BC466">
        <v>0</v>
      </c>
      <c r="BD466">
        <v>0</v>
      </c>
      <c r="BE466">
        <v>0</v>
      </c>
      <c r="BF466">
        <v>0</v>
      </c>
      <c r="BG466">
        <v>0</v>
      </c>
      <c r="BH466">
        <v>0</v>
      </c>
      <c r="BI466">
        <v>0</v>
      </c>
      <c r="BJ466">
        <v>0</v>
      </c>
      <c r="BK466">
        <v>0</v>
      </c>
      <c r="BL466">
        <v>0</v>
      </c>
      <c r="BM466">
        <v>0</v>
      </c>
      <c r="BN466">
        <v>0</v>
      </c>
      <c r="BO466">
        <v>0</v>
      </c>
      <c r="BP466">
        <v>0</v>
      </c>
      <c r="BQ466">
        <v>0</v>
      </c>
      <c r="BR466">
        <v>0</v>
      </c>
      <c r="BS466">
        <v>0</v>
      </c>
    </row>
    <row r="467" spans="1:71" x14ac:dyDescent="0.3">
      <c r="A467" t="s">
        <v>2092</v>
      </c>
      <c r="B467" t="s">
        <v>2093</v>
      </c>
      <c r="C467" t="s">
        <v>29</v>
      </c>
      <c r="D467" t="s">
        <v>29</v>
      </c>
      <c r="E467" t="s">
        <v>29</v>
      </c>
      <c r="F467" t="s">
        <v>2094</v>
      </c>
      <c r="G467">
        <v>2024</v>
      </c>
      <c r="H467">
        <v>2024</v>
      </c>
      <c r="I467" t="s">
        <v>29</v>
      </c>
      <c r="J467" t="s">
        <v>29</v>
      </c>
      <c r="K467" t="s">
        <v>29</v>
      </c>
      <c r="L467" t="s">
        <v>29</v>
      </c>
      <c r="M467" t="s">
        <v>29</v>
      </c>
      <c r="N467" t="s">
        <v>2095</v>
      </c>
      <c r="O467" t="s">
        <v>2096</v>
      </c>
      <c r="P467" t="s">
        <v>29</v>
      </c>
      <c r="Q467" t="s">
        <v>2097</v>
      </c>
      <c r="R467" t="s">
        <v>2098</v>
      </c>
      <c r="S467" t="s">
        <v>2099</v>
      </c>
      <c r="T467">
        <v>0</v>
      </c>
      <c r="U467">
        <v>0</v>
      </c>
      <c r="V467">
        <v>0</v>
      </c>
      <c r="W467">
        <v>0</v>
      </c>
      <c r="X467">
        <v>0</v>
      </c>
      <c r="Y467">
        <v>0</v>
      </c>
      <c r="Z467">
        <v>0</v>
      </c>
      <c r="AA467">
        <v>0</v>
      </c>
      <c r="AB467">
        <v>0</v>
      </c>
      <c r="AC467">
        <v>0</v>
      </c>
      <c r="AD467">
        <v>0</v>
      </c>
      <c r="AE467">
        <v>0</v>
      </c>
      <c r="AF467">
        <v>0</v>
      </c>
      <c r="AG467">
        <v>0</v>
      </c>
      <c r="AH467">
        <v>0</v>
      </c>
      <c r="AI467">
        <v>0</v>
      </c>
      <c r="AJ467">
        <v>0</v>
      </c>
      <c r="AK467">
        <v>0</v>
      </c>
      <c r="AL467">
        <v>0</v>
      </c>
      <c r="AM467">
        <v>0</v>
      </c>
      <c r="AN467">
        <v>0</v>
      </c>
      <c r="AO467">
        <v>0</v>
      </c>
      <c r="AP467">
        <v>0</v>
      </c>
      <c r="AQ467">
        <v>0</v>
      </c>
      <c r="AR467">
        <v>0</v>
      </c>
      <c r="AS467">
        <v>0</v>
      </c>
      <c r="AT467">
        <v>0</v>
      </c>
      <c r="AU467">
        <v>0</v>
      </c>
      <c r="AV467">
        <v>0</v>
      </c>
      <c r="AW467">
        <v>0</v>
      </c>
      <c r="AX467">
        <v>0</v>
      </c>
      <c r="AY467">
        <v>0</v>
      </c>
      <c r="AZ467">
        <v>0</v>
      </c>
      <c r="BA467">
        <v>0</v>
      </c>
      <c r="BB467">
        <v>0</v>
      </c>
      <c r="BC467">
        <v>0</v>
      </c>
      <c r="BD467">
        <v>0</v>
      </c>
      <c r="BE467">
        <v>0</v>
      </c>
      <c r="BF467">
        <v>0</v>
      </c>
      <c r="BG467">
        <v>0</v>
      </c>
      <c r="BH467">
        <v>0</v>
      </c>
      <c r="BI467">
        <v>0</v>
      </c>
      <c r="BJ467">
        <v>0</v>
      </c>
      <c r="BK467">
        <v>0</v>
      </c>
      <c r="BL467">
        <v>0</v>
      </c>
      <c r="BM467">
        <v>0</v>
      </c>
      <c r="BN467">
        <v>0</v>
      </c>
      <c r="BO467">
        <v>0</v>
      </c>
      <c r="BP467">
        <v>0</v>
      </c>
      <c r="BQ467">
        <v>0</v>
      </c>
      <c r="BR467">
        <v>0</v>
      </c>
      <c r="BS467">
        <v>0</v>
      </c>
    </row>
    <row r="468" spans="1:71" x14ac:dyDescent="0.3">
      <c r="A468" t="s">
        <v>2100</v>
      </c>
      <c r="B468" t="s">
        <v>2101</v>
      </c>
      <c r="C468" t="s">
        <v>29</v>
      </c>
      <c r="D468" t="s">
        <v>29</v>
      </c>
      <c r="E468" t="s">
        <v>29</v>
      </c>
      <c r="F468" t="s">
        <v>1513</v>
      </c>
      <c r="G468">
        <v>2024</v>
      </c>
      <c r="H468">
        <v>2024</v>
      </c>
      <c r="I468" t="s">
        <v>29</v>
      </c>
      <c r="J468" t="s">
        <v>29</v>
      </c>
      <c r="K468" t="s">
        <v>29</v>
      </c>
      <c r="L468" t="s">
        <v>29</v>
      </c>
      <c r="M468" t="s">
        <v>29</v>
      </c>
      <c r="N468" t="s">
        <v>29</v>
      </c>
      <c r="O468" t="s">
        <v>29</v>
      </c>
      <c r="P468" t="s">
        <v>29</v>
      </c>
      <c r="Q468" t="s">
        <v>2102</v>
      </c>
      <c r="R468" t="s">
        <v>1515</v>
      </c>
      <c r="S468" t="s">
        <v>1516</v>
      </c>
      <c r="T468">
        <v>0</v>
      </c>
      <c r="U468">
        <v>0</v>
      </c>
      <c r="V468">
        <v>0</v>
      </c>
      <c r="W468">
        <v>0</v>
      </c>
      <c r="X468">
        <v>0</v>
      </c>
      <c r="Y468">
        <v>0</v>
      </c>
      <c r="Z468">
        <v>0</v>
      </c>
      <c r="AA468">
        <v>0</v>
      </c>
      <c r="AB468">
        <v>0</v>
      </c>
      <c r="AC468">
        <v>0</v>
      </c>
      <c r="AD468">
        <v>0</v>
      </c>
      <c r="AE468">
        <v>0</v>
      </c>
      <c r="AF468">
        <v>0</v>
      </c>
      <c r="AG468">
        <v>0</v>
      </c>
      <c r="AH468">
        <v>0</v>
      </c>
      <c r="AI468">
        <v>0</v>
      </c>
      <c r="AJ468">
        <v>0</v>
      </c>
      <c r="AK468">
        <v>0</v>
      </c>
      <c r="AL468">
        <v>0</v>
      </c>
      <c r="AM468">
        <v>0</v>
      </c>
      <c r="AN468">
        <v>0</v>
      </c>
      <c r="AO468">
        <v>0</v>
      </c>
      <c r="AP468">
        <v>0</v>
      </c>
      <c r="AQ468">
        <v>0</v>
      </c>
      <c r="AR468">
        <v>0</v>
      </c>
      <c r="AS468">
        <v>0</v>
      </c>
      <c r="AT468">
        <v>0</v>
      </c>
      <c r="AU468">
        <v>0</v>
      </c>
      <c r="AV468">
        <v>0</v>
      </c>
      <c r="AW468">
        <v>0</v>
      </c>
      <c r="AX468">
        <v>0</v>
      </c>
      <c r="AY468">
        <v>0</v>
      </c>
      <c r="AZ468">
        <v>0</v>
      </c>
      <c r="BA468">
        <v>0</v>
      </c>
      <c r="BB468">
        <v>0</v>
      </c>
      <c r="BC468">
        <v>0</v>
      </c>
      <c r="BD468">
        <v>0</v>
      </c>
      <c r="BE468">
        <v>0</v>
      </c>
      <c r="BF468">
        <v>0</v>
      </c>
      <c r="BG468">
        <v>0</v>
      </c>
      <c r="BH468">
        <v>0</v>
      </c>
      <c r="BI468">
        <v>0</v>
      </c>
      <c r="BJ468">
        <v>0</v>
      </c>
      <c r="BK468">
        <v>0</v>
      </c>
      <c r="BL468">
        <v>0</v>
      </c>
      <c r="BM468">
        <v>0</v>
      </c>
      <c r="BN468">
        <v>0</v>
      </c>
      <c r="BO468">
        <v>0</v>
      </c>
      <c r="BP468">
        <v>0</v>
      </c>
      <c r="BQ468">
        <v>0</v>
      </c>
      <c r="BR468">
        <v>0</v>
      </c>
      <c r="BS468">
        <v>0</v>
      </c>
    </row>
    <row r="469" spans="1:71" x14ac:dyDescent="0.3">
      <c r="A469" t="s">
        <v>2103</v>
      </c>
      <c r="B469" t="s">
        <v>2104</v>
      </c>
      <c r="C469" t="s">
        <v>29</v>
      </c>
      <c r="D469" t="s">
        <v>29</v>
      </c>
      <c r="E469" t="s">
        <v>29</v>
      </c>
      <c r="F469" t="s">
        <v>403</v>
      </c>
      <c r="G469">
        <v>2024</v>
      </c>
      <c r="H469">
        <v>2024</v>
      </c>
      <c r="I469">
        <v>35</v>
      </c>
      <c r="J469">
        <v>3</v>
      </c>
      <c r="K469" t="s">
        <v>29</v>
      </c>
      <c r="L469" t="s">
        <v>29</v>
      </c>
      <c r="M469" t="s">
        <v>29</v>
      </c>
      <c r="N469">
        <v>671</v>
      </c>
      <c r="O469">
        <v>682</v>
      </c>
      <c r="P469" t="s">
        <v>29</v>
      </c>
      <c r="Q469" t="s">
        <v>2105</v>
      </c>
      <c r="R469" t="s">
        <v>29</v>
      </c>
      <c r="S469" t="s">
        <v>29</v>
      </c>
      <c r="T469">
        <v>0</v>
      </c>
      <c r="U469">
        <v>0</v>
      </c>
      <c r="V469">
        <v>0</v>
      </c>
      <c r="W469">
        <v>0</v>
      </c>
      <c r="X469">
        <v>0</v>
      </c>
      <c r="Y469">
        <v>0</v>
      </c>
      <c r="Z469">
        <v>0</v>
      </c>
      <c r="AA469">
        <v>0</v>
      </c>
      <c r="AB469">
        <v>0</v>
      </c>
      <c r="AC469">
        <v>0</v>
      </c>
      <c r="AD469">
        <v>0</v>
      </c>
      <c r="AE469">
        <v>0</v>
      </c>
      <c r="AF469">
        <v>0</v>
      </c>
      <c r="AG469">
        <v>0</v>
      </c>
      <c r="AH469">
        <v>0</v>
      </c>
      <c r="AI469">
        <v>0</v>
      </c>
      <c r="AJ469">
        <v>0</v>
      </c>
      <c r="AK469">
        <v>0</v>
      </c>
      <c r="AL469">
        <v>0</v>
      </c>
      <c r="AM469">
        <v>0</v>
      </c>
      <c r="AN469">
        <v>0</v>
      </c>
      <c r="AO469">
        <v>0</v>
      </c>
      <c r="AP469">
        <v>0</v>
      </c>
      <c r="AQ469">
        <v>0</v>
      </c>
      <c r="AR469">
        <v>0</v>
      </c>
      <c r="AS469">
        <v>0</v>
      </c>
      <c r="AT469">
        <v>0</v>
      </c>
      <c r="AU469">
        <v>0</v>
      </c>
      <c r="AV469">
        <v>0</v>
      </c>
      <c r="AW469">
        <v>0</v>
      </c>
      <c r="AX469">
        <v>0</v>
      </c>
      <c r="AY469">
        <v>0</v>
      </c>
      <c r="AZ469">
        <v>0</v>
      </c>
      <c r="BA469">
        <v>0</v>
      </c>
      <c r="BB469">
        <v>0</v>
      </c>
      <c r="BC469">
        <v>0</v>
      </c>
      <c r="BD469">
        <v>0</v>
      </c>
      <c r="BE469">
        <v>0</v>
      </c>
      <c r="BF469">
        <v>0</v>
      </c>
      <c r="BG469">
        <v>0</v>
      </c>
      <c r="BH469">
        <v>0</v>
      </c>
      <c r="BI469">
        <v>0</v>
      </c>
      <c r="BJ469">
        <v>0</v>
      </c>
      <c r="BK469">
        <v>0</v>
      </c>
      <c r="BL469">
        <v>0</v>
      </c>
      <c r="BM469">
        <v>0</v>
      </c>
      <c r="BN469">
        <v>0</v>
      </c>
      <c r="BO469">
        <v>0</v>
      </c>
      <c r="BP469">
        <v>0</v>
      </c>
      <c r="BQ469">
        <v>0</v>
      </c>
      <c r="BR469">
        <v>0</v>
      </c>
      <c r="BS469">
        <v>0</v>
      </c>
    </row>
    <row r="470" spans="1:71" x14ac:dyDescent="0.3">
      <c r="A470" t="s">
        <v>2106</v>
      </c>
      <c r="B470" t="s">
        <v>2107</v>
      </c>
      <c r="C470" t="s">
        <v>29</v>
      </c>
      <c r="D470" t="s">
        <v>29</v>
      </c>
      <c r="E470" t="s">
        <v>29</v>
      </c>
      <c r="F470" t="s">
        <v>996</v>
      </c>
      <c r="G470">
        <v>2024</v>
      </c>
      <c r="H470">
        <v>2024</v>
      </c>
      <c r="I470">
        <v>12</v>
      </c>
      <c r="J470" t="s">
        <v>29</v>
      </c>
      <c r="K470" t="s">
        <v>29</v>
      </c>
      <c r="L470" t="s">
        <v>29</v>
      </c>
      <c r="M470" t="s">
        <v>29</v>
      </c>
      <c r="N470">
        <v>139742</v>
      </c>
      <c r="O470">
        <v>139757</v>
      </c>
      <c r="P470" t="s">
        <v>29</v>
      </c>
      <c r="Q470" t="s">
        <v>2108</v>
      </c>
      <c r="R470" t="s">
        <v>29</v>
      </c>
      <c r="S470" t="s">
        <v>29</v>
      </c>
      <c r="T470">
        <v>0</v>
      </c>
      <c r="U470">
        <v>0</v>
      </c>
      <c r="V470">
        <v>0</v>
      </c>
      <c r="W470">
        <v>0</v>
      </c>
      <c r="X470">
        <v>0</v>
      </c>
      <c r="Y470">
        <v>0</v>
      </c>
      <c r="Z470">
        <v>0</v>
      </c>
      <c r="AA470">
        <v>0</v>
      </c>
      <c r="AB470">
        <v>0</v>
      </c>
      <c r="AC470">
        <v>0</v>
      </c>
      <c r="AD470">
        <v>0</v>
      </c>
      <c r="AE470">
        <v>0</v>
      </c>
      <c r="AF470">
        <v>0</v>
      </c>
      <c r="AG470">
        <v>0</v>
      </c>
      <c r="AH470">
        <v>0</v>
      </c>
      <c r="AI470">
        <v>0</v>
      </c>
      <c r="AJ470">
        <v>0</v>
      </c>
      <c r="AK470">
        <v>0</v>
      </c>
      <c r="AL470">
        <v>0</v>
      </c>
      <c r="AM470">
        <v>0</v>
      </c>
      <c r="AN470">
        <v>0</v>
      </c>
      <c r="AO470">
        <v>0</v>
      </c>
      <c r="AP470">
        <v>0</v>
      </c>
      <c r="AQ470">
        <v>0</v>
      </c>
      <c r="AR470">
        <v>0</v>
      </c>
      <c r="AS470">
        <v>0</v>
      </c>
      <c r="AT470">
        <v>0</v>
      </c>
      <c r="AU470">
        <v>0</v>
      </c>
      <c r="AV470">
        <v>0</v>
      </c>
      <c r="AW470">
        <v>0</v>
      </c>
      <c r="AX470">
        <v>0</v>
      </c>
      <c r="AY470">
        <v>0</v>
      </c>
      <c r="AZ470">
        <v>0</v>
      </c>
      <c r="BA470">
        <v>0</v>
      </c>
      <c r="BB470">
        <v>0</v>
      </c>
      <c r="BC470">
        <v>0</v>
      </c>
      <c r="BD470">
        <v>0</v>
      </c>
      <c r="BE470">
        <v>0</v>
      </c>
      <c r="BF470">
        <v>0</v>
      </c>
      <c r="BG470">
        <v>0</v>
      </c>
      <c r="BH470">
        <v>0</v>
      </c>
      <c r="BI470">
        <v>0</v>
      </c>
      <c r="BJ470">
        <v>0</v>
      </c>
      <c r="BK470">
        <v>0</v>
      </c>
      <c r="BL470">
        <v>0</v>
      </c>
      <c r="BM470">
        <v>0</v>
      </c>
      <c r="BN470">
        <v>0</v>
      </c>
      <c r="BO470">
        <v>0</v>
      </c>
      <c r="BP470">
        <v>0</v>
      </c>
      <c r="BQ470">
        <v>0</v>
      </c>
      <c r="BR470">
        <v>0</v>
      </c>
      <c r="BS470">
        <v>0</v>
      </c>
    </row>
    <row r="471" spans="1:71" x14ac:dyDescent="0.3">
      <c r="A471" t="s">
        <v>2109</v>
      </c>
      <c r="B471" t="s">
        <v>2110</v>
      </c>
      <c r="C471" t="s">
        <v>29</v>
      </c>
      <c r="D471" t="s">
        <v>29</v>
      </c>
      <c r="E471" t="s">
        <v>2111</v>
      </c>
      <c r="F471" t="s">
        <v>2112</v>
      </c>
      <c r="G471">
        <v>2024</v>
      </c>
      <c r="H471">
        <v>2024</v>
      </c>
      <c r="I471">
        <v>1060</v>
      </c>
      <c r="J471" t="s">
        <v>29</v>
      </c>
      <c r="K471" t="s">
        <v>29</v>
      </c>
      <c r="L471" t="s">
        <v>29</v>
      </c>
      <c r="M471" t="s">
        <v>29</v>
      </c>
      <c r="N471">
        <v>50</v>
      </c>
      <c r="O471">
        <v>57</v>
      </c>
      <c r="P471" t="s">
        <v>29</v>
      </c>
      <c r="Q471" t="s">
        <v>2113</v>
      </c>
      <c r="R471" t="s">
        <v>2114</v>
      </c>
      <c r="S471" t="s">
        <v>2115</v>
      </c>
      <c r="T471">
        <v>0</v>
      </c>
      <c r="U471">
        <v>0</v>
      </c>
      <c r="V471">
        <v>0</v>
      </c>
      <c r="W471">
        <v>0</v>
      </c>
      <c r="X471">
        <v>0</v>
      </c>
      <c r="Y471">
        <v>0</v>
      </c>
      <c r="Z471">
        <v>0</v>
      </c>
      <c r="AA471">
        <v>0</v>
      </c>
      <c r="AB471">
        <v>0</v>
      </c>
      <c r="AC471">
        <v>0</v>
      </c>
      <c r="AD471">
        <v>0</v>
      </c>
      <c r="AE471">
        <v>0</v>
      </c>
      <c r="AF471">
        <v>0</v>
      </c>
      <c r="AG471">
        <v>0</v>
      </c>
      <c r="AH471">
        <v>0</v>
      </c>
      <c r="AI471">
        <v>0</v>
      </c>
      <c r="AJ471">
        <v>0</v>
      </c>
      <c r="AK471">
        <v>0</v>
      </c>
      <c r="AL471">
        <v>0</v>
      </c>
      <c r="AM471">
        <v>0</v>
      </c>
      <c r="AN471">
        <v>0</v>
      </c>
      <c r="AO471">
        <v>0</v>
      </c>
      <c r="AP471">
        <v>0</v>
      </c>
      <c r="AQ471">
        <v>0</v>
      </c>
      <c r="AR471">
        <v>0</v>
      </c>
      <c r="AS471">
        <v>0</v>
      </c>
      <c r="AT471">
        <v>0</v>
      </c>
      <c r="AU471">
        <v>0</v>
      </c>
      <c r="AV471">
        <v>0</v>
      </c>
      <c r="AW471">
        <v>0</v>
      </c>
      <c r="AX471">
        <v>0</v>
      </c>
      <c r="AY471">
        <v>0</v>
      </c>
      <c r="AZ471">
        <v>0</v>
      </c>
      <c r="BA471">
        <v>0</v>
      </c>
      <c r="BB471">
        <v>0</v>
      </c>
      <c r="BC471">
        <v>0</v>
      </c>
      <c r="BD471">
        <v>0</v>
      </c>
      <c r="BE471">
        <v>0</v>
      </c>
      <c r="BF471">
        <v>0</v>
      </c>
      <c r="BG471">
        <v>0</v>
      </c>
      <c r="BH471">
        <v>0</v>
      </c>
      <c r="BI471">
        <v>0</v>
      </c>
      <c r="BJ471">
        <v>0</v>
      </c>
      <c r="BK471">
        <v>0</v>
      </c>
      <c r="BL471">
        <v>0</v>
      </c>
      <c r="BM471">
        <v>0</v>
      </c>
      <c r="BN471">
        <v>0</v>
      </c>
      <c r="BO471">
        <v>0</v>
      </c>
      <c r="BP471">
        <v>0</v>
      </c>
      <c r="BQ471">
        <v>0</v>
      </c>
      <c r="BR471">
        <v>0</v>
      </c>
      <c r="BS471">
        <v>0</v>
      </c>
    </row>
    <row r="472" spans="1:71" x14ac:dyDescent="0.3">
      <c r="A472" t="s">
        <v>2116</v>
      </c>
      <c r="B472" t="s">
        <v>2117</v>
      </c>
      <c r="C472" t="s">
        <v>29</v>
      </c>
      <c r="D472" t="s">
        <v>29</v>
      </c>
      <c r="E472" t="s">
        <v>29</v>
      </c>
      <c r="F472" t="s">
        <v>2118</v>
      </c>
      <c r="G472">
        <v>2024</v>
      </c>
      <c r="H472">
        <v>2024</v>
      </c>
      <c r="I472" t="s">
        <v>29</v>
      </c>
      <c r="J472">
        <v>1</v>
      </c>
      <c r="K472" t="s">
        <v>29</v>
      </c>
      <c r="L472" t="s">
        <v>29</v>
      </c>
      <c r="M472" t="s">
        <v>29</v>
      </c>
      <c r="N472">
        <v>85</v>
      </c>
      <c r="O472">
        <v>96</v>
      </c>
      <c r="P472" t="s">
        <v>29</v>
      </c>
      <c r="Q472" t="s">
        <v>2119</v>
      </c>
      <c r="R472" t="s">
        <v>29</v>
      </c>
      <c r="S472" t="s">
        <v>29</v>
      </c>
      <c r="T472">
        <v>0</v>
      </c>
      <c r="U472">
        <v>0</v>
      </c>
      <c r="V472">
        <v>0</v>
      </c>
      <c r="W472">
        <v>0</v>
      </c>
      <c r="X472">
        <v>0</v>
      </c>
      <c r="Y472">
        <v>0</v>
      </c>
      <c r="Z472">
        <v>0</v>
      </c>
      <c r="AA472">
        <v>0</v>
      </c>
      <c r="AB472">
        <v>0</v>
      </c>
      <c r="AC472">
        <v>0</v>
      </c>
      <c r="AD472">
        <v>0</v>
      </c>
      <c r="AE472">
        <v>0</v>
      </c>
      <c r="AF472">
        <v>0</v>
      </c>
      <c r="AG472">
        <v>0</v>
      </c>
      <c r="AH472">
        <v>0</v>
      </c>
      <c r="AI472">
        <v>0</v>
      </c>
      <c r="AJ472">
        <v>0</v>
      </c>
      <c r="AK472">
        <v>0</v>
      </c>
      <c r="AL472">
        <v>0</v>
      </c>
      <c r="AM472">
        <v>0</v>
      </c>
      <c r="AN472">
        <v>0</v>
      </c>
      <c r="AO472">
        <v>0</v>
      </c>
      <c r="AP472">
        <v>0</v>
      </c>
      <c r="AQ472">
        <v>0</v>
      </c>
      <c r="AR472">
        <v>0</v>
      </c>
      <c r="AS472">
        <v>0</v>
      </c>
      <c r="AT472">
        <v>0</v>
      </c>
      <c r="AU472">
        <v>0</v>
      </c>
      <c r="AV472">
        <v>0</v>
      </c>
      <c r="AW472">
        <v>0</v>
      </c>
      <c r="AX472">
        <v>0</v>
      </c>
      <c r="AY472">
        <v>0</v>
      </c>
      <c r="AZ472">
        <v>0</v>
      </c>
      <c r="BA472">
        <v>0</v>
      </c>
      <c r="BB472">
        <v>0</v>
      </c>
      <c r="BC472">
        <v>0</v>
      </c>
      <c r="BD472">
        <v>0</v>
      </c>
      <c r="BE472">
        <v>0</v>
      </c>
      <c r="BF472">
        <v>0</v>
      </c>
      <c r="BG472">
        <v>0</v>
      </c>
      <c r="BH472">
        <v>0</v>
      </c>
      <c r="BI472">
        <v>0</v>
      </c>
      <c r="BJ472">
        <v>0</v>
      </c>
      <c r="BK472">
        <v>0</v>
      </c>
      <c r="BL472">
        <v>0</v>
      </c>
      <c r="BM472">
        <v>0</v>
      </c>
      <c r="BN472">
        <v>0</v>
      </c>
      <c r="BO472">
        <v>0</v>
      </c>
      <c r="BP472">
        <v>0</v>
      </c>
      <c r="BQ472">
        <v>0</v>
      </c>
      <c r="BR472">
        <v>0</v>
      </c>
      <c r="BS472">
        <v>0</v>
      </c>
    </row>
    <row r="473" spans="1:71" x14ac:dyDescent="0.3">
      <c r="A473" t="s">
        <v>2120</v>
      </c>
      <c r="B473" t="s">
        <v>2121</v>
      </c>
      <c r="C473" t="s">
        <v>29</v>
      </c>
      <c r="D473" t="s">
        <v>29</v>
      </c>
      <c r="E473" t="s">
        <v>29</v>
      </c>
      <c r="F473" t="s">
        <v>906</v>
      </c>
      <c r="G473">
        <v>2024</v>
      </c>
      <c r="H473">
        <v>2024</v>
      </c>
      <c r="I473">
        <v>14</v>
      </c>
      <c r="J473">
        <v>2</v>
      </c>
      <c r="K473" t="s">
        <v>29</v>
      </c>
      <c r="L473" t="s">
        <v>29</v>
      </c>
      <c r="M473" t="s">
        <v>29</v>
      </c>
      <c r="N473">
        <v>145</v>
      </c>
      <c r="O473">
        <v>158</v>
      </c>
      <c r="P473" t="s">
        <v>29</v>
      </c>
      <c r="Q473" t="s">
        <v>2122</v>
      </c>
      <c r="R473" t="s">
        <v>29</v>
      </c>
      <c r="S473" t="s">
        <v>29</v>
      </c>
      <c r="T473">
        <v>0</v>
      </c>
      <c r="U473">
        <v>0</v>
      </c>
      <c r="V473">
        <v>0</v>
      </c>
      <c r="W473">
        <v>0</v>
      </c>
      <c r="X473">
        <v>0</v>
      </c>
      <c r="Y473">
        <v>0</v>
      </c>
      <c r="Z473">
        <v>0</v>
      </c>
      <c r="AA473">
        <v>0</v>
      </c>
      <c r="AB473">
        <v>0</v>
      </c>
      <c r="AC473">
        <v>0</v>
      </c>
      <c r="AD473">
        <v>0</v>
      </c>
      <c r="AE473">
        <v>0</v>
      </c>
      <c r="AF473">
        <v>0</v>
      </c>
      <c r="AG473">
        <v>0</v>
      </c>
      <c r="AH473">
        <v>0</v>
      </c>
      <c r="AI473">
        <v>0</v>
      </c>
      <c r="AJ473">
        <v>0</v>
      </c>
      <c r="AK473">
        <v>0</v>
      </c>
      <c r="AL473">
        <v>0</v>
      </c>
      <c r="AM473">
        <v>0</v>
      </c>
      <c r="AN473">
        <v>0</v>
      </c>
      <c r="AO473">
        <v>0</v>
      </c>
      <c r="AP473">
        <v>0</v>
      </c>
      <c r="AQ473">
        <v>0</v>
      </c>
      <c r="AR473">
        <v>0</v>
      </c>
      <c r="AS473">
        <v>0</v>
      </c>
      <c r="AT473">
        <v>0</v>
      </c>
      <c r="AU473">
        <v>0</v>
      </c>
      <c r="AV473">
        <v>0</v>
      </c>
      <c r="AW473">
        <v>0</v>
      </c>
      <c r="AX473">
        <v>0</v>
      </c>
      <c r="AY473">
        <v>0</v>
      </c>
      <c r="AZ473">
        <v>0</v>
      </c>
      <c r="BA473">
        <v>0</v>
      </c>
      <c r="BB473">
        <v>0</v>
      </c>
      <c r="BC473">
        <v>0</v>
      </c>
      <c r="BD473">
        <v>0</v>
      </c>
      <c r="BE473">
        <v>0</v>
      </c>
      <c r="BF473">
        <v>0</v>
      </c>
      <c r="BG473">
        <v>0</v>
      </c>
      <c r="BH473">
        <v>0</v>
      </c>
      <c r="BI473">
        <v>0</v>
      </c>
      <c r="BJ473">
        <v>0</v>
      </c>
      <c r="BK473">
        <v>0</v>
      </c>
      <c r="BL473">
        <v>0</v>
      </c>
      <c r="BM473">
        <v>0</v>
      </c>
      <c r="BN473">
        <v>0</v>
      </c>
      <c r="BO473">
        <v>0</v>
      </c>
      <c r="BP473">
        <v>0</v>
      </c>
      <c r="BQ473">
        <v>0</v>
      </c>
      <c r="BR473">
        <v>0</v>
      </c>
      <c r="BS473">
        <v>0</v>
      </c>
    </row>
    <row r="474" spans="1:71" x14ac:dyDescent="0.3">
      <c r="A474" t="s">
        <v>2123</v>
      </c>
      <c r="B474" t="s">
        <v>2124</v>
      </c>
      <c r="C474" t="s">
        <v>29</v>
      </c>
      <c r="D474" t="s">
        <v>29</v>
      </c>
      <c r="E474" t="s">
        <v>29</v>
      </c>
      <c r="F474" t="s">
        <v>1513</v>
      </c>
      <c r="G474">
        <v>2024</v>
      </c>
      <c r="H474">
        <v>2024</v>
      </c>
      <c r="I474" t="s">
        <v>29</v>
      </c>
      <c r="J474" t="s">
        <v>29</v>
      </c>
      <c r="K474" t="s">
        <v>29</v>
      </c>
      <c r="L474" t="s">
        <v>29</v>
      </c>
      <c r="M474" t="s">
        <v>29</v>
      </c>
      <c r="N474" t="s">
        <v>29</v>
      </c>
      <c r="O474" t="s">
        <v>29</v>
      </c>
      <c r="P474" t="s">
        <v>29</v>
      </c>
      <c r="Q474" t="s">
        <v>2125</v>
      </c>
      <c r="R474" t="s">
        <v>1515</v>
      </c>
      <c r="S474" t="s">
        <v>1516</v>
      </c>
      <c r="T474">
        <v>0</v>
      </c>
      <c r="U474">
        <v>0</v>
      </c>
      <c r="V474">
        <v>0</v>
      </c>
      <c r="W474">
        <v>0</v>
      </c>
      <c r="X474">
        <v>0</v>
      </c>
      <c r="Y474">
        <v>0</v>
      </c>
      <c r="Z474">
        <v>0</v>
      </c>
      <c r="AA474">
        <v>0</v>
      </c>
      <c r="AB474">
        <v>0</v>
      </c>
      <c r="AC474">
        <v>0</v>
      </c>
      <c r="AD474">
        <v>0</v>
      </c>
      <c r="AE474">
        <v>0</v>
      </c>
      <c r="AF474">
        <v>0</v>
      </c>
      <c r="AG474">
        <v>0</v>
      </c>
      <c r="AH474">
        <v>0</v>
      </c>
      <c r="AI474">
        <v>0</v>
      </c>
      <c r="AJ474">
        <v>0</v>
      </c>
      <c r="AK474">
        <v>0</v>
      </c>
      <c r="AL474">
        <v>0</v>
      </c>
      <c r="AM474">
        <v>0</v>
      </c>
      <c r="AN474">
        <v>0</v>
      </c>
      <c r="AO474">
        <v>0</v>
      </c>
      <c r="AP474">
        <v>0</v>
      </c>
      <c r="AQ474">
        <v>0</v>
      </c>
      <c r="AR474">
        <v>0</v>
      </c>
      <c r="AS474">
        <v>0</v>
      </c>
      <c r="AT474">
        <v>0</v>
      </c>
      <c r="AU474">
        <v>0</v>
      </c>
      <c r="AV474">
        <v>0</v>
      </c>
      <c r="AW474">
        <v>0</v>
      </c>
      <c r="AX474">
        <v>0</v>
      </c>
      <c r="AY474">
        <v>0</v>
      </c>
      <c r="AZ474">
        <v>0</v>
      </c>
      <c r="BA474">
        <v>0</v>
      </c>
      <c r="BB474">
        <v>0</v>
      </c>
      <c r="BC474">
        <v>0</v>
      </c>
      <c r="BD474">
        <v>0</v>
      </c>
      <c r="BE474">
        <v>0</v>
      </c>
      <c r="BF474">
        <v>0</v>
      </c>
      <c r="BG474">
        <v>0</v>
      </c>
      <c r="BH474">
        <v>0</v>
      </c>
      <c r="BI474">
        <v>0</v>
      </c>
      <c r="BJ474">
        <v>0</v>
      </c>
      <c r="BK474">
        <v>0</v>
      </c>
      <c r="BL474">
        <v>0</v>
      </c>
      <c r="BM474">
        <v>0</v>
      </c>
      <c r="BN474">
        <v>0</v>
      </c>
      <c r="BO474">
        <v>0</v>
      </c>
      <c r="BP474">
        <v>0</v>
      </c>
      <c r="BQ474">
        <v>0</v>
      </c>
      <c r="BR474">
        <v>0</v>
      </c>
      <c r="BS474">
        <v>0</v>
      </c>
    </row>
    <row r="475" spans="1:71" x14ac:dyDescent="0.3">
      <c r="A475" t="s">
        <v>2126</v>
      </c>
      <c r="B475" t="s">
        <v>2127</v>
      </c>
      <c r="C475" t="s">
        <v>29</v>
      </c>
      <c r="D475" t="s">
        <v>29</v>
      </c>
      <c r="E475" t="s">
        <v>29</v>
      </c>
      <c r="F475" t="s">
        <v>2128</v>
      </c>
      <c r="G475">
        <v>2024</v>
      </c>
      <c r="H475">
        <v>2024</v>
      </c>
      <c r="I475" t="s">
        <v>29</v>
      </c>
      <c r="J475" t="s">
        <v>29</v>
      </c>
      <c r="K475" t="s">
        <v>29</v>
      </c>
      <c r="L475" t="s">
        <v>29</v>
      </c>
      <c r="M475" t="s">
        <v>29</v>
      </c>
      <c r="N475">
        <v>86</v>
      </c>
      <c r="O475">
        <v>116</v>
      </c>
      <c r="P475" t="s">
        <v>29</v>
      </c>
      <c r="Q475" t="s">
        <v>2129</v>
      </c>
      <c r="R475" t="s">
        <v>29</v>
      </c>
      <c r="S475" t="s">
        <v>29</v>
      </c>
      <c r="T475">
        <v>0</v>
      </c>
      <c r="U475">
        <v>0</v>
      </c>
      <c r="V475">
        <v>0</v>
      </c>
      <c r="W475">
        <v>0</v>
      </c>
      <c r="X475">
        <v>0</v>
      </c>
      <c r="Y475">
        <v>0</v>
      </c>
      <c r="Z475">
        <v>0</v>
      </c>
      <c r="AA475">
        <v>0</v>
      </c>
      <c r="AB475">
        <v>0</v>
      </c>
      <c r="AC475">
        <v>0</v>
      </c>
      <c r="AD475">
        <v>0</v>
      </c>
      <c r="AE475">
        <v>0</v>
      </c>
      <c r="AF475">
        <v>0</v>
      </c>
      <c r="AG475">
        <v>0</v>
      </c>
      <c r="AH475">
        <v>0</v>
      </c>
      <c r="AI475">
        <v>0</v>
      </c>
      <c r="AJ475">
        <v>0</v>
      </c>
      <c r="AK475">
        <v>0</v>
      </c>
      <c r="AL475">
        <v>0</v>
      </c>
      <c r="AM475">
        <v>0</v>
      </c>
      <c r="AN475">
        <v>0</v>
      </c>
      <c r="AO475">
        <v>0</v>
      </c>
      <c r="AP475">
        <v>0</v>
      </c>
      <c r="AQ475">
        <v>0</v>
      </c>
      <c r="AR475">
        <v>0</v>
      </c>
      <c r="AS475">
        <v>0</v>
      </c>
      <c r="AT475">
        <v>0</v>
      </c>
      <c r="AU475">
        <v>0</v>
      </c>
      <c r="AV475">
        <v>0</v>
      </c>
      <c r="AW475">
        <v>0</v>
      </c>
      <c r="AX475">
        <v>0</v>
      </c>
      <c r="AY475">
        <v>0</v>
      </c>
      <c r="AZ475">
        <v>0</v>
      </c>
      <c r="BA475">
        <v>0</v>
      </c>
      <c r="BB475">
        <v>0</v>
      </c>
      <c r="BC475">
        <v>0</v>
      </c>
      <c r="BD475">
        <v>0</v>
      </c>
      <c r="BE475">
        <v>0</v>
      </c>
      <c r="BF475">
        <v>0</v>
      </c>
      <c r="BG475">
        <v>0</v>
      </c>
      <c r="BH475">
        <v>0</v>
      </c>
      <c r="BI475">
        <v>0</v>
      </c>
      <c r="BJ475">
        <v>0</v>
      </c>
      <c r="BK475">
        <v>0</v>
      </c>
      <c r="BL475">
        <v>0</v>
      </c>
      <c r="BM475">
        <v>0</v>
      </c>
      <c r="BN475">
        <v>0</v>
      </c>
      <c r="BO475">
        <v>0</v>
      </c>
      <c r="BP475">
        <v>0</v>
      </c>
      <c r="BQ475">
        <v>0</v>
      </c>
      <c r="BR475">
        <v>0</v>
      </c>
      <c r="BS475">
        <v>0</v>
      </c>
    </row>
    <row r="476" spans="1:71" x14ac:dyDescent="0.3">
      <c r="A476" t="s">
        <v>2130</v>
      </c>
      <c r="B476" t="s">
        <v>2131</v>
      </c>
      <c r="C476" t="s">
        <v>29</v>
      </c>
      <c r="D476" t="s">
        <v>29</v>
      </c>
      <c r="E476" t="s">
        <v>2085</v>
      </c>
      <c r="F476" t="s">
        <v>2132</v>
      </c>
      <c r="G476">
        <v>2024</v>
      </c>
      <c r="H476">
        <v>2024</v>
      </c>
      <c r="I476">
        <v>901</v>
      </c>
      <c r="J476" t="s">
        <v>29</v>
      </c>
      <c r="K476" t="s">
        <v>29</v>
      </c>
      <c r="L476" t="s">
        <v>29</v>
      </c>
      <c r="M476" t="s">
        <v>29</v>
      </c>
      <c r="N476">
        <v>363</v>
      </c>
      <c r="O476">
        <v>378</v>
      </c>
      <c r="P476" t="s">
        <v>29</v>
      </c>
      <c r="Q476" t="s">
        <v>2133</v>
      </c>
      <c r="R476" t="s">
        <v>2088</v>
      </c>
      <c r="S476" t="s">
        <v>2089</v>
      </c>
      <c r="T476">
        <v>0</v>
      </c>
      <c r="U476">
        <v>0</v>
      </c>
      <c r="V476">
        <v>0</v>
      </c>
      <c r="W476">
        <v>0</v>
      </c>
      <c r="X476">
        <v>0</v>
      </c>
      <c r="Y476">
        <v>0</v>
      </c>
      <c r="Z476">
        <v>0</v>
      </c>
      <c r="AA476">
        <v>0</v>
      </c>
      <c r="AB476">
        <v>0</v>
      </c>
      <c r="AC476">
        <v>0</v>
      </c>
      <c r="AD476">
        <v>0</v>
      </c>
      <c r="AE476">
        <v>0</v>
      </c>
      <c r="AF476">
        <v>0</v>
      </c>
      <c r="AG476">
        <v>0</v>
      </c>
      <c r="AH476">
        <v>0</v>
      </c>
      <c r="AI476">
        <v>0</v>
      </c>
      <c r="AJ476">
        <v>0</v>
      </c>
      <c r="AK476">
        <v>0</v>
      </c>
      <c r="AL476">
        <v>0</v>
      </c>
      <c r="AM476">
        <v>0</v>
      </c>
      <c r="AN476">
        <v>0</v>
      </c>
      <c r="AO476">
        <v>0</v>
      </c>
      <c r="AP476">
        <v>0</v>
      </c>
      <c r="AQ476">
        <v>0</v>
      </c>
      <c r="AR476">
        <v>0</v>
      </c>
      <c r="AS476">
        <v>0</v>
      </c>
      <c r="AT476">
        <v>0</v>
      </c>
      <c r="AU476">
        <v>0</v>
      </c>
      <c r="AV476">
        <v>0</v>
      </c>
      <c r="AW476">
        <v>0</v>
      </c>
      <c r="AX476">
        <v>0</v>
      </c>
      <c r="AY476">
        <v>0</v>
      </c>
      <c r="AZ476">
        <v>0</v>
      </c>
      <c r="BA476">
        <v>0</v>
      </c>
      <c r="BB476">
        <v>0</v>
      </c>
      <c r="BC476">
        <v>0</v>
      </c>
      <c r="BD476">
        <v>0</v>
      </c>
      <c r="BE476">
        <v>0</v>
      </c>
      <c r="BF476">
        <v>0</v>
      </c>
      <c r="BG476">
        <v>0</v>
      </c>
      <c r="BH476">
        <v>0</v>
      </c>
      <c r="BI476">
        <v>0</v>
      </c>
      <c r="BJ476">
        <v>0</v>
      </c>
      <c r="BK476">
        <v>0</v>
      </c>
      <c r="BL476">
        <v>0</v>
      </c>
      <c r="BM476">
        <v>0</v>
      </c>
      <c r="BN476">
        <v>0</v>
      </c>
      <c r="BO476">
        <v>0</v>
      </c>
      <c r="BP476">
        <v>0</v>
      </c>
      <c r="BQ476">
        <v>0</v>
      </c>
      <c r="BR476">
        <v>0</v>
      </c>
      <c r="BS476">
        <v>0</v>
      </c>
    </row>
    <row r="477" spans="1:71" x14ac:dyDescent="0.3">
      <c r="A477" t="s">
        <v>2134</v>
      </c>
      <c r="B477" t="s">
        <v>2135</v>
      </c>
      <c r="C477" t="s">
        <v>29</v>
      </c>
      <c r="D477" t="s">
        <v>29</v>
      </c>
      <c r="E477" t="s">
        <v>2136</v>
      </c>
      <c r="F477" t="s">
        <v>2137</v>
      </c>
      <c r="G477">
        <v>2024</v>
      </c>
      <c r="H477">
        <v>2024</v>
      </c>
      <c r="I477" t="s">
        <v>29</v>
      </c>
      <c r="J477" t="s">
        <v>29</v>
      </c>
      <c r="K477" t="s">
        <v>29</v>
      </c>
      <c r="L477" t="s">
        <v>29</v>
      </c>
      <c r="M477" t="s">
        <v>29</v>
      </c>
      <c r="N477" t="s">
        <v>29</v>
      </c>
      <c r="O477" t="s">
        <v>29</v>
      </c>
      <c r="P477">
        <v>59</v>
      </c>
      <c r="Q477" t="s">
        <v>2138</v>
      </c>
      <c r="R477" t="s">
        <v>2139</v>
      </c>
      <c r="S477" t="s">
        <v>2140</v>
      </c>
      <c r="T477">
        <v>0</v>
      </c>
      <c r="U477">
        <v>0</v>
      </c>
      <c r="V477">
        <v>0</v>
      </c>
      <c r="W477">
        <v>0</v>
      </c>
      <c r="X477">
        <v>0</v>
      </c>
      <c r="Y477">
        <v>0</v>
      </c>
      <c r="Z477">
        <v>0</v>
      </c>
      <c r="AA477">
        <v>0</v>
      </c>
      <c r="AB477">
        <v>0</v>
      </c>
      <c r="AC477">
        <v>0</v>
      </c>
      <c r="AD477">
        <v>0</v>
      </c>
      <c r="AE477">
        <v>0</v>
      </c>
      <c r="AF477">
        <v>0</v>
      </c>
      <c r="AG477">
        <v>0</v>
      </c>
      <c r="AH477">
        <v>0</v>
      </c>
      <c r="AI477">
        <v>0</v>
      </c>
      <c r="AJ477">
        <v>0</v>
      </c>
      <c r="AK477">
        <v>0</v>
      </c>
      <c r="AL477">
        <v>0</v>
      </c>
      <c r="AM477">
        <v>0</v>
      </c>
      <c r="AN477">
        <v>0</v>
      </c>
      <c r="AO477">
        <v>0</v>
      </c>
      <c r="AP477">
        <v>0</v>
      </c>
      <c r="AQ477">
        <v>0</v>
      </c>
      <c r="AR477">
        <v>0</v>
      </c>
      <c r="AS477">
        <v>0</v>
      </c>
      <c r="AT477">
        <v>0</v>
      </c>
      <c r="AU477">
        <v>0</v>
      </c>
      <c r="AV477">
        <v>0</v>
      </c>
      <c r="AW477">
        <v>0</v>
      </c>
      <c r="AX477">
        <v>0</v>
      </c>
      <c r="AY477">
        <v>0</v>
      </c>
      <c r="AZ477">
        <v>0</v>
      </c>
      <c r="BA477">
        <v>0</v>
      </c>
      <c r="BB477">
        <v>0</v>
      </c>
      <c r="BC477">
        <v>0</v>
      </c>
      <c r="BD477">
        <v>0</v>
      </c>
      <c r="BE477">
        <v>0</v>
      </c>
      <c r="BF477">
        <v>0</v>
      </c>
      <c r="BG477">
        <v>0</v>
      </c>
      <c r="BH477">
        <v>0</v>
      </c>
      <c r="BI477">
        <v>0</v>
      </c>
      <c r="BJ477">
        <v>0</v>
      </c>
      <c r="BK477">
        <v>0</v>
      </c>
      <c r="BL477">
        <v>0</v>
      </c>
      <c r="BM477">
        <v>0</v>
      </c>
      <c r="BN477">
        <v>0</v>
      </c>
      <c r="BO477">
        <v>0</v>
      </c>
      <c r="BP477">
        <v>0</v>
      </c>
      <c r="BQ477">
        <v>0</v>
      </c>
      <c r="BR477">
        <v>0</v>
      </c>
      <c r="BS477">
        <v>0</v>
      </c>
    </row>
    <row r="478" spans="1:71" x14ac:dyDescent="0.3">
      <c r="A478" t="s">
        <v>2141</v>
      </c>
      <c r="B478" t="s">
        <v>2142</v>
      </c>
      <c r="C478" t="s">
        <v>29</v>
      </c>
      <c r="D478" t="s">
        <v>29</v>
      </c>
      <c r="E478" t="s">
        <v>2143</v>
      </c>
      <c r="F478" t="s">
        <v>2144</v>
      </c>
      <c r="G478">
        <v>2024</v>
      </c>
      <c r="H478">
        <v>2024</v>
      </c>
      <c r="I478" t="s">
        <v>29</v>
      </c>
      <c r="J478" t="s">
        <v>29</v>
      </c>
      <c r="K478" t="s">
        <v>29</v>
      </c>
      <c r="L478" t="s">
        <v>29</v>
      </c>
      <c r="M478" t="s">
        <v>29</v>
      </c>
      <c r="N478">
        <v>121</v>
      </c>
      <c r="O478">
        <v>126</v>
      </c>
      <c r="P478" t="s">
        <v>29</v>
      </c>
      <c r="Q478" t="s">
        <v>29</v>
      </c>
      <c r="R478" t="s">
        <v>2145</v>
      </c>
      <c r="S478" t="s">
        <v>2146</v>
      </c>
      <c r="T478">
        <v>0</v>
      </c>
      <c r="U478">
        <v>0</v>
      </c>
      <c r="V478">
        <v>0</v>
      </c>
      <c r="W478">
        <v>0</v>
      </c>
      <c r="X478">
        <v>0</v>
      </c>
      <c r="Y478">
        <v>0</v>
      </c>
      <c r="Z478">
        <v>0</v>
      </c>
      <c r="AA478">
        <v>0</v>
      </c>
      <c r="AB478">
        <v>0</v>
      </c>
      <c r="AC478">
        <v>0</v>
      </c>
      <c r="AD478">
        <v>0</v>
      </c>
      <c r="AE478">
        <v>0</v>
      </c>
      <c r="AF478">
        <v>0</v>
      </c>
      <c r="AG478">
        <v>0</v>
      </c>
      <c r="AH478">
        <v>0</v>
      </c>
      <c r="AI478">
        <v>0</v>
      </c>
      <c r="AJ478">
        <v>0</v>
      </c>
      <c r="AK478">
        <v>0</v>
      </c>
      <c r="AL478">
        <v>0</v>
      </c>
      <c r="AM478">
        <v>0</v>
      </c>
      <c r="AN478">
        <v>0</v>
      </c>
      <c r="AO478">
        <v>0</v>
      </c>
      <c r="AP478">
        <v>0</v>
      </c>
      <c r="AQ478">
        <v>0</v>
      </c>
      <c r="AR478">
        <v>0</v>
      </c>
      <c r="AS478">
        <v>0</v>
      </c>
      <c r="AT478">
        <v>0</v>
      </c>
      <c r="AU478">
        <v>0</v>
      </c>
      <c r="AV478">
        <v>0</v>
      </c>
      <c r="AW478">
        <v>0</v>
      </c>
      <c r="AX478">
        <v>0</v>
      </c>
      <c r="AY478">
        <v>0</v>
      </c>
      <c r="AZ478">
        <v>0</v>
      </c>
      <c r="BA478">
        <v>0</v>
      </c>
      <c r="BB478">
        <v>0</v>
      </c>
      <c r="BC478">
        <v>0</v>
      </c>
      <c r="BD478">
        <v>0</v>
      </c>
      <c r="BE478">
        <v>0</v>
      </c>
      <c r="BF478">
        <v>0</v>
      </c>
      <c r="BG478">
        <v>0</v>
      </c>
      <c r="BH478">
        <v>0</v>
      </c>
      <c r="BI478">
        <v>0</v>
      </c>
      <c r="BJ478">
        <v>0</v>
      </c>
      <c r="BK478">
        <v>0</v>
      </c>
      <c r="BL478">
        <v>0</v>
      </c>
      <c r="BM478">
        <v>0</v>
      </c>
      <c r="BN478">
        <v>0</v>
      </c>
      <c r="BO478">
        <v>0</v>
      </c>
      <c r="BP478">
        <v>0</v>
      </c>
      <c r="BQ478">
        <v>0</v>
      </c>
      <c r="BR478">
        <v>0</v>
      </c>
      <c r="BS478">
        <v>0</v>
      </c>
    </row>
    <row r="479" spans="1:71" x14ac:dyDescent="0.3">
      <c r="A479" t="s">
        <v>2147</v>
      </c>
      <c r="B479" t="s">
        <v>2148</v>
      </c>
      <c r="C479" t="s">
        <v>29</v>
      </c>
      <c r="D479" t="s">
        <v>29</v>
      </c>
      <c r="E479" t="s">
        <v>2149</v>
      </c>
      <c r="F479" t="s">
        <v>2150</v>
      </c>
      <c r="G479">
        <v>2024</v>
      </c>
      <c r="H479">
        <v>2024</v>
      </c>
      <c r="I479">
        <v>14684</v>
      </c>
      <c r="J479" t="s">
        <v>29</v>
      </c>
      <c r="K479" t="s">
        <v>29</v>
      </c>
      <c r="L479" t="s">
        <v>29</v>
      </c>
      <c r="M479" t="s">
        <v>29</v>
      </c>
      <c r="N479">
        <v>144</v>
      </c>
      <c r="O479">
        <v>160</v>
      </c>
      <c r="P479" t="s">
        <v>29</v>
      </c>
      <c r="Q479" t="s">
        <v>2151</v>
      </c>
      <c r="R479" t="s">
        <v>2152</v>
      </c>
      <c r="S479" t="s">
        <v>2153</v>
      </c>
      <c r="T479">
        <v>0</v>
      </c>
      <c r="U479">
        <v>0</v>
      </c>
      <c r="V479">
        <v>0</v>
      </c>
      <c r="W479">
        <v>0</v>
      </c>
      <c r="X479">
        <v>0</v>
      </c>
      <c r="Y479">
        <v>0</v>
      </c>
      <c r="Z479">
        <v>0</v>
      </c>
      <c r="AA479">
        <v>0</v>
      </c>
      <c r="AB479">
        <v>0</v>
      </c>
      <c r="AC479">
        <v>0</v>
      </c>
      <c r="AD479">
        <v>0</v>
      </c>
      <c r="AE479">
        <v>0</v>
      </c>
      <c r="AF479">
        <v>0</v>
      </c>
      <c r="AG479">
        <v>0</v>
      </c>
      <c r="AH479">
        <v>0</v>
      </c>
      <c r="AI479">
        <v>0</v>
      </c>
      <c r="AJ479">
        <v>0</v>
      </c>
      <c r="AK479">
        <v>0</v>
      </c>
      <c r="AL479">
        <v>0</v>
      </c>
      <c r="AM479">
        <v>0</v>
      </c>
      <c r="AN479">
        <v>0</v>
      </c>
      <c r="AO479">
        <v>0</v>
      </c>
      <c r="AP479">
        <v>0</v>
      </c>
      <c r="AQ479">
        <v>0</v>
      </c>
      <c r="AR479">
        <v>0</v>
      </c>
      <c r="AS479">
        <v>0</v>
      </c>
      <c r="AT479">
        <v>0</v>
      </c>
      <c r="AU479">
        <v>0</v>
      </c>
      <c r="AV479">
        <v>0</v>
      </c>
      <c r="AW479">
        <v>0</v>
      </c>
      <c r="AX479">
        <v>0</v>
      </c>
      <c r="AY479">
        <v>0</v>
      </c>
      <c r="AZ479">
        <v>0</v>
      </c>
      <c r="BA479">
        <v>0</v>
      </c>
      <c r="BB479">
        <v>0</v>
      </c>
      <c r="BC479">
        <v>0</v>
      </c>
      <c r="BD479">
        <v>0</v>
      </c>
      <c r="BE479">
        <v>0</v>
      </c>
      <c r="BF479">
        <v>0</v>
      </c>
      <c r="BG479">
        <v>0</v>
      </c>
      <c r="BH479">
        <v>0</v>
      </c>
      <c r="BI479">
        <v>0</v>
      </c>
      <c r="BJ479">
        <v>0</v>
      </c>
      <c r="BK479">
        <v>0</v>
      </c>
      <c r="BL479">
        <v>0</v>
      </c>
      <c r="BM479">
        <v>0</v>
      </c>
      <c r="BN479">
        <v>0</v>
      </c>
      <c r="BO479">
        <v>0</v>
      </c>
      <c r="BP479">
        <v>0</v>
      </c>
      <c r="BQ479">
        <v>0</v>
      </c>
      <c r="BR479">
        <v>0</v>
      </c>
      <c r="BS479">
        <v>0</v>
      </c>
    </row>
    <row r="480" spans="1:71" x14ac:dyDescent="0.3">
      <c r="A480" t="s">
        <v>2154</v>
      </c>
      <c r="B480" t="s">
        <v>2155</v>
      </c>
      <c r="C480" t="s">
        <v>29</v>
      </c>
      <c r="D480" t="s">
        <v>29</v>
      </c>
      <c r="E480" t="s">
        <v>29</v>
      </c>
      <c r="F480" t="s">
        <v>1513</v>
      </c>
      <c r="G480">
        <v>2024</v>
      </c>
      <c r="H480">
        <v>2024</v>
      </c>
      <c r="I480" t="s">
        <v>29</v>
      </c>
      <c r="J480" t="s">
        <v>29</v>
      </c>
      <c r="K480" t="s">
        <v>29</v>
      </c>
      <c r="L480" t="s">
        <v>29</v>
      </c>
      <c r="M480" t="s">
        <v>29</v>
      </c>
      <c r="N480" t="s">
        <v>29</v>
      </c>
      <c r="O480" t="s">
        <v>29</v>
      </c>
      <c r="P480" t="s">
        <v>29</v>
      </c>
      <c r="Q480" t="s">
        <v>2156</v>
      </c>
      <c r="R480" t="s">
        <v>1515</v>
      </c>
      <c r="S480" t="s">
        <v>1516</v>
      </c>
      <c r="T480">
        <v>0</v>
      </c>
      <c r="U480">
        <v>0</v>
      </c>
      <c r="V480">
        <v>0</v>
      </c>
      <c r="W480">
        <v>0</v>
      </c>
      <c r="X480">
        <v>0</v>
      </c>
      <c r="Y480">
        <v>0</v>
      </c>
      <c r="Z480">
        <v>0</v>
      </c>
      <c r="AA480">
        <v>0</v>
      </c>
      <c r="AB480">
        <v>0</v>
      </c>
      <c r="AC480">
        <v>0</v>
      </c>
      <c r="AD480">
        <v>0</v>
      </c>
      <c r="AE480">
        <v>0</v>
      </c>
      <c r="AF480">
        <v>0</v>
      </c>
      <c r="AG480">
        <v>0</v>
      </c>
      <c r="AH480">
        <v>0</v>
      </c>
      <c r="AI480">
        <v>0</v>
      </c>
      <c r="AJ480">
        <v>0</v>
      </c>
      <c r="AK480">
        <v>0</v>
      </c>
      <c r="AL480">
        <v>0</v>
      </c>
      <c r="AM480">
        <v>0</v>
      </c>
      <c r="AN480">
        <v>0</v>
      </c>
      <c r="AO480">
        <v>0</v>
      </c>
      <c r="AP480">
        <v>0</v>
      </c>
      <c r="AQ480">
        <v>0</v>
      </c>
      <c r="AR480">
        <v>0</v>
      </c>
      <c r="AS480">
        <v>0</v>
      </c>
      <c r="AT480">
        <v>0</v>
      </c>
      <c r="AU480">
        <v>0</v>
      </c>
      <c r="AV480">
        <v>0</v>
      </c>
      <c r="AW480">
        <v>0</v>
      </c>
      <c r="AX480">
        <v>0</v>
      </c>
      <c r="AY480">
        <v>0</v>
      </c>
      <c r="AZ480">
        <v>0</v>
      </c>
      <c r="BA480">
        <v>0</v>
      </c>
      <c r="BB480">
        <v>0</v>
      </c>
      <c r="BC480">
        <v>0</v>
      </c>
      <c r="BD480">
        <v>0</v>
      </c>
      <c r="BE480">
        <v>0</v>
      </c>
      <c r="BF480">
        <v>0</v>
      </c>
      <c r="BG480">
        <v>0</v>
      </c>
      <c r="BH480">
        <v>0</v>
      </c>
      <c r="BI480">
        <v>0</v>
      </c>
      <c r="BJ480">
        <v>0</v>
      </c>
      <c r="BK480">
        <v>0</v>
      </c>
      <c r="BL480">
        <v>0</v>
      </c>
      <c r="BM480">
        <v>0</v>
      </c>
      <c r="BN480">
        <v>0</v>
      </c>
      <c r="BO480">
        <v>0</v>
      </c>
      <c r="BP480">
        <v>0</v>
      </c>
      <c r="BQ480">
        <v>0</v>
      </c>
      <c r="BR480">
        <v>0</v>
      </c>
      <c r="BS480">
        <v>0</v>
      </c>
    </row>
    <row r="481" spans="1:71" x14ac:dyDescent="0.3">
      <c r="A481" t="s">
        <v>2157</v>
      </c>
      <c r="B481" t="s">
        <v>2158</v>
      </c>
      <c r="C481" t="s">
        <v>29</v>
      </c>
      <c r="D481" t="s">
        <v>29</v>
      </c>
      <c r="E481" t="s">
        <v>2159</v>
      </c>
      <c r="F481" t="s">
        <v>2160</v>
      </c>
      <c r="G481">
        <v>2024</v>
      </c>
      <c r="H481">
        <v>2024</v>
      </c>
      <c r="I481">
        <v>2141</v>
      </c>
      <c r="J481" t="s">
        <v>29</v>
      </c>
      <c r="K481" t="s">
        <v>29</v>
      </c>
      <c r="L481" t="s">
        <v>29</v>
      </c>
      <c r="M481" t="s">
        <v>29</v>
      </c>
      <c r="N481">
        <v>82</v>
      </c>
      <c r="O481">
        <v>92</v>
      </c>
      <c r="P481" t="s">
        <v>29</v>
      </c>
      <c r="Q481" t="s">
        <v>2161</v>
      </c>
      <c r="R481" t="s">
        <v>2162</v>
      </c>
      <c r="S481" t="s">
        <v>2163</v>
      </c>
      <c r="T481">
        <v>0</v>
      </c>
      <c r="U481">
        <v>0</v>
      </c>
      <c r="V481">
        <v>0</v>
      </c>
      <c r="W481">
        <v>0</v>
      </c>
      <c r="X481">
        <v>0</v>
      </c>
      <c r="Y481">
        <v>0</v>
      </c>
      <c r="Z481">
        <v>0</v>
      </c>
      <c r="AA481">
        <v>0</v>
      </c>
      <c r="AB481">
        <v>0</v>
      </c>
      <c r="AC481">
        <v>0</v>
      </c>
      <c r="AD481">
        <v>0</v>
      </c>
      <c r="AE481">
        <v>0</v>
      </c>
      <c r="AF481">
        <v>0</v>
      </c>
      <c r="AG481">
        <v>0</v>
      </c>
      <c r="AH481">
        <v>0</v>
      </c>
      <c r="AI481">
        <v>0</v>
      </c>
      <c r="AJ481">
        <v>0</v>
      </c>
      <c r="AK481">
        <v>0</v>
      </c>
      <c r="AL481">
        <v>0</v>
      </c>
      <c r="AM481">
        <v>0</v>
      </c>
      <c r="AN481">
        <v>0</v>
      </c>
      <c r="AO481">
        <v>0</v>
      </c>
      <c r="AP481">
        <v>0</v>
      </c>
      <c r="AQ481">
        <v>0</v>
      </c>
      <c r="AR481">
        <v>0</v>
      </c>
      <c r="AS481">
        <v>0</v>
      </c>
      <c r="AT481">
        <v>0</v>
      </c>
      <c r="AU481">
        <v>0</v>
      </c>
      <c r="AV481">
        <v>0</v>
      </c>
      <c r="AW481">
        <v>0</v>
      </c>
      <c r="AX481">
        <v>0</v>
      </c>
      <c r="AY481">
        <v>0</v>
      </c>
      <c r="AZ481">
        <v>0</v>
      </c>
      <c r="BA481">
        <v>0</v>
      </c>
      <c r="BB481">
        <v>0</v>
      </c>
      <c r="BC481">
        <v>0</v>
      </c>
      <c r="BD481">
        <v>0</v>
      </c>
      <c r="BE481">
        <v>0</v>
      </c>
      <c r="BF481">
        <v>0</v>
      </c>
      <c r="BG481">
        <v>0</v>
      </c>
      <c r="BH481">
        <v>0</v>
      </c>
      <c r="BI481">
        <v>0</v>
      </c>
      <c r="BJ481">
        <v>0</v>
      </c>
      <c r="BK481">
        <v>0</v>
      </c>
      <c r="BL481">
        <v>0</v>
      </c>
      <c r="BM481">
        <v>0</v>
      </c>
      <c r="BN481">
        <v>0</v>
      </c>
      <c r="BO481">
        <v>0</v>
      </c>
      <c r="BP481">
        <v>0</v>
      </c>
      <c r="BQ481">
        <v>0</v>
      </c>
      <c r="BR481">
        <v>0</v>
      </c>
      <c r="BS481">
        <v>0</v>
      </c>
    </row>
    <row r="482" spans="1:71" x14ac:dyDescent="0.3">
      <c r="A482" t="s">
        <v>2164</v>
      </c>
      <c r="B482" t="s">
        <v>2165</v>
      </c>
      <c r="C482" t="s">
        <v>29</v>
      </c>
      <c r="D482" t="s">
        <v>29</v>
      </c>
      <c r="E482" t="s">
        <v>29</v>
      </c>
      <c r="F482" t="s">
        <v>2166</v>
      </c>
      <c r="G482">
        <v>2024</v>
      </c>
      <c r="H482">
        <v>2024</v>
      </c>
      <c r="I482" t="s">
        <v>29</v>
      </c>
      <c r="J482">
        <v>3</v>
      </c>
      <c r="K482" t="s">
        <v>29</v>
      </c>
      <c r="L482" t="s">
        <v>29</v>
      </c>
      <c r="M482" t="s">
        <v>29</v>
      </c>
      <c r="N482">
        <v>151</v>
      </c>
      <c r="O482">
        <v>179</v>
      </c>
      <c r="P482" t="s">
        <v>29</v>
      </c>
      <c r="Q482" t="s">
        <v>2167</v>
      </c>
      <c r="R482" t="s">
        <v>29</v>
      </c>
      <c r="S482" t="s">
        <v>29</v>
      </c>
      <c r="T482">
        <v>0</v>
      </c>
      <c r="U482">
        <v>0</v>
      </c>
      <c r="V482">
        <v>0</v>
      </c>
      <c r="W482">
        <v>0</v>
      </c>
      <c r="X482">
        <v>0</v>
      </c>
      <c r="Y482">
        <v>0</v>
      </c>
      <c r="Z482">
        <v>0</v>
      </c>
      <c r="AA482">
        <v>0</v>
      </c>
      <c r="AB482">
        <v>0</v>
      </c>
      <c r="AC482">
        <v>0</v>
      </c>
      <c r="AD482">
        <v>0</v>
      </c>
      <c r="AE482">
        <v>0</v>
      </c>
      <c r="AF482">
        <v>0</v>
      </c>
      <c r="AG482">
        <v>0</v>
      </c>
      <c r="AH482">
        <v>0</v>
      </c>
      <c r="AI482">
        <v>0</v>
      </c>
      <c r="AJ482">
        <v>0</v>
      </c>
      <c r="AK482">
        <v>0</v>
      </c>
      <c r="AL482">
        <v>0</v>
      </c>
      <c r="AM482">
        <v>0</v>
      </c>
      <c r="AN482">
        <v>0</v>
      </c>
      <c r="AO482">
        <v>0</v>
      </c>
      <c r="AP482">
        <v>0</v>
      </c>
      <c r="AQ482">
        <v>0</v>
      </c>
      <c r="AR482">
        <v>0</v>
      </c>
      <c r="AS482">
        <v>0</v>
      </c>
      <c r="AT482">
        <v>0</v>
      </c>
      <c r="AU482">
        <v>0</v>
      </c>
      <c r="AV482">
        <v>0</v>
      </c>
      <c r="AW482">
        <v>0</v>
      </c>
      <c r="AX482">
        <v>0</v>
      </c>
      <c r="AY482">
        <v>0</v>
      </c>
      <c r="AZ482">
        <v>0</v>
      </c>
      <c r="BA482">
        <v>0</v>
      </c>
      <c r="BB482">
        <v>0</v>
      </c>
      <c r="BC482">
        <v>0</v>
      </c>
      <c r="BD482">
        <v>0</v>
      </c>
      <c r="BE482">
        <v>0</v>
      </c>
      <c r="BF482">
        <v>0</v>
      </c>
      <c r="BG482">
        <v>0</v>
      </c>
      <c r="BH482">
        <v>0</v>
      </c>
      <c r="BI482">
        <v>0</v>
      </c>
      <c r="BJ482">
        <v>0</v>
      </c>
      <c r="BK482">
        <v>0</v>
      </c>
      <c r="BL482">
        <v>0</v>
      </c>
      <c r="BM482">
        <v>0</v>
      </c>
      <c r="BN482">
        <v>0</v>
      </c>
      <c r="BO482">
        <v>0</v>
      </c>
      <c r="BP482">
        <v>0</v>
      </c>
      <c r="BQ482">
        <v>0</v>
      </c>
      <c r="BR482">
        <v>0</v>
      </c>
      <c r="BS482">
        <v>0</v>
      </c>
    </row>
    <row r="483" spans="1:71" x14ac:dyDescent="0.3">
      <c r="A483" t="s">
        <v>2168</v>
      </c>
      <c r="B483" t="s">
        <v>2169</v>
      </c>
      <c r="C483" t="s">
        <v>29</v>
      </c>
      <c r="D483" t="s">
        <v>29</v>
      </c>
      <c r="E483" t="s">
        <v>29</v>
      </c>
      <c r="F483" t="s">
        <v>2170</v>
      </c>
      <c r="G483" t="s">
        <v>729</v>
      </c>
      <c r="H483">
        <v>2024</v>
      </c>
      <c r="I483">
        <v>21</v>
      </c>
      <c r="J483">
        <v>1</v>
      </c>
      <c r="K483" t="s">
        <v>29</v>
      </c>
      <c r="L483" t="s">
        <v>29</v>
      </c>
      <c r="M483" t="s">
        <v>29</v>
      </c>
      <c r="N483">
        <v>140</v>
      </c>
      <c r="O483">
        <v>174</v>
      </c>
      <c r="P483" t="s">
        <v>29</v>
      </c>
      <c r="Q483" t="s">
        <v>2171</v>
      </c>
      <c r="R483" t="s">
        <v>29</v>
      </c>
      <c r="S483" t="s">
        <v>29</v>
      </c>
      <c r="T483">
        <v>0</v>
      </c>
      <c r="U483">
        <v>0</v>
      </c>
      <c r="V483">
        <v>0</v>
      </c>
      <c r="W483">
        <v>0</v>
      </c>
      <c r="X483">
        <v>0</v>
      </c>
      <c r="Y483">
        <v>0</v>
      </c>
      <c r="Z483">
        <v>0</v>
      </c>
      <c r="AA483">
        <v>0</v>
      </c>
      <c r="AB483">
        <v>0</v>
      </c>
      <c r="AC483">
        <v>0</v>
      </c>
      <c r="AD483">
        <v>0</v>
      </c>
      <c r="AE483">
        <v>0</v>
      </c>
      <c r="AF483">
        <v>0</v>
      </c>
      <c r="AG483">
        <v>0</v>
      </c>
      <c r="AH483">
        <v>0</v>
      </c>
      <c r="AI483">
        <v>0</v>
      </c>
      <c r="AJ483">
        <v>0</v>
      </c>
      <c r="AK483">
        <v>0</v>
      </c>
      <c r="AL483">
        <v>0</v>
      </c>
      <c r="AM483">
        <v>0</v>
      </c>
      <c r="AN483">
        <v>0</v>
      </c>
      <c r="AO483">
        <v>0</v>
      </c>
      <c r="AP483">
        <v>0</v>
      </c>
      <c r="AQ483">
        <v>0</v>
      </c>
      <c r="AR483">
        <v>0</v>
      </c>
      <c r="AS483">
        <v>0</v>
      </c>
      <c r="AT483">
        <v>0</v>
      </c>
      <c r="AU483">
        <v>0</v>
      </c>
      <c r="AV483">
        <v>0</v>
      </c>
      <c r="AW483">
        <v>0</v>
      </c>
      <c r="AX483">
        <v>0</v>
      </c>
      <c r="AY483">
        <v>0</v>
      </c>
      <c r="AZ483">
        <v>0</v>
      </c>
      <c r="BA483">
        <v>0</v>
      </c>
      <c r="BB483">
        <v>0</v>
      </c>
      <c r="BC483">
        <v>0</v>
      </c>
      <c r="BD483">
        <v>0</v>
      </c>
      <c r="BE483">
        <v>0</v>
      </c>
      <c r="BF483">
        <v>0</v>
      </c>
      <c r="BG483">
        <v>0</v>
      </c>
      <c r="BH483">
        <v>0</v>
      </c>
      <c r="BI483">
        <v>0</v>
      </c>
      <c r="BJ483">
        <v>0</v>
      </c>
      <c r="BK483">
        <v>0</v>
      </c>
      <c r="BL483">
        <v>0</v>
      </c>
      <c r="BM483">
        <v>0</v>
      </c>
      <c r="BN483">
        <v>0</v>
      </c>
      <c r="BO483">
        <v>0</v>
      </c>
      <c r="BP483">
        <v>0</v>
      </c>
      <c r="BQ483">
        <v>0</v>
      </c>
      <c r="BR483">
        <v>0</v>
      </c>
      <c r="BS483">
        <v>0</v>
      </c>
    </row>
    <row r="484" spans="1:71" x14ac:dyDescent="0.3">
      <c r="A484" t="s">
        <v>2172</v>
      </c>
      <c r="B484" t="s">
        <v>2173</v>
      </c>
      <c r="C484" t="s">
        <v>29</v>
      </c>
      <c r="D484" t="s">
        <v>29</v>
      </c>
      <c r="E484" t="s">
        <v>29</v>
      </c>
      <c r="F484" t="s">
        <v>2174</v>
      </c>
      <c r="G484" t="s">
        <v>2175</v>
      </c>
      <c r="H484">
        <v>2023</v>
      </c>
      <c r="I484">
        <v>9</v>
      </c>
      <c r="J484">
        <v>2</v>
      </c>
      <c r="K484" t="s">
        <v>29</v>
      </c>
      <c r="L484" t="s">
        <v>29</v>
      </c>
      <c r="M484" t="s">
        <v>29</v>
      </c>
      <c r="N484" t="s">
        <v>29</v>
      </c>
      <c r="O484" t="s">
        <v>29</v>
      </c>
      <c r="P484">
        <v>2270717</v>
      </c>
      <c r="Q484" t="s">
        <v>2176</v>
      </c>
      <c r="R484" t="s">
        <v>29</v>
      </c>
      <c r="S484" t="s">
        <v>29</v>
      </c>
      <c r="T484">
        <v>0</v>
      </c>
      <c r="U484">
        <v>0</v>
      </c>
      <c r="V484">
        <v>0</v>
      </c>
      <c r="W484">
        <v>0</v>
      </c>
      <c r="X484">
        <v>0</v>
      </c>
      <c r="Y484">
        <v>0</v>
      </c>
      <c r="Z484">
        <v>0</v>
      </c>
      <c r="AA484">
        <v>0</v>
      </c>
      <c r="AB484">
        <v>0</v>
      </c>
      <c r="AC484">
        <v>0</v>
      </c>
      <c r="AD484">
        <v>0</v>
      </c>
      <c r="AE484">
        <v>0</v>
      </c>
      <c r="AF484">
        <v>0</v>
      </c>
      <c r="AG484">
        <v>0</v>
      </c>
      <c r="AH484">
        <v>0</v>
      </c>
      <c r="AI484">
        <v>0</v>
      </c>
      <c r="AJ484">
        <v>0</v>
      </c>
      <c r="AK484">
        <v>0</v>
      </c>
      <c r="AL484">
        <v>0</v>
      </c>
      <c r="AM484">
        <v>0</v>
      </c>
      <c r="AN484">
        <v>0</v>
      </c>
      <c r="AO484">
        <v>0</v>
      </c>
      <c r="AP484">
        <v>0</v>
      </c>
      <c r="AQ484">
        <v>0</v>
      </c>
      <c r="AR484">
        <v>0</v>
      </c>
      <c r="AS484">
        <v>0</v>
      </c>
      <c r="AT484">
        <v>0</v>
      </c>
      <c r="AU484">
        <v>0</v>
      </c>
      <c r="AV484">
        <v>0</v>
      </c>
      <c r="AW484">
        <v>0</v>
      </c>
      <c r="AX484">
        <v>0</v>
      </c>
      <c r="AY484">
        <v>0</v>
      </c>
      <c r="AZ484">
        <v>0</v>
      </c>
      <c r="BA484">
        <v>0</v>
      </c>
      <c r="BB484">
        <v>0</v>
      </c>
      <c r="BC484">
        <v>0</v>
      </c>
      <c r="BD484">
        <v>0</v>
      </c>
      <c r="BE484">
        <v>0</v>
      </c>
      <c r="BF484">
        <v>0</v>
      </c>
      <c r="BG484">
        <v>0</v>
      </c>
      <c r="BH484">
        <v>0</v>
      </c>
      <c r="BI484">
        <v>0</v>
      </c>
      <c r="BJ484">
        <v>0</v>
      </c>
      <c r="BK484">
        <v>0</v>
      </c>
      <c r="BL484">
        <v>0</v>
      </c>
      <c r="BM484">
        <v>0</v>
      </c>
      <c r="BN484">
        <v>0</v>
      </c>
      <c r="BO484">
        <v>0</v>
      </c>
      <c r="BP484">
        <v>0</v>
      </c>
      <c r="BQ484">
        <v>0</v>
      </c>
      <c r="BR484">
        <v>0</v>
      </c>
      <c r="BS484">
        <v>0</v>
      </c>
    </row>
    <row r="485" spans="1:71" x14ac:dyDescent="0.3">
      <c r="A485" t="s">
        <v>2177</v>
      </c>
      <c r="B485" t="s">
        <v>2178</v>
      </c>
      <c r="C485" t="s">
        <v>29</v>
      </c>
      <c r="D485" t="s">
        <v>29</v>
      </c>
      <c r="E485" t="s">
        <v>29</v>
      </c>
      <c r="F485" t="s">
        <v>43</v>
      </c>
      <c r="G485" t="s">
        <v>1906</v>
      </c>
      <c r="H485">
        <v>2024</v>
      </c>
      <c r="I485">
        <v>70</v>
      </c>
      <c r="J485">
        <v>10</v>
      </c>
      <c r="K485" t="s">
        <v>29</v>
      </c>
      <c r="L485" t="s">
        <v>29</v>
      </c>
      <c r="M485" t="s">
        <v>29</v>
      </c>
      <c r="N485">
        <v>7215</v>
      </c>
      <c r="O485">
        <v>7241</v>
      </c>
      <c r="P485" t="s">
        <v>29</v>
      </c>
      <c r="Q485" t="s">
        <v>2179</v>
      </c>
      <c r="R485" t="s">
        <v>29</v>
      </c>
      <c r="S485" t="s">
        <v>29</v>
      </c>
      <c r="T485">
        <v>0</v>
      </c>
      <c r="U485">
        <v>0</v>
      </c>
      <c r="V485">
        <v>0</v>
      </c>
      <c r="W485">
        <v>0</v>
      </c>
      <c r="X485">
        <v>0</v>
      </c>
      <c r="Y485">
        <v>0</v>
      </c>
      <c r="Z485">
        <v>0</v>
      </c>
      <c r="AA485">
        <v>0</v>
      </c>
      <c r="AB485">
        <v>0</v>
      </c>
      <c r="AC485">
        <v>0</v>
      </c>
      <c r="AD485">
        <v>0</v>
      </c>
      <c r="AE485">
        <v>0</v>
      </c>
      <c r="AF485">
        <v>0</v>
      </c>
      <c r="AG485">
        <v>0</v>
      </c>
      <c r="AH485">
        <v>0</v>
      </c>
      <c r="AI485">
        <v>0</v>
      </c>
      <c r="AJ485">
        <v>0</v>
      </c>
      <c r="AK485">
        <v>0</v>
      </c>
      <c r="AL485">
        <v>0</v>
      </c>
      <c r="AM485">
        <v>0</v>
      </c>
      <c r="AN485">
        <v>0</v>
      </c>
      <c r="AO485">
        <v>0</v>
      </c>
      <c r="AP485">
        <v>0</v>
      </c>
      <c r="AQ485">
        <v>0</v>
      </c>
      <c r="AR485">
        <v>0</v>
      </c>
      <c r="AS485">
        <v>0</v>
      </c>
      <c r="AT485">
        <v>0</v>
      </c>
      <c r="AU485">
        <v>0</v>
      </c>
      <c r="AV485">
        <v>0</v>
      </c>
      <c r="AW485">
        <v>0</v>
      </c>
      <c r="AX485">
        <v>0</v>
      </c>
      <c r="AY485">
        <v>0</v>
      </c>
      <c r="AZ485">
        <v>0</v>
      </c>
      <c r="BA485">
        <v>0</v>
      </c>
      <c r="BB485">
        <v>0</v>
      </c>
      <c r="BC485">
        <v>0</v>
      </c>
      <c r="BD485">
        <v>0</v>
      </c>
      <c r="BE485">
        <v>0</v>
      </c>
      <c r="BF485">
        <v>0</v>
      </c>
      <c r="BG485">
        <v>0</v>
      </c>
      <c r="BH485">
        <v>0</v>
      </c>
      <c r="BI485">
        <v>0</v>
      </c>
      <c r="BJ485">
        <v>0</v>
      </c>
      <c r="BK485">
        <v>0</v>
      </c>
      <c r="BL485">
        <v>0</v>
      </c>
      <c r="BM485">
        <v>0</v>
      </c>
      <c r="BN485">
        <v>0</v>
      </c>
      <c r="BO485">
        <v>0</v>
      </c>
      <c r="BP485">
        <v>0</v>
      </c>
      <c r="BQ485">
        <v>0</v>
      </c>
      <c r="BR485">
        <v>0</v>
      </c>
      <c r="BS485">
        <v>0</v>
      </c>
    </row>
    <row r="486" spans="1:71" x14ac:dyDescent="0.3">
      <c r="A486" t="s">
        <v>2180</v>
      </c>
      <c r="B486" t="s">
        <v>2181</v>
      </c>
      <c r="C486" t="s">
        <v>29</v>
      </c>
      <c r="D486" t="s">
        <v>29</v>
      </c>
      <c r="E486" t="s">
        <v>29</v>
      </c>
      <c r="F486" t="s">
        <v>2182</v>
      </c>
      <c r="G486" t="s">
        <v>2183</v>
      </c>
      <c r="H486">
        <v>2023</v>
      </c>
      <c r="I486">
        <v>18</v>
      </c>
      <c r="J486">
        <v>3</v>
      </c>
      <c r="K486" t="s">
        <v>29</v>
      </c>
      <c r="L486" t="s">
        <v>29</v>
      </c>
      <c r="M486" t="s">
        <v>29</v>
      </c>
      <c r="N486">
        <v>91</v>
      </c>
      <c r="O486">
        <v>107</v>
      </c>
      <c r="P486" t="s">
        <v>29</v>
      </c>
      <c r="Q486" t="s">
        <v>2184</v>
      </c>
      <c r="R486" t="s">
        <v>29</v>
      </c>
      <c r="S486" t="s">
        <v>29</v>
      </c>
      <c r="T486">
        <v>0</v>
      </c>
      <c r="U486">
        <v>0</v>
      </c>
      <c r="V486">
        <v>0</v>
      </c>
      <c r="W486">
        <v>0</v>
      </c>
      <c r="X486">
        <v>0</v>
      </c>
      <c r="Y486">
        <v>0</v>
      </c>
      <c r="Z486">
        <v>0</v>
      </c>
      <c r="AA486">
        <v>0</v>
      </c>
      <c r="AB486">
        <v>0</v>
      </c>
      <c r="AC486">
        <v>0</v>
      </c>
      <c r="AD486">
        <v>0</v>
      </c>
      <c r="AE486">
        <v>0</v>
      </c>
      <c r="AF486">
        <v>0</v>
      </c>
      <c r="AG486">
        <v>0</v>
      </c>
      <c r="AH486">
        <v>0</v>
      </c>
      <c r="AI486">
        <v>0</v>
      </c>
      <c r="AJ486">
        <v>0</v>
      </c>
      <c r="AK486">
        <v>0</v>
      </c>
      <c r="AL486">
        <v>0</v>
      </c>
      <c r="AM486">
        <v>0</v>
      </c>
      <c r="AN486">
        <v>0</v>
      </c>
      <c r="AO486">
        <v>0</v>
      </c>
      <c r="AP486">
        <v>0</v>
      </c>
      <c r="AQ486">
        <v>0</v>
      </c>
      <c r="AR486">
        <v>0</v>
      </c>
      <c r="AS486">
        <v>0</v>
      </c>
      <c r="AT486">
        <v>0</v>
      </c>
      <c r="AU486">
        <v>0</v>
      </c>
      <c r="AV486">
        <v>0</v>
      </c>
      <c r="AW486">
        <v>0</v>
      </c>
      <c r="AX486">
        <v>0</v>
      </c>
      <c r="AY486">
        <v>0</v>
      </c>
      <c r="AZ486">
        <v>0</v>
      </c>
      <c r="BA486">
        <v>0</v>
      </c>
      <c r="BB486">
        <v>0</v>
      </c>
      <c r="BC486">
        <v>0</v>
      </c>
      <c r="BD486">
        <v>0</v>
      </c>
      <c r="BE486">
        <v>0</v>
      </c>
      <c r="BF486">
        <v>0</v>
      </c>
      <c r="BG486">
        <v>0</v>
      </c>
      <c r="BH486">
        <v>0</v>
      </c>
      <c r="BI486">
        <v>0</v>
      </c>
      <c r="BJ486">
        <v>0</v>
      </c>
      <c r="BK486">
        <v>0</v>
      </c>
      <c r="BL486">
        <v>0</v>
      </c>
      <c r="BM486">
        <v>0</v>
      </c>
      <c r="BN486">
        <v>0</v>
      </c>
      <c r="BO486">
        <v>0</v>
      </c>
      <c r="BP486">
        <v>0</v>
      </c>
      <c r="BQ486">
        <v>0</v>
      </c>
      <c r="BR486">
        <v>0</v>
      </c>
      <c r="BS486">
        <v>0</v>
      </c>
    </row>
    <row r="487" spans="1:71" x14ac:dyDescent="0.3">
      <c r="A487" t="s">
        <v>2185</v>
      </c>
      <c r="B487" t="s">
        <v>2186</v>
      </c>
      <c r="C487" t="s">
        <v>29</v>
      </c>
      <c r="D487" t="s">
        <v>29</v>
      </c>
      <c r="E487" t="s">
        <v>29</v>
      </c>
      <c r="F487" t="s">
        <v>78</v>
      </c>
      <c r="G487" t="s">
        <v>29</v>
      </c>
      <c r="H487">
        <v>2023</v>
      </c>
      <c r="I487" t="s">
        <v>29</v>
      </c>
      <c r="J487" t="s">
        <v>29</v>
      </c>
      <c r="K487" t="s">
        <v>29</v>
      </c>
      <c r="L487" t="s">
        <v>29</v>
      </c>
      <c r="M487" t="s">
        <v>29</v>
      </c>
      <c r="N487" t="s">
        <v>29</v>
      </c>
      <c r="O487" t="s">
        <v>29</v>
      </c>
      <c r="P487" t="s">
        <v>29</v>
      </c>
      <c r="Q487" t="s">
        <v>2187</v>
      </c>
      <c r="R487" t="s">
        <v>29</v>
      </c>
      <c r="S487" t="s">
        <v>29</v>
      </c>
      <c r="T487">
        <v>0</v>
      </c>
      <c r="U487">
        <v>0</v>
      </c>
      <c r="V487">
        <v>0</v>
      </c>
      <c r="W487">
        <v>0</v>
      </c>
      <c r="X487">
        <v>0</v>
      </c>
      <c r="Y487">
        <v>0</v>
      </c>
      <c r="Z487">
        <v>0</v>
      </c>
      <c r="AA487">
        <v>0</v>
      </c>
      <c r="AB487">
        <v>0</v>
      </c>
      <c r="AC487">
        <v>0</v>
      </c>
      <c r="AD487">
        <v>0</v>
      </c>
      <c r="AE487">
        <v>0</v>
      </c>
      <c r="AF487">
        <v>0</v>
      </c>
      <c r="AG487">
        <v>0</v>
      </c>
      <c r="AH487">
        <v>0</v>
      </c>
      <c r="AI487">
        <v>0</v>
      </c>
      <c r="AJ487">
        <v>0</v>
      </c>
      <c r="AK487">
        <v>0</v>
      </c>
      <c r="AL487">
        <v>0</v>
      </c>
      <c r="AM487">
        <v>0</v>
      </c>
      <c r="AN487">
        <v>0</v>
      </c>
      <c r="AO487">
        <v>0</v>
      </c>
      <c r="AP487">
        <v>0</v>
      </c>
      <c r="AQ487">
        <v>0</v>
      </c>
      <c r="AR487">
        <v>0</v>
      </c>
      <c r="AS487">
        <v>0</v>
      </c>
      <c r="AT487">
        <v>0</v>
      </c>
      <c r="AU487">
        <v>0</v>
      </c>
      <c r="AV487">
        <v>0</v>
      </c>
      <c r="AW487">
        <v>0</v>
      </c>
      <c r="AX487">
        <v>0</v>
      </c>
      <c r="AY487">
        <v>0</v>
      </c>
      <c r="AZ487">
        <v>0</v>
      </c>
      <c r="BA487">
        <v>0</v>
      </c>
      <c r="BB487">
        <v>0</v>
      </c>
      <c r="BC487">
        <v>0</v>
      </c>
      <c r="BD487">
        <v>0</v>
      </c>
      <c r="BE487">
        <v>0</v>
      </c>
      <c r="BF487">
        <v>0</v>
      </c>
      <c r="BG487">
        <v>0</v>
      </c>
      <c r="BH487">
        <v>0</v>
      </c>
      <c r="BI487">
        <v>0</v>
      </c>
      <c r="BJ487">
        <v>0</v>
      </c>
      <c r="BK487">
        <v>0</v>
      </c>
      <c r="BL487">
        <v>0</v>
      </c>
      <c r="BM487">
        <v>0</v>
      </c>
      <c r="BN487">
        <v>0</v>
      </c>
      <c r="BO487">
        <v>0</v>
      </c>
      <c r="BP487">
        <v>0</v>
      </c>
      <c r="BQ487">
        <v>0</v>
      </c>
      <c r="BR487">
        <v>0</v>
      </c>
      <c r="BS487">
        <v>0</v>
      </c>
    </row>
    <row r="488" spans="1:71" x14ac:dyDescent="0.3">
      <c r="A488" t="s">
        <v>2188</v>
      </c>
      <c r="B488" t="s">
        <v>2189</v>
      </c>
      <c r="C488" t="s">
        <v>29</v>
      </c>
      <c r="D488" t="s">
        <v>29</v>
      </c>
      <c r="E488" t="s">
        <v>29</v>
      </c>
      <c r="F488" t="s">
        <v>2190</v>
      </c>
      <c r="G488" t="s">
        <v>29</v>
      </c>
      <c r="H488">
        <v>2023</v>
      </c>
      <c r="I488" t="s">
        <v>29</v>
      </c>
      <c r="J488" t="s">
        <v>29</v>
      </c>
      <c r="K488" t="s">
        <v>29</v>
      </c>
      <c r="L488" t="s">
        <v>29</v>
      </c>
      <c r="M488" t="s">
        <v>29</v>
      </c>
      <c r="N488" t="s">
        <v>29</v>
      </c>
      <c r="O488" t="s">
        <v>29</v>
      </c>
      <c r="P488" t="s">
        <v>29</v>
      </c>
      <c r="Q488" t="s">
        <v>2191</v>
      </c>
      <c r="R488" t="s">
        <v>29</v>
      </c>
      <c r="S488" t="s">
        <v>29</v>
      </c>
      <c r="T488">
        <v>0</v>
      </c>
      <c r="U488">
        <v>0</v>
      </c>
      <c r="V488">
        <v>0</v>
      </c>
      <c r="W488">
        <v>0</v>
      </c>
      <c r="X488">
        <v>0</v>
      </c>
      <c r="Y488">
        <v>0</v>
      </c>
      <c r="Z488">
        <v>0</v>
      </c>
      <c r="AA488">
        <v>0</v>
      </c>
      <c r="AB488">
        <v>0</v>
      </c>
      <c r="AC488">
        <v>0</v>
      </c>
      <c r="AD488">
        <v>0</v>
      </c>
      <c r="AE488">
        <v>0</v>
      </c>
      <c r="AF488">
        <v>0</v>
      </c>
      <c r="AG488">
        <v>0</v>
      </c>
      <c r="AH488">
        <v>0</v>
      </c>
      <c r="AI488">
        <v>0</v>
      </c>
      <c r="AJ488">
        <v>0</v>
      </c>
      <c r="AK488">
        <v>0</v>
      </c>
      <c r="AL488">
        <v>0</v>
      </c>
      <c r="AM488">
        <v>0</v>
      </c>
      <c r="AN488">
        <v>0</v>
      </c>
      <c r="AO488">
        <v>0</v>
      </c>
      <c r="AP488">
        <v>0</v>
      </c>
      <c r="AQ488">
        <v>0</v>
      </c>
      <c r="AR488">
        <v>0</v>
      </c>
      <c r="AS488">
        <v>0</v>
      </c>
      <c r="AT488">
        <v>0</v>
      </c>
      <c r="AU488">
        <v>0</v>
      </c>
      <c r="AV488">
        <v>0</v>
      </c>
      <c r="AW488">
        <v>0</v>
      </c>
      <c r="AX488">
        <v>0</v>
      </c>
      <c r="AY488">
        <v>0</v>
      </c>
      <c r="AZ488">
        <v>0</v>
      </c>
      <c r="BA488">
        <v>0</v>
      </c>
      <c r="BB488">
        <v>0</v>
      </c>
      <c r="BC488">
        <v>0</v>
      </c>
      <c r="BD488">
        <v>0</v>
      </c>
      <c r="BE488">
        <v>0</v>
      </c>
      <c r="BF488">
        <v>0</v>
      </c>
      <c r="BG488">
        <v>0</v>
      </c>
      <c r="BH488">
        <v>0</v>
      </c>
      <c r="BI488">
        <v>0</v>
      </c>
      <c r="BJ488">
        <v>0</v>
      </c>
      <c r="BK488">
        <v>0</v>
      </c>
      <c r="BL488">
        <v>0</v>
      </c>
      <c r="BM488">
        <v>0</v>
      </c>
      <c r="BN488">
        <v>0</v>
      </c>
      <c r="BO488">
        <v>0</v>
      </c>
      <c r="BP488">
        <v>0</v>
      </c>
      <c r="BQ488">
        <v>0</v>
      </c>
      <c r="BR488">
        <v>0</v>
      </c>
      <c r="BS488">
        <v>0</v>
      </c>
    </row>
    <row r="489" spans="1:71" x14ac:dyDescent="0.3">
      <c r="A489" t="s">
        <v>2192</v>
      </c>
      <c r="B489" t="s">
        <v>2193</v>
      </c>
      <c r="C489" t="s">
        <v>29</v>
      </c>
      <c r="D489" t="s">
        <v>29</v>
      </c>
      <c r="E489" t="s">
        <v>29</v>
      </c>
      <c r="F489" t="s">
        <v>2194</v>
      </c>
      <c r="G489" t="s">
        <v>2195</v>
      </c>
      <c r="H489">
        <v>2023</v>
      </c>
      <c r="I489">
        <v>9</v>
      </c>
      <c r="J489">
        <v>1</v>
      </c>
      <c r="K489" t="s">
        <v>29</v>
      </c>
      <c r="L489" t="s">
        <v>29</v>
      </c>
      <c r="M489" t="s">
        <v>29</v>
      </c>
      <c r="N489" t="s">
        <v>29</v>
      </c>
      <c r="O489" t="s">
        <v>29</v>
      </c>
      <c r="P489">
        <v>50</v>
      </c>
      <c r="Q489" t="s">
        <v>2196</v>
      </c>
      <c r="R489" t="s">
        <v>29</v>
      </c>
      <c r="S489" t="s">
        <v>29</v>
      </c>
      <c r="T489">
        <v>0</v>
      </c>
      <c r="U489">
        <v>0</v>
      </c>
      <c r="V489">
        <v>0</v>
      </c>
      <c r="W489">
        <v>0</v>
      </c>
      <c r="X489">
        <v>0</v>
      </c>
      <c r="Y489">
        <v>0</v>
      </c>
      <c r="Z489">
        <v>0</v>
      </c>
      <c r="AA489">
        <v>0</v>
      </c>
      <c r="AB489">
        <v>0</v>
      </c>
      <c r="AC489">
        <v>0</v>
      </c>
      <c r="AD489">
        <v>0</v>
      </c>
      <c r="AE489">
        <v>0</v>
      </c>
      <c r="AF489">
        <v>0</v>
      </c>
      <c r="AG489">
        <v>0</v>
      </c>
      <c r="AH489">
        <v>0</v>
      </c>
      <c r="AI489">
        <v>0</v>
      </c>
      <c r="AJ489">
        <v>0</v>
      </c>
      <c r="AK489">
        <v>0</v>
      </c>
      <c r="AL489">
        <v>0</v>
      </c>
      <c r="AM489">
        <v>0</v>
      </c>
      <c r="AN489">
        <v>0</v>
      </c>
      <c r="AO489">
        <v>0</v>
      </c>
      <c r="AP489">
        <v>0</v>
      </c>
      <c r="AQ489">
        <v>0</v>
      </c>
      <c r="AR489">
        <v>0</v>
      </c>
      <c r="AS489">
        <v>0</v>
      </c>
      <c r="AT489">
        <v>0</v>
      </c>
      <c r="AU489">
        <v>0</v>
      </c>
      <c r="AV489">
        <v>0</v>
      </c>
      <c r="AW489">
        <v>0</v>
      </c>
      <c r="AX489">
        <v>0</v>
      </c>
      <c r="AY489">
        <v>0</v>
      </c>
      <c r="AZ489">
        <v>0</v>
      </c>
      <c r="BA489">
        <v>0</v>
      </c>
      <c r="BB489">
        <v>0</v>
      </c>
      <c r="BC489">
        <v>0</v>
      </c>
      <c r="BD489">
        <v>0</v>
      </c>
      <c r="BE489">
        <v>0</v>
      </c>
      <c r="BF489">
        <v>0</v>
      </c>
      <c r="BG489">
        <v>0</v>
      </c>
      <c r="BH489">
        <v>0</v>
      </c>
      <c r="BI489">
        <v>0</v>
      </c>
      <c r="BJ489">
        <v>0</v>
      </c>
      <c r="BK489">
        <v>0</v>
      </c>
      <c r="BL489">
        <v>0</v>
      </c>
      <c r="BM489">
        <v>0</v>
      </c>
      <c r="BN489">
        <v>0</v>
      </c>
      <c r="BO489">
        <v>0</v>
      </c>
      <c r="BP489">
        <v>0</v>
      </c>
      <c r="BQ489">
        <v>0</v>
      </c>
      <c r="BR489">
        <v>0</v>
      </c>
      <c r="BS489">
        <v>0</v>
      </c>
    </row>
    <row r="490" spans="1:71" x14ac:dyDescent="0.3">
      <c r="A490" t="s">
        <v>2197</v>
      </c>
      <c r="B490" t="s">
        <v>2198</v>
      </c>
      <c r="C490" t="s">
        <v>29</v>
      </c>
      <c r="D490" t="s">
        <v>29</v>
      </c>
      <c r="E490" t="s">
        <v>29</v>
      </c>
      <c r="F490" t="s">
        <v>2199</v>
      </c>
      <c r="G490" t="s">
        <v>949</v>
      </c>
      <c r="H490">
        <v>2023</v>
      </c>
      <c r="I490" t="s">
        <v>29</v>
      </c>
      <c r="J490">
        <v>11</v>
      </c>
      <c r="K490" t="s">
        <v>29</v>
      </c>
      <c r="L490" t="s">
        <v>29</v>
      </c>
      <c r="M490" t="s">
        <v>29</v>
      </c>
      <c r="N490">
        <v>65</v>
      </c>
      <c r="O490">
        <v>80</v>
      </c>
      <c r="P490" t="s">
        <v>29</v>
      </c>
      <c r="Q490" t="s">
        <v>2200</v>
      </c>
      <c r="R490" t="s">
        <v>29</v>
      </c>
      <c r="S490" t="s">
        <v>29</v>
      </c>
      <c r="T490">
        <v>0</v>
      </c>
      <c r="U490">
        <v>0</v>
      </c>
      <c r="V490">
        <v>0</v>
      </c>
      <c r="W490">
        <v>0</v>
      </c>
      <c r="X490">
        <v>0</v>
      </c>
      <c r="Y490">
        <v>0</v>
      </c>
      <c r="Z490">
        <v>0</v>
      </c>
      <c r="AA490">
        <v>0</v>
      </c>
      <c r="AB490">
        <v>0</v>
      </c>
      <c r="AC490">
        <v>0</v>
      </c>
      <c r="AD490">
        <v>0</v>
      </c>
      <c r="AE490">
        <v>0</v>
      </c>
      <c r="AF490">
        <v>0</v>
      </c>
      <c r="AG490">
        <v>0</v>
      </c>
      <c r="AH490">
        <v>0</v>
      </c>
      <c r="AI490">
        <v>0</v>
      </c>
      <c r="AJ490">
        <v>0</v>
      </c>
      <c r="AK490">
        <v>0</v>
      </c>
      <c r="AL490">
        <v>0</v>
      </c>
      <c r="AM490">
        <v>0</v>
      </c>
      <c r="AN490">
        <v>0</v>
      </c>
      <c r="AO490">
        <v>0</v>
      </c>
      <c r="AP490">
        <v>0</v>
      </c>
      <c r="AQ490">
        <v>0</v>
      </c>
      <c r="AR490">
        <v>0</v>
      </c>
      <c r="AS490">
        <v>0</v>
      </c>
      <c r="AT490">
        <v>0</v>
      </c>
      <c r="AU490">
        <v>0</v>
      </c>
      <c r="AV490">
        <v>0</v>
      </c>
      <c r="AW490">
        <v>0</v>
      </c>
      <c r="AX490">
        <v>0</v>
      </c>
      <c r="AY490">
        <v>0</v>
      </c>
      <c r="AZ490">
        <v>0</v>
      </c>
      <c r="BA490">
        <v>0</v>
      </c>
      <c r="BB490">
        <v>0</v>
      </c>
      <c r="BC490">
        <v>0</v>
      </c>
      <c r="BD490">
        <v>0</v>
      </c>
      <c r="BE490">
        <v>0</v>
      </c>
      <c r="BF490">
        <v>0</v>
      </c>
      <c r="BG490">
        <v>0</v>
      </c>
      <c r="BH490">
        <v>0</v>
      </c>
      <c r="BI490">
        <v>0</v>
      </c>
      <c r="BJ490">
        <v>0</v>
      </c>
      <c r="BK490">
        <v>0</v>
      </c>
      <c r="BL490">
        <v>0</v>
      </c>
      <c r="BM490">
        <v>0</v>
      </c>
      <c r="BN490">
        <v>0</v>
      </c>
      <c r="BO490">
        <v>0</v>
      </c>
      <c r="BP490">
        <v>0</v>
      </c>
      <c r="BQ490">
        <v>0</v>
      </c>
      <c r="BR490">
        <v>0</v>
      </c>
      <c r="BS490">
        <v>0</v>
      </c>
    </row>
    <row r="491" spans="1:71" x14ac:dyDescent="0.3">
      <c r="A491" t="s">
        <v>2201</v>
      </c>
      <c r="B491" t="s">
        <v>2202</v>
      </c>
      <c r="C491" t="s">
        <v>29</v>
      </c>
      <c r="D491" t="s">
        <v>29</v>
      </c>
      <c r="E491" t="s">
        <v>29</v>
      </c>
      <c r="F491" t="s">
        <v>2203</v>
      </c>
      <c r="G491" t="s">
        <v>2204</v>
      </c>
      <c r="H491">
        <v>2024</v>
      </c>
      <c r="I491">
        <v>24</v>
      </c>
      <c r="J491">
        <v>1</v>
      </c>
      <c r="K491" t="s">
        <v>29</v>
      </c>
      <c r="L491" t="s">
        <v>29</v>
      </c>
      <c r="M491" t="s">
        <v>29</v>
      </c>
      <c r="N491">
        <v>35</v>
      </c>
      <c r="O491">
        <v>67</v>
      </c>
      <c r="P491" t="s">
        <v>29</v>
      </c>
      <c r="Q491" t="s">
        <v>2205</v>
      </c>
      <c r="R491" t="s">
        <v>29</v>
      </c>
      <c r="S491" t="s">
        <v>29</v>
      </c>
      <c r="T491">
        <v>0</v>
      </c>
      <c r="U491">
        <v>0</v>
      </c>
      <c r="V491">
        <v>0</v>
      </c>
      <c r="W491">
        <v>0</v>
      </c>
      <c r="X491">
        <v>0</v>
      </c>
      <c r="Y491">
        <v>0</v>
      </c>
      <c r="Z491">
        <v>0</v>
      </c>
      <c r="AA491">
        <v>0</v>
      </c>
      <c r="AB491">
        <v>0</v>
      </c>
      <c r="AC491">
        <v>0</v>
      </c>
      <c r="AD491">
        <v>0</v>
      </c>
      <c r="AE491">
        <v>0</v>
      </c>
      <c r="AF491">
        <v>0</v>
      </c>
      <c r="AG491">
        <v>0</v>
      </c>
      <c r="AH491">
        <v>0</v>
      </c>
      <c r="AI491">
        <v>0</v>
      </c>
      <c r="AJ491">
        <v>0</v>
      </c>
      <c r="AK491">
        <v>0</v>
      </c>
      <c r="AL491">
        <v>0</v>
      </c>
      <c r="AM491">
        <v>0</v>
      </c>
      <c r="AN491">
        <v>0</v>
      </c>
      <c r="AO491">
        <v>0</v>
      </c>
      <c r="AP491">
        <v>0</v>
      </c>
      <c r="AQ491">
        <v>0</v>
      </c>
      <c r="AR491">
        <v>0</v>
      </c>
      <c r="AS491">
        <v>0</v>
      </c>
      <c r="AT491">
        <v>0</v>
      </c>
      <c r="AU491">
        <v>0</v>
      </c>
      <c r="AV491">
        <v>0</v>
      </c>
      <c r="AW491">
        <v>0</v>
      </c>
      <c r="AX491">
        <v>0</v>
      </c>
      <c r="AY491">
        <v>0</v>
      </c>
      <c r="AZ491">
        <v>0</v>
      </c>
      <c r="BA491">
        <v>0</v>
      </c>
      <c r="BB491">
        <v>0</v>
      </c>
      <c r="BC491">
        <v>0</v>
      </c>
      <c r="BD491">
        <v>0</v>
      </c>
      <c r="BE491">
        <v>0</v>
      </c>
      <c r="BF491">
        <v>0</v>
      </c>
      <c r="BG491">
        <v>0</v>
      </c>
      <c r="BH491">
        <v>0</v>
      </c>
      <c r="BI491">
        <v>0</v>
      </c>
      <c r="BJ491">
        <v>0</v>
      </c>
      <c r="BK491">
        <v>0</v>
      </c>
      <c r="BL491">
        <v>0</v>
      </c>
      <c r="BM491">
        <v>0</v>
      </c>
      <c r="BN491">
        <v>0</v>
      </c>
      <c r="BO491">
        <v>0</v>
      </c>
      <c r="BP491">
        <v>0</v>
      </c>
      <c r="BQ491">
        <v>0</v>
      </c>
      <c r="BR491">
        <v>0</v>
      </c>
      <c r="BS491">
        <v>0</v>
      </c>
    </row>
    <row r="492" spans="1:71" x14ac:dyDescent="0.3">
      <c r="A492" t="s">
        <v>2206</v>
      </c>
      <c r="B492" t="s">
        <v>2207</v>
      </c>
      <c r="C492" t="s">
        <v>29</v>
      </c>
      <c r="D492" t="s">
        <v>29</v>
      </c>
      <c r="E492" t="s">
        <v>29</v>
      </c>
      <c r="F492" t="s">
        <v>276</v>
      </c>
      <c r="G492" t="s">
        <v>1309</v>
      </c>
      <c r="H492">
        <v>2023</v>
      </c>
      <c r="I492">
        <v>13</v>
      </c>
      <c r="J492">
        <v>4</v>
      </c>
      <c r="K492" t="s">
        <v>29</v>
      </c>
      <c r="L492" t="s">
        <v>29</v>
      </c>
      <c r="M492" t="s">
        <v>29</v>
      </c>
      <c r="N492" t="s">
        <v>29</v>
      </c>
      <c r="O492" t="s">
        <v>29</v>
      </c>
      <c r="P492">
        <v>2.1582440231210068E+16</v>
      </c>
      <c r="Q492" t="s">
        <v>2208</v>
      </c>
      <c r="R492" t="s">
        <v>29</v>
      </c>
      <c r="S492" t="s">
        <v>29</v>
      </c>
      <c r="T492">
        <v>0</v>
      </c>
      <c r="U492">
        <v>0</v>
      </c>
      <c r="V492">
        <v>0</v>
      </c>
      <c r="W492">
        <v>0</v>
      </c>
      <c r="X492">
        <v>0</v>
      </c>
      <c r="Y492">
        <v>0</v>
      </c>
      <c r="Z492">
        <v>0</v>
      </c>
      <c r="AA492">
        <v>0</v>
      </c>
      <c r="AB492">
        <v>0</v>
      </c>
      <c r="AC492">
        <v>0</v>
      </c>
      <c r="AD492">
        <v>0</v>
      </c>
      <c r="AE492">
        <v>0</v>
      </c>
      <c r="AF492">
        <v>0</v>
      </c>
      <c r="AG492">
        <v>0</v>
      </c>
      <c r="AH492">
        <v>0</v>
      </c>
      <c r="AI492">
        <v>0</v>
      </c>
      <c r="AJ492">
        <v>0</v>
      </c>
      <c r="AK492">
        <v>0</v>
      </c>
      <c r="AL492">
        <v>0</v>
      </c>
      <c r="AM492">
        <v>0</v>
      </c>
      <c r="AN492">
        <v>0</v>
      </c>
      <c r="AO492">
        <v>0</v>
      </c>
      <c r="AP492">
        <v>0</v>
      </c>
      <c r="AQ492">
        <v>0</v>
      </c>
      <c r="AR492">
        <v>0</v>
      </c>
      <c r="AS492">
        <v>0</v>
      </c>
      <c r="AT492">
        <v>0</v>
      </c>
      <c r="AU492">
        <v>0</v>
      </c>
      <c r="AV492">
        <v>0</v>
      </c>
      <c r="AW492">
        <v>0</v>
      </c>
      <c r="AX492">
        <v>0</v>
      </c>
      <c r="AY492">
        <v>0</v>
      </c>
      <c r="AZ492">
        <v>0</v>
      </c>
      <c r="BA492">
        <v>0</v>
      </c>
      <c r="BB492">
        <v>0</v>
      </c>
      <c r="BC492">
        <v>0</v>
      </c>
      <c r="BD492">
        <v>0</v>
      </c>
      <c r="BE492">
        <v>0</v>
      </c>
      <c r="BF492">
        <v>0</v>
      </c>
      <c r="BG492">
        <v>0</v>
      </c>
      <c r="BH492">
        <v>0</v>
      </c>
      <c r="BI492">
        <v>0</v>
      </c>
      <c r="BJ492">
        <v>0</v>
      </c>
      <c r="BK492">
        <v>0</v>
      </c>
      <c r="BL492">
        <v>0</v>
      </c>
      <c r="BM492">
        <v>0</v>
      </c>
      <c r="BN492">
        <v>0</v>
      </c>
      <c r="BO492">
        <v>0</v>
      </c>
      <c r="BP492">
        <v>0</v>
      </c>
      <c r="BQ492">
        <v>0</v>
      </c>
      <c r="BR492">
        <v>0</v>
      </c>
      <c r="BS492">
        <v>0</v>
      </c>
    </row>
    <row r="493" spans="1:71" x14ac:dyDescent="0.3">
      <c r="A493" t="s">
        <v>2209</v>
      </c>
      <c r="B493" t="s">
        <v>2210</v>
      </c>
      <c r="C493" t="s">
        <v>29</v>
      </c>
      <c r="D493" t="s">
        <v>29</v>
      </c>
      <c r="E493" t="s">
        <v>29</v>
      </c>
      <c r="F493" t="s">
        <v>1879</v>
      </c>
      <c r="G493" t="s">
        <v>949</v>
      </c>
      <c r="H493">
        <v>2023</v>
      </c>
      <c r="I493">
        <v>103</v>
      </c>
      <c r="J493" t="s">
        <v>29</v>
      </c>
      <c r="K493" t="s">
        <v>29</v>
      </c>
      <c r="L493" t="s">
        <v>29</v>
      </c>
      <c r="M493" t="s">
        <v>29</v>
      </c>
      <c r="N493" t="s">
        <v>29</v>
      </c>
      <c r="O493" t="s">
        <v>29</v>
      </c>
      <c r="P493">
        <v>102886</v>
      </c>
      <c r="Q493" t="s">
        <v>2211</v>
      </c>
      <c r="R493" t="s">
        <v>29</v>
      </c>
      <c r="S493" t="s">
        <v>29</v>
      </c>
      <c r="T493">
        <v>0</v>
      </c>
      <c r="U493">
        <v>0</v>
      </c>
      <c r="V493">
        <v>0</v>
      </c>
      <c r="W493">
        <v>0</v>
      </c>
      <c r="X493">
        <v>0</v>
      </c>
      <c r="Y493">
        <v>0</v>
      </c>
      <c r="Z493">
        <v>0</v>
      </c>
      <c r="AA493">
        <v>0</v>
      </c>
      <c r="AB493">
        <v>0</v>
      </c>
      <c r="AC493">
        <v>0</v>
      </c>
      <c r="AD493">
        <v>0</v>
      </c>
      <c r="AE493">
        <v>0</v>
      </c>
      <c r="AF493">
        <v>0</v>
      </c>
      <c r="AG493">
        <v>0</v>
      </c>
      <c r="AH493">
        <v>0</v>
      </c>
      <c r="AI493">
        <v>0</v>
      </c>
      <c r="AJ493">
        <v>0</v>
      </c>
      <c r="AK493">
        <v>0</v>
      </c>
      <c r="AL493">
        <v>0</v>
      </c>
      <c r="AM493">
        <v>0</v>
      </c>
      <c r="AN493">
        <v>0</v>
      </c>
      <c r="AO493">
        <v>0</v>
      </c>
      <c r="AP493">
        <v>0</v>
      </c>
      <c r="AQ493">
        <v>0</v>
      </c>
      <c r="AR493">
        <v>0</v>
      </c>
      <c r="AS493">
        <v>0</v>
      </c>
      <c r="AT493">
        <v>0</v>
      </c>
      <c r="AU493">
        <v>0</v>
      </c>
      <c r="AV493">
        <v>0</v>
      </c>
      <c r="AW493">
        <v>0</v>
      </c>
      <c r="AX493">
        <v>0</v>
      </c>
      <c r="AY493">
        <v>0</v>
      </c>
      <c r="AZ493">
        <v>0</v>
      </c>
      <c r="BA493">
        <v>0</v>
      </c>
      <c r="BB493">
        <v>0</v>
      </c>
      <c r="BC493">
        <v>0</v>
      </c>
      <c r="BD493">
        <v>0</v>
      </c>
      <c r="BE493">
        <v>0</v>
      </c>
      <c r="BF493">
        <v>0</v>
      </c>
      <c r="BG493">
        <v>0</v>
      </c>
      <c r="BH493">
        <v>0</v>
      </c>
      <c r="BI493">
        <v>0</v>
      </c>
      <c r="BJ493">
        <v>0</v>
      </c>
      <c r="BK493">
        <v>0</v>
      </c>
      <c r="BL493">
        <v>0</v>
      </c>
      <c r="BM493">
        <v>0</v>
      </c>
      <c r="BN493">
        <v>0</v>
      </c>
      <c r="BO493">
        <v>0</v>
      </c>
      <c r="BP493">
        <v>0</v>
      </c>
      <c r="BQ493">
        <v>0</v>
      </c>
      <c r="BR493">
        <v>0</v>
      </c>
      <c r="BS493">
        <v>0</v>
      </c>
    </row>
    <row r="494" spans="1:71" x14ac:dyDescent="0.3">
      <c r="A494" t="s">
        <v>2212</v>
      </c>
      <c r="B494" t="s">
        <v>2213</v>
      </c>
      <c r="C494" t="s">
        <v>29</v>
      </c>
      <c r="D494" t="s">
        <v>29</v>
      </c>
      <c r="E494" t="s">
        <v>29</v>
      </c>
      <c r="F494" t="s">
        <v>48</v>
      </c>
      <c r="G494" t="s">
        <v>2214</v>
      </c>
      <c r="H494">
        <v>2023</v>
      </c>
      <c r="I494">
        <v>65</v>
      </c>
      <c r="J494">
        <v>5</v>
      </c>
      <c r="K494" t="s">
        <v>29</v>
      </c>
      <c r="L494" t="s">
        <v>29</v>
      </c>
      <c r="M494" t="s">
        <v>29</v>
      </c>
      <c r="N494">
        <v>769</v>
      </c>
      <c r="O494">
        <v>789</v>
      </c>
      <c r="P494" t="s">
        <v>29</v>
      </c>
      <c r="Q494" t="s">
        <v>2215</v>
      </c>
      <c r="R494" t="s">
        <v>29</v>
      </c>
      <c r="S494" t="s">
        <v>29</v>
      </c>
      <c r="T494">
        <v>0</v>
      </c>
      <c r="U494">
        <v>0</v>
      </c>
      <c r="V494">
        <v>0</v>
      </c>
      <c r="W494">
        <v>0</v>
      </c>
      <c r="X494">
        <v>0</v>
      </c>
      <c r="Y494">
        <v>0</v>
      </c>
      <c r="Z494">
        <v>0</v>
      </c>
      <c r="AA494">
        <v>0</v>
      </c>
      <c r="AB494">
        <v>0</v>
      </c>
      <c r="AC494">
        <v>0</v>
      </c>
      <c r="AD494">
        <v>0</v>
      </c>
      <c r="AE494">
        <v>0</v>
      </c>
      <c r="AF494">
        <v>0</v>
      </c>
      <c r="AG494">
        <v>0</v>
      </c>
      <c r="AH494">
        <v>0</v>
      </c>
      <c r="AI494">
        <v>0</v>
      </c>
      <c r="AJ494">
        <v>0</v>
      </c>
      <c r="AK494">
        <v>0</v>
      </c>
      <c r="AL494">
        <v>0</v>
      </c>
      <c r="AM494">
        <v>0</v>
      </c>
      <c r="AN494">
        <v>0</v>
      </c>
      <c r="AO494">
        <v>0</v>
      </c>
      <c r="AP494">
        <v>0</v>
      </c>
      <c r="AQ494">
        <v>0</v>
      </c>
      <c r="AR494">
        <v>0</v>
      </c>
      <c r="AS494">
        <v>0</v>
      </c>
      <c r="AT494">
        <v>0</v>
      </c>
      <c r="AU494">
        <v>0</v>
      </c>
      <c r="AV494">
        <v>0</v>
      </c>
      <c r="AW494">
        <v>0</v>
      </c>
      <c r="AX494">
        <v>0</v>
      </c>
      <c r="AY494">
        <v>0</v>
      </c>
      <c r="AZ494">
        <v>0</v>
      </c>
      <c r="BA494">
        <v>0</v>
      </c>
      <c r="BB494">
        <v>0</v>
      </c>
      <c r="BC494">
        <v>0</v>
      </c>
      <c r="BD494">
        <v>0</v>
      </c>
      <c r="BE494">
        <v>0</v>
      </c>
      <c r="BF494">
        <v>0</v>
      </c>
      <c r="BG494">
        <v>0</v>
      </c>
      <c r="BH494">
        <v>0</v>
      </c>
      <c r="BI494">
        <v>0</v>
      </c>
      <c r="BJ494">
        <v>0</v>
      </c>
      <c r="BK494">
        <v>0</v>
      </c>
      <c r="BL494">
        <v>0</v>
      </c>
      <c r="BM494">
        <v>0</v>
      </c>
      <c r="BN494">
        <v>0</v>
      </c>
      <c r="BO494">
        <v>0</v>
      </c>
      <c r="BP494">
        <v>0</v>
      </c>
      <c r="BQ494">
        <v>0</v>
      </c>
      <c r="BR494">
        <v>0</v>
      </c>
      <c r="BS494">
        <v>0</v>
      </c>
    </row>
    <row r="495" spans="1:71" x14ac:dyDescent="0.3">
      <c r="A495" t="s">
        <v>2216</v>
      </c>
      <c r="B495" t="s">
        <v>2217</v>
      </c>
      <c r="C495" t="s">
        <v>29</v>
      </c>
      <c r="D495" t="s">
        <v>29</v>
      </c>
      <c r="E495" t="s">
        <v>29</v>
      </c>
      <c r="F495" t="s">
        <v>2218</v>
      </c>
      <c r="G495" t="s">
        <v>1284</v>
      </c>
      <c r="H495">
        <v>2023</v>
      </c>
      <c r="I495">
        <v>54</v>
      </c>
      <c r="J495">
        <v>3</v>
      </c>
      <c r="K495" t="s">
        <v>29</v>
      </c>
      <c r="L495" t="s">
        <v>29</v>
      </c>
      <c r="M495" t="s">
        <v>32</v>
      </c>
      <c r="N495">
        <v>391</v>
      </c>
      <c r="O495">
        <v>401</v>
      </c>
      <c r="P495" t="s">
        <v>29</v>
      </c>
      <c r="Q495" t="s">
        <v>2219</v>
      </c>
      <c r="R495" t="s">
        <v>29</v>
      </c>
      <c r="S495" t="s">
        <v>29</v>
      </c>
      <c r="T495">
        <v>0</v>
      </c>
      <c r="U495">
        <v>0</v>
      </c>
      <c r="V495">
        <v>0</v>
      </c>
      <c r="W495">
        <v>0</v>
      </c>
      <c r="X495">
        <v>0</v>
      </c>
      <c r="Y495">
        <v>0</v>
      </c>
      <c r="Z495">
        <v>0</v>
      </c>
      <c r="AA495">
        <v>0</v>
      </c>
      <c r="AB495">
        <v>0</v>
      </c>
      <c r="AC495">
        <v>0</v>
      </c>
      <c r="AD495">
        <v>0</v>
      </c>
      <c r="AE495">
        <v>0</v>
      </c>
      <c r="AF495">
        <v>0</v>
      </c>
      <c r="AG495">
        <v>0</v>
      </c>
      <c r="AH495">
        <v>0</v>
      </c>
      <c r="AI495">
        <v>0</v>
      </c>
      <c r="AJ495">
        <v>0</v>
      </c>
      <c r="AK495">
        <v>0</v>
      </c>
      <c r="AL495">
        <v>0</v>
      </c>
      <c r="AM495">
        <v>0</v>
      </c>
      <c r="AN495">
        <v>0</v>
      </c>
      <c r="AO495">
        <v>0</v>
      </c>
      <c r="AP495">
        <v>0</v>
      </c>
      <c r="AQ495">
        <v>0</v>
      </c>
      <c r="AR495">
        <v>0</v>
      </c>
      <c r="AS495">
        <v>0</v>
      </c>
      <c r="AT495">
        <v>0</v>
      </c>
      <c r="AU495">
        <v>0</v>
      </c>
      <c r="AV495">
        <v>0</v>
      </c>
      <c r="AW495">
        <v>0</v>
      </c>
      <c r="AX495">
        <v>0</v>
      </c>
      <c r="AY495">
        <v>0</v>
      </c>
      <c r="AZ495">
        <v>0</v>
      </c>
      <c r="BA495">
        <v>0</v>
      </c>
      <c r="BB495">
        <v>0</v>
      </c>
      <c r="BC495">
        <v>0</v>
      </c>
      <c r="BD495">
        <v>0</v>
      </c>
      <c r="BE495">
        <v>0</v>
      </c>
      <c r="BF495">
        <v>0</v>
      </c>
      <c r="BG495">
        <v>0</v>
      </c>
      <c r="BH495">
        <v>0</v>
      </c>
      <c r="BI495">
        <v>0</v>
      </c>
      <c r="BJ495">
        <v>0</v>
      </c>
      <c r="BK495">
        <v>0</v>
      </c>
      <c r="BL495">
        <v>0</v>
      </c>
      <c r="BM495">
        <v>0</v>
      </c>
      <c r="BN495">
        <v>0</v>
      </c>
      <c r="BO495">
        <v>0</v>
      </c>
      <c r="BP495">
        <v>0</v>
      </c>
      <c r="BQ495">
        <v>0</v>
      </c>
      <c r="BR495">
        <v>0</v>
      </c>
      <c r="BS495">
        <v>0</v>
      </c>
    </row>
    <row r="496" spans="1:71" x14ac:dyDescent="0.3">
      <c r="A496" t="s">
        <v>2220</v>
      </c>
      <c r="B496" t="s">
        <v>2221</v>
      </c>
      <c r="C496" t="s">
        <v>29</v>
      </c>
      <c r="D496" t="s">
        <v>29</v>
      </c>
      <c r="E496" t="s">
        <v>29</v>
      </c>
      <c r="F496" t="s">
        <v>2222</v>
      </c>
      <c r="G496" t="s">
        <v>29</v>
      </c>
      <c r="H496">
        <v>2023</v>
      </c>
      <c r="I496" t="s">
        <v>29</v>
      </c>
      <c r="J496" t="s">
        <v>29</v>
      </c>
      <c r="K496" t="s">
        <v>29</v>
      </c>
      <c r="L496" t="s">
        <v>29</v>
      </c>
      <c r="M496" t="s">
        <v>29</v>
      </c>
      <c r="N496" t="s">
        <v>29</v>
      </c>
      <c r="O496" t="s">
        <v>29</v>
      </c>
      <c r="P496" t="s">
        <v>29</v>
      </c>
      <c r="Q496" t="s">
        <v>2223</v>
      </c>
      <c r="R496" t="s">
        <v>29</v>
      </c>
      <c r="S496" t="s">
        <v>29</v>
      </c>
      <c r="T496">
        <v>0</v>
      </c>
      <c r="U496">
        <v>0</v>
      </c>
      <c r="V496">
        <v>0</v>
      </c>
      <c r="W496">
        <v>0</v>
      </c>
      <c r="X496">
        <v>0</v>
      </c>
      <c r="Y496">
        <v>0</v>
      </c>
      <c r="Z496">
        <v>0</v>
      </c>
      <c r="AA496">
        <v>0</v>
      </c>
      <c r="AB496">
        <v>0</v>
      </c>
      <c r="AC496">
        <v>0</v>
      </c>
      <c r="AD496">
        <v>0</v>
      </c>
      <c r="AE496">
        <v>0</v>
      </c>
      <c r="AF496">
        <v>0</v>
      </c>
      <c r="AG496">
        <v>0</v>
      </c>
      <c r="AH496">
        <v>0</v>
      </c>
      <c r="AI496">
        <v>0</v>
      </c>
      <c r="AJ496">
        <v>0</v>
      </c>
      <c r="AK496">
        <v>0</v>
      </c>
      <c r="AL496">
        <v>0</v>
      </c>
      <c r="AM496">
        <v>0</v>
      </c>
      <c r="AN496">
        <v>0</v>
      </c>
      <c r="AO496">
        <v>0</v>
      </c>
      <c r="AP496">
        <v>0</v>
      </c>
      <c r="AQ496">
        <v>0</v>
      </c>
      <c r="AR496">
        <v>0</v>
      </c>
      <c r="AS496">
        <v>0</v>
      </c>
      <c r="AT496">
        <v>0</v>
      </c>
      <c r="AU496">
        <v>0</v>
      </c>
      <c r="AV496">
        <v>0</v>
      </c>
      <c r="AW496">
        <v>0</v>
      </c>
      <c r="AX496">
        <v>0</v>
      </c>
      <c r="AY496">
        <v>0</v>
      </c>
      <c r="AZ496">
        <v>0</v>
      </c>
      <c r="BA496">
        <v>0</v>
      </c>
      <c r="BB496">
        <v>0</v>
      </c>
      <c r="BC496">
        <v>0</v>
      </c>
      <c r="BD496">
        <v>0</v>
      </c>
      <c r="BE496">
        <v>0</v>
      </c>
      <c r="BF496">
        <v>0</v>
      </c>
      <c r="BG496">
        <v>0</v>
      </c>
      <c r="BH496">
        <v>0</v>
      </c>
      <c r="BI496">
        <v>0</v>
      </c>
      <c r="BJ496">
        <v>0</v>
      </c>
      <c r="BK496">
        <v>0</v>
      </c>
      <c r="BL496">
        <v>0</v>
      </c>
      <c r="BM496">
        <v>0</v>
      </c>
      <c r="BN496">
        <v>0</v>
      </c>
      <c r="BO496">
        <v>0</v>
      </c>
      <c r="BP496">
        <v>0</v>
      </c>
      <c r="BQ496">
        <v>0</v>
      </c>
      <c r="BR496">
        <v>0</v>
      </c>
      <c r="BS496">
        <v>0</v>
      </c>
    </row>
    <row r="497" spans="1:71" x14ac:dyDescent="0.3">
      <c r="A497" t="s">
        <v>2224</v>
      </c>
      <c r="B497" t="s">
        <v>2225</v>
      </c>
      <c r="C497" t="s">
        <v>29</v>
      </c>
      <c r="D497" t="s">
        <v>29</v>
      </c>
      <c r="E497" t="s">
        <v>29</v>
      </c>
      <c r="F497" t="s">
        <v>2226</v>
      </c>
      <c r="G497" t="s">
        <v>2227</v>
      </c>
      <c r="H497">
        <v>2023</v>
      </c>
      <c r="I497">
        <v>14</v>
      </c>
      <c r="J497">
        <v>5</v>
      </c>
      <c r="K497" t="s">
        <v>29</v>
      </c>
      <c r="L497" t="s">
        <v>29</v>
      </c>
      <c r="M497" t="s">
        <v>29</v>
      </c>
      <c r="N497">
        <v>6783</v>
      </c>
      <c r="O497">
        <v>6806</v>
      </c>
      <c r="P497" t="s">
        <v>29</v>
      </c>
      <c r="Q497" t="s">
        <v>2228</v>
      </c>
      <c r="R497" t="s">
        <v>29</v>
      </c>
      <c r="S497" t="s">
        <v>29</v>
      </c>
      <c r="T497">
        <v>0</v>
      </c>
      <c r="U497">
        <v>0</v>
      </c>
      <c r="V497">
        <v>0</v>
      </c>
      <c r="W497">
        <v>0</v>
      </c>
      <c r="X497">
        <v>0</v>
      </c>
      <c r="Y497">
        <v>0</v>
      </c>
      <c r="Z497">
        <v>0</v>
      </c>
      <c r="AA497">
        <v>0</v>
      </c>
      <c r="AB497">
        <v>0</v>
      </c>
      <c r="AC497">
        <v>0</v>
      </c>
      <c r="AD497">
        <v>0</v>
      </c>
      <c r="AE497">
        <v>0</v>
      </c>
      <c r="AF497">
        <v>0</v>
      </c>
      <c r="AG497">
        <v>0</v>
      </c>
      <c r="AH497">
        <v>0</v>
      </c>
      <c r="AI497">
        <v>0</v>
      </c>
      <c r="AJ497">
        <v>0</v>
      </c>
      <c r="AK497">
        <v>0</v>
      </c>
      <c r="AL497">
        <v>0</v>
      </c>
      <c r="AM497">
        <v>0</v>
      </c>
      <c r="AN497">
        <v>0</v>
      </c>
      <c r="AO497">
        <v>0</v>
      </c>
      <c r="AP497">
        <v>0</v>
      </c>
      <c r="AQ497">
        <v>0</v>
      </c>
      <c r="AR497">
        <v>0</v>
      </c>
      <c r="AS497">
        <v>0</v>
      </c>
      <c r="AT497">
        <v>0</v>
      </c>
      <c r="AU497">
        <v>0</v>
      </c>
      <c r="AV497">
        <v>0</v>
      </c>
      <c r="AW497">
        <v>0</v>
      </c>
      <c r="AX497">
        <v>0</v>
      </c>
      <c r="AY497">
        <v>0</v>
      </c>
      <c r="AZ497">
        <v>0</v>
      </c>
      <c r="BA497">
        <v>0</v>
      </c>
      <c r="BB497">
        <v>0</v>
      </c>
      <c r="BC497">
        <v>0</v>
      </c>
      <c r="BD497">
        <v>0</v>
      </c>
      <c r="BE497">
        <v>0</v>
      </c>
      <c r="BF497">
        <v>0</v>
      </c>
      <c r="BG497">
        <v>0</v>
      </c>
      <c r="BH497">
        <v>0</v>
      </c>
      <c r="BI497">
        <v>0</v>
      </c>
      <c r="BJ497">
        <v>0</v>
      </c>
      <c r="BK497">
        <v>0</v>
      </c>
      <c r="BL497">
        <v>0</v>
      </c>
      <c r="BM497">
        <v>0</v>
      </c>
      <c r="BN497">
        <v>0</v>
      </c>
      <c r="BO497">
        <v>0</v>
      </c>
      <c r="BP497">
        <v>0</v>
      </c>
      <c r="BQ497">
        <v>0</v>
      </c>
      <c r="BR497">
        <v>0</v>
      </c>
      <c r="BS497">
        <v>0</v>
      </c>
    </row>
    <row r="498" spans="1:71" x14ac:dyDescent="0.3">
      <c r="A498" t="s">
        <v>2229</v>
      </c>
      <c r="B498" t="s">
        <v>2230</v>
      </c>
      <c r="C498" t="s">
        <v>29</v>
      </c>
      <c r="D498" t="s">
        <v>29</v>
      </c>
      <c r="E498" t="s">
        <v>29</v>
      </c>
      <c r="F498" t="s">
        <v>2231</v>
      </c>
      <c r="G498" t="s">
        <v>2232</v>
      </c>
      <c r="H498">
        <v>2023</v>
      </c>
      <c r="I498">
        <v>202</v>
      </c>
      <c r="J498" t="s">
        <v>1190</v>
      </c>
      <c r="K498" t="s">
        <v>29</v>
      </c>
      <c r="L498" t="s">
        <v>29</v>
      </c>
      <c r="M498" t="s">
        <v>29</v>
      </c>
      <c r="N498">
        <v>96</v>
      </c>
      <c r="O498">
        <v>107</v>
      </c>
      <c r="P498" t="s">
        <v>29</v>
      </c>
      <c r="Q498" t="s">
        <v>2233</v>
      </c>
      <c r="R498" t="s">
        <v>29</v>
      </c>
      <c r="S498" t="s">
        <v>29</v>
      </c>
      <c r="T498">
        <v>0</v>
      </c>
      <c r="U498">
        <v>0</v>
      </c>
      <c r="V498">
        <v>0</v>
      </c>
      <c r="W498">
        <v>0</v>
      </c>
      <c r="X498">
        <v>0</v>
      </c>
      <c r="Y498">
        <v>0</v>
      </c>
      <c r="Z498">
        <v>0</v>
      </c>
      <c r="AA498">
        <v>0</v>
      </c>
      <c r="AB498">
        <v>0</v>
      </c>
      <c r="AC498">
        <v>0</v>
      </c>
      <c r="AD498">
        <v>0</v>
      </c>
      <c r="AE498">
        <v>0</v>
      </c>
      <c r="AF498">
        <v>0</v>
      </c>
      <c r="AG498">
        <v>0</v>
      </c>
      <c r="AH498">
        <v>0</v>
      </c>
      <c r="AI498">
        <v>0</v>
      </c>
      <c r="AJ498">
        <v>0</v>
      </c>
      <c r="AK498">
        <v>0</v>
      </c>
      <c r="AL498">
        <v>0</v>
      </c>
      <c r="AM498">
        <v>0</v>
      </c>
      <c r="AN498">
        <v>0</v>
      </c>
      <c r="AO498">
        <v>0</v>
      </c>
      <c r="AP498">
        <v>0</v>
      </c>
      <c r="AQ498">
        <v>0</v>
      </c>
      <c r="AR498">
        <v>0</v>
      </c>
      <c r="AS498">
        <v>0</v>
      </c>
      <c r="AT498">
        <v>0</v>
      </c>
      <c r="AU498">
        <v>0</v>
      </c>
      <c r="AV498">
        <v>0</v>
      </c>
      <c r="AW498">
        <v>0</v>
      </c>
      <c r="AX498">
        <v>0</v>
      </c>
      <c r="AY498">
        <v>0</v>
      </c>
      <c r="AZ498">
        <v>0</v>
      </c>
      <c r="BA498">
        <v>0</v>
      </c>
      <c r="BB498">
        <v>0</v>
      </c>
      <c r="BC498">
        <v>0</v>
      </c>
      <c r="BD498">
        <v>0</v>
      </c>
      <c r="BE498">
        <v>0</v>
      </c>
      <c r="BF498">
        <v>0</v>
      </c>
      <c r="BG498">
        <v>0</v>
      </c>
      <c r="BH498">
        <v>0</v>
      </c>
      <c r="BI498">
        <v>0</v>
      </c>
      <c r="BJ498">
        <v>0</v>
      </c>
      <c r="BK498">
        <v>0</v>
      </c>
      <c r="BL498">
        <v>0</v>
      </c>
      <c r="BM498">
        <v>0</v>
      </c>
      <c r="BN498">
        <v>0</v>
      </c>
      <c r="BO498">
        <v>0</v>
      </c>
      <c r="BP498">
        <v>0</v>
      </c>
      <c r="BQ498">
        <v>0</v>
      </c>
      <c r="BR498">
        <v>0</v>
      </c>
      <c r="BS498">
        <v>0</v>
      </c>
    </row>
    <row r="499" spans="1:71" x14ac:dyDescent="0.3">
      <c r="A499" t="s">
        <v>2234</v>
      </c>
      <c r="B499" t="s">
        <v>2235</v>
      </c>
      <c r="C499" t="s">
        <v>29</v>
      </c>
      <c r="D499" t="s">
        <v>29</v>
      </c>
      <c r="E499" t="s">
        <v>29</v>
      </c>
      <c r="F499" t="s">
        <v>1144</v>
      </c>
      <c r="G499" t="s">
        <v>2232</v>
      </c>
      <c r="H499">
        <v>2023</v>
      </c>
      <c r="I499">
        <v>10</v>
      </c>
      <c r="J499">
        <v>3</v>
      </c>
      <c r="K499" t="s">
        <v>29</v>
      </c>
      <c r="L499" t="s">
        <v>29</v>
      </c>
      <c r="M499" t="s">
        <v>29</v>
      </c>
      <c r="N499">
        <v>267</v>
      </c>
      <c r="O499">
        <v>284</v>
      </c>
      <c r="P499" t="s">
        <v>29</v>
      </c>
      <c r="Q499" t="s">
        <v>2236</v>
      </c>
      <c r="R499" t="s">
        <v>29</v>
      </c>
      <c r="S499" t="s">
        <v>29</v>
      </c>
      <c r="T499">
        <v>0</v>
      </c>
      <c r="U499">
        <v>0</v>
      </c>
      <c r="V499">
        <v>0</v>
      </c>
      <c r="W499">
        <v>0</v>
      </c>
      <c r="X499">
        <v>0</v>
      </c>
      <c r="Y499">
        <v>0</v>
      </c>
      <c r="Z499">
        <v>0</v>
      </c>
      <c r="AA499">
        <v>0</v>
      </c>
      <c r="AB499">
        <v>0</v>
      </c>
      <c r="AC499">
        <v>0</v>
      </c>
      <c r="AD499">
        <v>0</v>
      </c>
      <c r="AE499">
        <v>0</v>
      </c>
      <c r="AF499">
        <v>0</v>
      </c>
      <c r="AG499">
        <v>0</v>
      </c>
      <c r="AH499">
        <v>0</v>
      </c>
      <c r="AI499">
        <v>0</v>
      </c>
      <c r="AJ499">
        <v>0</v>
      </c>
      <c r="AK499">
        <v>0</v>
      </c>
      <c r="AL499">
        <v>0</v>
      </c>
      <c r="AM499">
        <v>0</v>
      </c>
      <c r="AN499">
        <v>0</v>
      </c>
      <c r="AO499">
        <v>0</v>
      </c>
      <c r="AP499">
        <v>0</v>
      </c>
      <c r="AQ499">
        <v>0</v>
      </c>
      <c r="AR499">
        <v>0</v>
      </c>
      <c r="AS499">
        <v>0</v>
      </c>
      <c r="AT499">
        <v>0</v>
      </c>
      <c r="AU499">
        <v>0</v>
      </c>
      <c r="AV499">
        <v>0</v>
      </c>
      <c r="AW499">
        <v>0</v>
      </c>
      <c r="AX499">
        <v>0</v>
      </c>
      <c r="AY499">
        <v>0</v>
      </c>
      <c r="AZ499">
        <v>0</v>
      </c>
      <c r="BA499">
        <v>0</v>
      </c>
      <c r="BB499">
        <v>0</v>
      </c>
      <c r="BC499">
        <v>0</v>
      </c>
      <c r="BD499">
        <v>0</v>
      </c>
      <c r="BE499">
        <v>0</v>
      </c>
      <c r="BF499">
        <v>0</v>
      </c>
      <c r="BG499">
        <v>0</v>
      </c>
      <c r="BH499">
        <v>0</v>
      </c>
      <c r="BI499">
        <v>0</v>
      </c>
      <c r="BJ499">
        <v>0</v>
      </c>
      <c r="BK499">
        <v>0</v>
      </c>
      <c r="BL499">
        <v>0</v>
      </c>
      <c r="BM499">
        <v>0</v>
      </c>
      <c r="BN499">
        <v>0</v>
      </c>
      <c r="BO499">
        <v>0</v>
      </c>
      <c r="BP499">
        <v>0</v>
      </c>
      <c r="BQ499">
        <v>0</v>
      </c>
      <c r="BR499">
        <v>0</v>
      </c>
      <c r="BS499">
        <v>0</v>
      </c>
    </row>
    <row r="500" spans="1:71" x14ac:dyDescent="0.3">
      <c r="A500" t="s">
        <v>2237</v>
      </c>
      <c r="B500" t="s">
        <v>2238</v>
      </c>
      <c r="C500" t="s">
        <v>29</v>
      </c>
      <c r="D500" t="s">
        <v>29</v>
      </c>
      <c r="E500" t="s">
        <v>29</v>
      </c>
      <c r="F500" t="s">
        <v>1269</v>
      </c>
      <c r="G500" t="s">
        <v>743</v>
      </c>
      <c r="H500">
        <v>2023</v>
      </c>
      <c r="I500">
        <v>16</v>
      </c>
      <c r="J500">
        <v>2</v>
      </c>
      <c r="K500" t="s">
        <v>29</v>
      </c>
      <c r="L500" t="s">
        <v>29</v>
      </c>
      <c r="M500" t="s">
        <v>29</v>
      </c>
      <c r="N500">
        <v>965</v>
      </c>
      <c r="O500">
        <v>984</v>
      </c>
      <c r="P500" t="s">
        <v>29</v>
      </c>
      <c r="Q500" t="s">
        <v>2239</v>
      </c>
      <c r="R500" t="s">
        <v>29</v>
      </c>
      <c r="S500" t="s">
        <v>29</v>
      </c>
      <c r="T500">
        <v>0</v>
      </c>
      <c r="U500">
        <v>0</v>
      </c>
      <c r="V500">
        <v>0</v>
      </c>
      <c r="W500">
        <v>0</v>
      </c>
      <c r="X500">
        <v>0</v>
      </c>
      <c r="Y500">
        <v>0</v>
      </c>
      <c r="Z500">
        <v>0</v>
      </c>
      <c r="AA500">
        <v>0</v>
      </c>
      <c r="AB500">
        <v>0</v>
      </c>
      <c r="AC500">
        <v>0</v>
      </c>
      <c r="AD500">
        <v>0</v>
      </c>
      <c r="AE500">
        <v>0</v>
      </c>
      <c r="AF500">
        <v>0</v>
      </c>
      <c r="AG500">
        <v>0</v>
      </c>
      <c r="AH500">
        <v>0</v>
      </c>
      <c r="AI500">
        <v>0</v>
      </c>
      <c r="AJ500">
        <v>0</v>
      </c>
      <c r="AK500">
        <v>0</v>
      </c>
      <c r="AL500">
        <v>0</v>
      </c>
      <c r="AM500">
        <v>0</v>
      </c>
      <c r="AN500">
        <v>0</v>
      </c>
      <c r="AO500">
        <v>0</v>
      </c>
      <c r="AP500">
        <v>0</v>
      </c>
      <c r="AQ500">
        <v>0</v>
      </c>
      <c r="AR500">
        <v>0</v>
      </c>
      <c r="AS500">
        <v>0</v>
      </c>
      <c r="AT500">
        <v>0</v>
      </c>
      <c r="AU500">
        <v>0</v>
      </c>
      <c r="AV500">
        <v>0</v>
      </c>
      <c r="AW500">
        <v>0</v>
      </c>
      <c r="AX500">
        <v>0</v>
      </c>
      <c r="AY500">
        <v>0</v>
      </c>
      <c r="AZ500">
        <v>0</v>
      </c>
      <c r="BA500">
        <v>0</v>
      </c>
      <c r="BB500">
        <v>0</v>
      </c>
      <c r="BC500">
        <v>0</v>
      </c>
      <c r="BD500">
        <v>0</v>
      </c>
      <c r="BE500">
        <v>0</v>
      </c>
      <c r="BF500">
        <v>0</v>
      </c>
      <c r="BG500">
        <v>0</v>
      </c>
      <c r="BH500">
        <v>0</v>
      </c>
      <c r="BI500">
        <v>0</v>
      </c>
      <c r="BJ500">
        <v>0</v>
      </c>
      <c r="BK500">
        <v>0</v>
      </c>
      <c r="BL500">
        <v>0</v>
      </c>
      <c r="BM500">
        <v>0</v>
      </c>
      <c r="BN500">
        <v>0</v>
      </c>
      <c r="BO500">
        <v>0</v>
      </c>
      <c r="BP500">
        <v>0</v>
      </c>
      <c r="BQ500">
        <v>0</v>
      </c>
      <c r="BR500">
        <v>0</v>
      </c>
      <c r="BS500">
        <v>0</v>
      </c>
    </row>
    <row r="501" spans="1:71" x14ac:dyDescent="0.3">
      <c r="A501" t="s">
        <v>2240</v>
      </c>
      <c r="B501" t="s">
        <v>2241</v>
      </c>
      <c r="C501" t="s">
        <v>29</v>
      </c>
      <c r="D501" t="s">
        <v>29</v>
      </c>
      <c r="E501" t="s">
        <v>29</v>
      </c>
      <c r="F501" t="s">
        <v>710</v>
      </c>
      <c r="G501" t="s">
        <v>743</v>
      </c>
      <c r="H501">
        <v>2023</v>
      </c>
      <c r="I501">
        <v>12</v>
      </c>
      <c r="J501">
        <v>63</v>
      </c>
      <c r="K501" t="s">
        <v>29</v>
      </c>
      <c r="L501" t="s">
        <v>29</v>
      </c>
      <c r="M501" t="s">
        <v>29</v>
      </c>
      <c r="N501">
        <v>330</v>
      </c>
      <c r="O501">
        <v>340</v>
      </c>
      <c r="P501" t="s">
        <v>29</v>
      </c>
      <c r="Q501" t="s">
        <v>2242</v>
      </c>
      <c r="R501" t="s">
        <v>29</v>
      </c>
      <c r="S501" t="s">
        <v>29</v>
      </c>
      <c r="T501">
        <v>0</v>
      </c>
      <c r="U501">
        <v>0</v>
      </c>
      <c r="V501">
        <v>0</v>
      </c>
      <c r="W501">
        <v>0</v>
      </c>
      <c r="X501">
        <v>0</v>
      </c>
      <c r="Y501">
        <v>0</v>
      </c>
      <c r="Z501">
        <v>0</v>
      </c>
      <c r="AA501">
        <v>0</v>
      </c>
      <c r="AB501">
        <v>0</v>
      </c>
      <c r="AC501">
        <v>0</v>
      </c>
      <c r="AD501">
        <v>0</v>
      </c>
      <c r="AE501">
        <v>0</v>
      </c>
      <c r="AF501">
        <v>0</v>
      </c>
      <c r="AG501">
        <v>0</v>
      </c>
      <c r="AH501">
        <v>0</v>
      </c>
      <c r="AI501">
        <v>0</v>
      </c>
      <c r="AJ501">
        <v>0</v>
      </c>
      <c r="AK501">
        <v>0</v>
      </c>
      <c r="AL501">
        <v>0</v>
      </c>
      <c r="AM501">
        <v>0</v>
      </c>
      <c r="AN501">
        <v>0</v>
      </c>
      <c r="AO501">
        <v>0</v>
      </c>
      <c r="AP501">
        <v>0</v>
      </c>
      <c r="AQ501">
        <v>0</v>
      </c>
      <c r="AR501">
        <v>0</v>
      </c>
      <c r="AS501">
        <v>0</v>
      </c>
      <c r="AT501">
        <v>0</v>
      </c>
      <c r="AU501">
        <v>0</v>
      </c>
      <c r="AV501">
        <v>0</v>
      </c>
      <c r="AW501">
        <v>0</v>
      </c>
      <c r="AX501">
        <v>0</v>
      </c>
      <c r="AY501">
        <v>0</v>
      </c>
      <c r="AZ501">
        <v>0</v>
      </c>
      <c r="BA501">
        <v>0</v>
      </c>
      <c r="BB501">
        <v>0</v>
      </c>
      <c r="BC501">
        <v>0</v>
      </c>
      <c r="BD501">
        <v>0</v>
      </c>
      <c r="BE501">
        <v>0</v>
      </c>
      <c r="BF501">
        <v>0</v>
      </c>
      <c r="BG501">
        <v>0</v>
      </c>
      <c r="BH501">
        <v>0</v>
      </c>
      <c r="BI501">
        <v>0</v>
      </c>
      <c r="BJ501">
        <v>0</v>
      </c>
      <c r="BK501">
        <v>0</v>
      </c>
      <c r="BL501">
        <v>0</v>
      </c>
      <c r="BM501">
        <v>0</v>
      </c>
      <c r="BN501">
        <v>0</v>
      </c>
      <c r="BO501">
        <v>0</v>
      </c>
      <c r="BP501">
        <v>0</v>
      </c>
      <c r="BQ501">
        <v>0</v>
      </c>
      <c r="BR501">
        <v>0</v>
      </c>
      <c r="BS501">
        <v>0</v>
      </c>
    </row>
    <row r="502" spans="1:71" x14ac:dyDescent="0.3">
      <c r="A502" t="s">
        <v>2243</v>
      </c>
      <c r="B502" t="s">
        <v>2244</v>
      </c>
      <c r="C502" t="s">
        <v>29</v>
      </c>
      <c r="D502" t="s">
        <v>29</v>
      </c>
      <c r="E502" t="s">
        <v>29</v>
      </c>
      <c r="F502" t="s">
        <v>2245</v>
      </c>
      <c r="G502">
        <v>2023</v>
      </c>
      <c r="H502">
        <v>2023</v>
      </c>
      <c r="I502">
        <v>95</v>
      </c>
      <c r="J502">
        <v>6</v>
      </c>
      <c r="K502" t="s">
        <v>29</v>
      </c>
      <c r="L502" t="s">
        <v>2246</v>
      </c>
      <c r="M502" t="s">
        <v>29</v>
      </c>
      <c r="N502">
        <v>123</v>
      </c>
      <c r="O502">
        <v>131</v>
      </c>
      <c r="P502" t="s">
        <v>29</v>
      </c>
      <c r="Q502" t="s">
        <v>2247</v>
      </c>
      <c r="R502" t="s">
        <v>29</v>
      </c>
      <c r="S502" t="s">
        <v>29</v>
      </c>
      <c r="T502">
        <v>0</v>
      </c>
      <c r="U502">
        <v>0</v>
      </c>
      <c r="V502">
        <v>0</v>
      </c>
      <c r="W502">
        <v>0</v>
      </c>
      <c r="X502">
        <v>0</v>
      </c>
      <c r="Y502">
        <v>0</v>
      </c>
      <c r="Z502">
        <v>0</v>
      </c>
      <c r="AA502">
        <v>0</v>
      </c>
      <c r="AB502">
        <v>0</v>
      </c>
      <c r="AC502">
        <v>0</v>
      </c>
      <c r="AD502">
        <v>0</v>
      </c>
      <c r="AE502">
        <v>0</v>
      </c>
      <c r="AF502">
        <v>0</v>
      </c>
      <c r="AG502">
        <v>0</v>
      </c>
      <c r="AH502">
        <v>0</v>
      </c>
      <c r="AI502">
        <v>0</v>
      </c>
      <c r="AJ502">
        <v>0</v>
      </c>
      <c r="AK502">
        <v>0</v>
      </c>
      <c r="AL502">
        <v>0</v>
      </c>
      <c r="AM502">
        <v>0</v>
      </c>
      <c r="AN502">
        <v>0</v>
      </c>
      <c r="AO502">
        <v>0</v>
      </c>
      <c r="AP502">
        <v>0</v>
      </c>
      <c r="AQ502">
        <v>0</v>
      </c>
      <c r="AR502">
        <v>0</v>
      </c>
      <c r="AS502">
        <v>0</v>
      </c>
      <c r="AT502">
        <v>0</v>
      </c>
      <c r="AU502">
        <v>0</v>
      </c>
      <c r="AV502">
        <v>0</v>
      </c>
      <c r="AW502">
        <v>0</v>
      </c>
      <c r="AX502">
        <v>0</v>
      </c>
      <c r="AY502">
        <v>0</v>
      </c>
      <c r="AZ502">
        <v>0</v>
      </c>
      <c r="BA502">
        <v>0</v>
      </c>
      <c r="BB502">
        <v>0</v>
      </c>
      <c r="BC502">
        <v>0</v>
      </c>
      <c r="BD502">
        <v>0</v>
      </c>
      <c r="BE502">
        <v>0</v>
      </c>
      <c r="BF502">
        <v>0</v>
      </c>
      <c r="BG502">
        <v>0</v>
      </c>
      <c r="BH502">
        <v>0</v>
      </c>
      <c r="BI502">
        <v>0</v>
      </c>
      <c r="BJ502">
        <v>0</v>
      </c>
      <c r="BK502">
        <v>0</v>
      </c>
      <c r="BL502">
        <v>0</v>
      </c>
      <c r="BM502">
        <v>0</v>
      </c>
      <c r="BN502">
        <v>0</v>
      </c>
      <c r="BO502">
        <v>0</v>
      </c>
      <c r="BP502">
        <v>0</v>
      </c>
      <c r="BQ502">
        <v>0</v>
      </c>
      <c r="BR502">
        <v>0</v>
      </c>
      <c r="BS502">
        <v>0</v>
      </c>
    </row>
    <row r="503" spans="1:71" x14ac:dyDescent="0.3">
      <c r="A503" t="s">
        <v>2248</v>
      </c>
      <c r="B503" t="s">
        <v>2249</v>
      </c>
      <c r="C503" t="s">
        <v>29</v>
      </c>
      <c r="D503" t="s">
        <v>29</v>
      </c>
      <c r="E503" t="s">
        <v>2250</v>
      </c>
      <c r="F503" t="s">
        <v>2251</v>
      </c>
      <c r="G503">
        <v>2023</v>
      </c>
      <c r="H503">
        <v>2023</v>
      </c>
      <c r="I503">
        <v>13869</v>
      </c>
      <c r="J503" t="s">
        <v>29</v>
      </c>
      <c r="K503" t="s">
        <v>29</v>
      </c>
      <c r="L503" t="s">
        <v>29</v>
      </c>
      <c r="M503" t="s">
        <v>29</v>
      </c>
      <c r="N503">
        <v>63</v>
      </c>
      <c r="O503">
        <v>73</v>
      </c>
      <c r="P503" t="s">
        <v>29</v>
      </c>
      <c r="Q503" t="s">
        <v>2252</v>
      </c>
      <c r="R503" t="s">
        <v>2253</v>
      </c>
      <c r="S503" t="s">
        <v>2254</v>
      </c>
      <c r="T503">
        <v>0</v>
      </c>
      <c r="U503">
        <v>0</v>
      </c>
      <c r="V503">
        <v>0</v>
      </c>
      <c r="W503">
        <v>0</v>
      </c>
      <c r="X503">
        <v>0</v>
      </c>
      <c r="Y503">
        <v>0</v>
      </c>
      <c r="Z503">
        <v>0</v>
      </c>
      <c r="AA503">
        <v>0</v>
      </c>
      <c r="AB503">
        <v>0</v>
      </c>
      <c r="AC503">
        <v>0</v>
      </c>
      <c r="AD503">
        <v>0</v>
      </c>
      <c r="AE503">
        <v>0</v>
      </c>
      <c r="AF503">
        <v>0</v>
      </c>
      <c r="AG503">
        <v>0</v>
      </c>
      <c r="AH503">
        <v>0</v>
      </c>
      <c r="AI503">
        <v>0</v>
      </c>
      <c r="AJ503">
        <v>0</v>
      </c>
      <c r="AK503">
        <v>0</v>
      </c>
      <c r="AL503">
        <v>0</v>
      </c>
      <c r="AM503">
        <v>0</v>
      </c>
      <c r="AN503">
        <v>0</v>
      </c>
      <c r="AO503">
        <v>0</v>
      </c>
      <c r="AP503">
        <v>0</v>
      </c>
      <c r="AQ503">
        <v>0</v>
      </c>
      <c r="AR503">
        <v>0</v>
      </c>
      <c r="AS503">
        <v>0</v>
      </c>
      <c r="AT503">
        <v>0</v>
      </c>
      <c r="AU503">
        <v>0</v>
      </c>
      <c r="AV503">
        <v>0</v>
      </c>
      <c r="AW503">
        <v>0</v>
      </c>
      <c r="AX503">
        <v>0</v>
      </c>
      <c r="AY503">
        <v>0</v>
      </c>
      <c r="AZ503">
        <v>0</v>
      </c>
      <c r="BA503">
        <v>0</v>
      </c>
      <c r="BB503">
        <v>0</v>
      </c>
      <c r="BC503">
        <v>0</v>
      </c>
      <c r="BD503">
        <v>0</v>
      </c>
      <c r="BE503">
        <v>0</v>
      </c>
      <c r="BF503">
        <v>0</v>
      </c>
      <c r="BG503">
        <v>0</v>
      </c>
      <c r="BH503">
        <v>0</v>
      </c>
      <c r="BI503">
        <v>0</v>
      </c>
      <c r="BJ503">
        <v>0</v>
      </c>
      <c r="BK503">
        <v>0</v>
      </c>
      <c r="BL503">
        <v>0</v>
      </c>
      <c r="BM503">
        <v>0</v>
      </c>
      <c r="BN503">
        <v>0</v>
      </c>
      <c r="BO503">
        <v>0</v>
      </c>
      <c r="BP503">
        <v>0</v>
      </c>
      <c r="BQ503">
        <v>0</v>
      </c>
      <c r="BR503">
        <v>0</v>
      </c>
      <c r="BS503">
        <v>0</v>
      </c>
    </row>
    <row r="504" spans="1:71" x14ac:dyDescent="0.3">
      <c r="A504" t="s">
        <v>2255</v>
      </c>
      <c r="B504" t="s">
        <v>2256</v>
      </c>
      <c r="C504" t="s">
        <v>29</v>
      </c>
      <c r="D504" t="s">
        <v>29</v>
      </c>
      <c r="E504" t="s">
        <v>29</v>
      </c>
      <c r="F504" t="s">
        <v>2257</v>
      </c>
      <c r="G504">
        <v>2023</v>
      </c>
      <c r="H504">
        <v>2023</v>
      </c>
      <c r="I504">
        <v>35</v>
      </c>
      <c r="J504">
        <v>4</v>
      </c>
      <c r="K504">
        <v>3</v>
      </c>
      <c r="L504" t="s">
        <v>29</v>
      </c>
      <c r="M504" t="s">
        <v>32</v>
      </c>
      <c r="N504">
        <v>1375</v>
      </c>
      <c r="O504">
        <v>1384</v>
      </c>
      <c r="P504" t="s">
        <v>29</v>
      </c>
      <c r="Q504" t="s">
        <v>2258</v>
      </c>
      <c r="R504" t="s">
        <v>29</v>
      </c>
      <c r="S504" t="s">
        <v>29</v>
      </c>
      <c r="T504">
        <v>0</v>
      </c>
      <c r="U504">
        <v>0</v>
      </c>
      <c r="V504">
        <v>0</v>
      </c>
      <c r="W504">
        <v>0</v>
      </c>
      <c r="X504">
        <v>0</v>
      </c>
      <c r="Y504">
        <v>0</v>
      </c>
      <c r="Z504">
        <v>0</v>
      </c>
      <c r="AA504">
        <v>0</v>
      </c>
      <c r="AB504">
        <v>0</v>
      </c>
      <c r="AC504">
        <v>0</v>
      </c>
      <c r="AD504">
        <v>0</v>
      </c>
      <c r="AE504">
        <v>0</v>
      </c>
      <c r="AF504">
        <v>0</v>
      </c>
      <c r="AG504">
        <v>0</v>
      </c>
      <c r="AH504">
        <v>0</v>
      </c>
      <c r="AI504">
        <v>0</v>
      </c>
      <c r="AJ504">
        <v>0</v>
      </c>
      <c r="AK504">
        <v>0</v>
      </c>
      <c r="AL504">
        <v>0</v>
      </c>
      <c r="AM504">
        <v>0</v>
      </c>
      <c r="AN504">
        <v>0</v>
      </c>
      <c r="AO504">
        <v>0</v>
      </c>
      <c r="AP504">
        <v>0</v>
      </c>
      <c r="AQ504">
        <v>0</v>
      </c>
      <c r="AR504">
        <v>0</v>
      </c>
      <c r="AS504">
        <v>0</v>
      </c>
      <c r="AT504">
        <v>0</v>
      </c>
      <c r="AU504">
        <v>0</v>
      </c>
      <c r="AV504">
        <v>0</v>
      </c>
      <c r="AW504">
        <v>0</v>
      </c>
      <c r="AX504">
        <v>0</v>
      </c>
      <c r="AY504">
        <v>0</v>
      </c>
      <c r="AZ504">
        <v>0</v>
      </c>
      <c r="BA504">
        <v>0</v>
      </c>
      <c r="BB504">
        <v>0</v>
      </c>
      <c r="BC504">
        <v>0</v>
      </c>
      <c r="BD504">
        <v>0</v>
      </c>
      <c r="BE504">
        <v>0</v>
      </c>
      <c r="BF504">
        <v>0</v>
      </c>
      <c r="BG504">
        <v>0</v>
      </c>
      <c r="BH504">
        <v>0</v>
      </c>
      <c r="BI504">
        <v>0</v>
      </c>
      <c r="BJ504">
        <v>0</v>
      </c>
      <c r="BK504">
        <v>0</v>
      </c>
      <c r="BL504">
        <v>0</v>
      </c>
      <c r="BM504">
        <v>0</v>
      </c>
      <c r="BN504">
        <v>0</v>
      </c>
      <c r="BO504">
        <v>0</v>
      </c>
      <c r="BP504">
        <v>0</v>
      </c>
      <c r="BQ504">
        <v>0</v>
      </c>
      <c r="BR504">
        <v>0</v>
      </c>
      <c r="BS504">
        <v>0</v>
      </c>
    </row>
    <row r="505" spans="1:71" x14ac:dyDescent="0.3">
      <c r="A505" t="s">
        <v>2259</v>
      </c>
      <c r="B505" t="s">
        <v>2260</v>
      </c>
      <c r="C505" t="s">
        <v>29</v>
      </c>
      <c r="D505" t="s">
        <v>29</v>
      </c>
      <c r="E505" t="s">
        <v>29</v>
      </c>
      <c r="F505" t="s">
        <v>2261</v>
      </c>
      <c r="G505">
        <v>2023</v>
      </c>
      <c r="H505">
        <v>2023</v>
      </c>
      <c r="I505">
        <v>16</v>
      </c>
      <c r="J505" t="s">
        <v>29</v>
      </c>
      <c r="K505" t="s">
        <v>29</v>
      </c>
      <c r="L505" t="s">
        <v>29</v>
      </c>
      <c r="M505">
        <v>2</v>
      </c>
      <c r="N505">
        <v>361</v>
      </c>
      <c r="O505">
        <v>371</v>
      </c>
      <c r="P505" t="s">
        <v>29</v>
      </c>
      <c r="Q505" t="s">
        <v>2262</v>
      </c>
      <c r="R505" t="s">
        <v>29</v>
      </c>
      <c r="S505" t="s">
        <v>29</v>
      </c>
      <c r="T505">
        <v>0</v>
      </c>
      <c r="U505">
        <v>0</v>
      </c>
      <c r="V505">
        <v>0</v>
      </c>
      <c r="W505">
        <v>0</v>
      </c>
      <c r="X505">
        <v>0</v>
      </c>
      <c r="Y505">
        <v>0</v>
      </c>
      <c r="Z505">
        <v>0</v>
      </c>
      <c r="AA505">
        <v>0</v>
      </c>
      <c r="AB505">
        <v>0</v>
      </c>
      <c r="AC505">
        <v>0</v>
      </c>
      <c r="AD505">
        <v>0</v>
      </c>
      <c r="AE505">
        <v>0</v>
      </c>
      <c r="AF505">
        <v>0</v>
      </c>
      <c r="AG505">
        <v>0</v>
      </c>
      <c r="AH505">
        <v>0</v>
      </c>
      <c r="AI505">
        <v>0</v>
      </c>
      <c r="AJ505">
        <v>0</v>
      </c>
      <c r="AK505">
        <v>0</v>
      </c>
      <c r="AL505">
        <v>0</v>
      </c>
      <c r="AM505">
        <v>0</v>
      </c>
      <c r="AN505">
        <v>0</v>
      </c>
      <c r="AO505">
        <v>0</v>
      </c>
      <c r="AP505">
        <v>0</v>
      </c>
      <c r="AQ505">
        <v>0</v>
      </c>
      <c r="AR505">
        <v>0</v>
      </c>
      <c r="AS505">
        <v>0</v>
      </c>
      <c r="AT505">
        <v>0</v>
      </c>
      <c r="AU505">
        <v>0</v>
      </c>
      <c r="AV505">
        <v>0</v>
      </c>
      <c r="AW505">
        <v>0</v>
      </c>
      <c r="AX505">
        <v>0</v>
      </c>
      <c r="AY505">
        <v>0</v>
      </c>
      <c r="AZ505">
        <v>0</v>
      </c>
      <c r="BA505">
        <v>0</v>
      </c>
      <c r="BB505">
        <v>0</v>
      </c>
      <c r="BC505">
        <v>0</v>
      </c>
      <c r="BD505">
        <v>0</v>
      </c>
      <c r="BE505">
        <v>0</v>
      </c>
      <c r="BF505">
        <v>0</v>
      </c>
      <c r="BG505">
        <v>0</v>
      </c>
      <c r="BH505">
        <v>0</v>
      </c>
      <c r="BI505">
        <v>0</v>
      </c>
      <c r="BJ505">
        <v>0</v>
      </c>
      <c r="BK505">
        <v>0</v>
      </c>
      <c r="BL505">
        <v>0</v>
      </c>
      <c r="BM505">
        <v>0</v>
      </c>
      <c r="BN505">
        <v>0</v>
      </c>
      <c r="BO505">
        <v>0</v>
      </c>
      <c r="BP505">
        <v>0</v>
      </c>
      <c r="BQ505">
        <v>0</v>
      </c>
      <c r="BR505">
        <v>0</v>
      </c>
      <c r="BS505">
        <v>0</v>
      </c>
    </row>
    <row r="506" spans="1:71" x14ac:dyDescent="0.3">
      <c r="A506" t="s">
        <v>2263</v>
      </c>
      <c r="B506" t="s">
        <v>2264</v>
      </c>
      <c r="C506" t="s">
        <v>29</v>
      </c>
      <c r="D506" t="s">
        <v>29</v>
      </c>
      <c r="E506" t="s">
        <v>29</v>
      </c>
      <c r="F506" t="s">
        <v>2265</v>
      </c>
      <c r="G506" t="s">
        <v>804</v>
      </c>
      <c r="H506">
        <v>2022</v>
      </c>
      <c r="I506">
        <v>12</v>
      </c>
      <c r="J506">
        <v>2</v>
      </c>
      <c r="K506" t="s">
        <v>29</v>
      </c>
      <c r="L506" t="s">
        <v>29</v>
      </c>
      <c r="M506" t="s">
        <v>29</v>
      </c>
      <c r="N506">
        <v>350</v>
      </c>
      <c r="O506">
        <v>363</v>
      </c>
      <c r="P506" t="s">
        <v>29</v>
      </c>
      <c r="Q506" t="s">
        <v>2266</v>
      </c>
      <c r="R506" t="s">
        <v>29</v>
      </c>
      <c r="S506" t="s">
        <v>29</v>
      </c>
      <c r="T506">
        <v>0</v>
      </c>
      <c r="U506">
        <v>0</v>
      </c>
      <c r="V506">
        <v>0</v>
      </c>
      <c r="W506">
        <v>0</v>
      </c>
      <c r="X506">
        <v>0</v>
      </c>
      <c r="Y506">
        <v>0</v>
      </c>
      <c r="Z506">
        <v>0</v>
      </c>
      <c r="AA506">
        <v>0</v>
      </c>
      <c r="AB506">
        <v>0</v>
      </c>
      <c r="AC506">
        <v>0</v>
      </c>
      <c r="AD506">
        <v>0</v>
      </c>
      <c r="AE506">
        <v>0</v>
      </c>
      <c r="AF506">
        <v>0</v>
      </c>
      <c r="AG506">
        <v>0</v>
      </c>
      <c r="AH506">
        <v>0</v>
      </c>
      <c r="AI506">
        <v>0</v>
      </c>
      <c r="AJ506">
        <v>0</v>
      </c>
      <c r="AK506">
        <v>0</v>
      </c>
      <c r="AL506">
        <v>0</v>
      </c>
      <c r="AM506">
        <v>0</v>
      </c>
      <c r="AN506">
        <v>0</v>
      </c>
      <c r="AO506">
        <v>0</v>
      </c>
      <c r="AP506">
        <v>0</v>
      </c>
      <c r="AQ506">
        <v>0</v>
      </c>
      <c r="AR506">
        <v>0</v>
      </c>
      <c r="AS506">
        <v>0</v>
      </c>
      <c r="AT506">
        <v>0</v>
      </c>
      <c r="AU506">
        <v>0</v>
      </c>
      <c r="AV506">
        <v>0</v>
      </c>
      <c r="AW506">
        <v>0</v>
      </c>
      <c r="AX506">
        <v>0</v>
      </c>
      <c r="AY506">
        <v>0</v>
      </c>
      <c r="AZ506">
        <v>0</v>
      </c>
      <c r="BA506">
        <v>0</v>
      </c>
      <c r="BB506">
        <v>0</v>
      </c>
      <c r="BC506">
        <v>0</v>
      </c>
      <c r="BD506">
        <v>0</v>
      </c>
      <c r="BE506">
        <v>0</v>
      </c>
      <c r="BF506">
        <v>0</v>
      </c>
      <c r="BG506">
        <v>0</v>
      </c>
      <c r="BH506">
        <v>0</v>
      </c>
      <c r="BI506">
        <v>0</v>
      </c>
      <c r="BJ506">
        <v>0</v>
      </c>
      <c r="BK506">
        <v>0</v>
      </c>
      <c r="BL506">
        <v>0</v>
      </c>
      <c r="BM506">
        <v>0</v>
      </c>
      <c r="BN506">
        <v>0</v>
      </c>
      <c r="BO506">
        <v>0</v>
      </c>
      <c r="BP506">
        <v>0</v>
      </c>
      <c r="BQ506">
        <v>0</v>
      </c>
      <c r="BR506">
        <v>0</v>
      </c>
      <c r="BS506">
        <v>0</v>
      </c>
    </row>
    <row r="507" spans="1:71" x14ac:dyDescent="0.3">
      <c r="A507" t="s">
        <v>2267</v>
      </c>
      <c r="B507" t="s">
        <v>2268</v>
      </c>
      <c r="C507" t="s">
        <v>29</v>
      </c>
      <c r="D507" t="s">
        <v>29</v>
      </c>
      <c r="E507" t="s">
        <v>29</v>
      </c>
      <c r="F507" t="s">
        <v>2269</v>
      </c>
      <c r="G507" t="s">
        <v>804</v>
      </c>
      <c r="H507">
        <v>2022</v>
      </c>
      <c r="I507">
        <v>8</v>
      </c>
      <c r="J507" t="s">
        <v>29</v>
      </c>
      <c r="K507" t="s">
        <v>29</v>
      </c>
      <c r="L507" t="s">
        <v>29</v>
      </c>
      <c r="M507" t="s">
        <v>29</v>
      </c>
      <c r="N507" t="s">
        <v>29</v>
      </c>
      <c r="O507" t="s">
        <v>29</v>
      </c>
      <c r="P507">
        <v>100191</v>
      </c>
      <c r="Q507" t="s">
        <v>2270</v>
      </c>
      <c r="R507" t="s">
        <v>29</v>
      </c>
      <c r="S507" t="s">
        <v>29</v>
      </c>
      <c r="T507">
        <v>0</v>
      </c>
      <c r="U507">
        <v>0</v>
      </c>
      <c r="V507">
        <v>0</v>
      </c>
      <c r="W507">
        <v>0</v>
      </c>
      <c r="X507">
        <v>0</v>
      </c>
      <c r="Y507">
        <v>0</v>
      </c>
      <c r="Z507">
        <v>0</v>
      </c>
      <c r="AA507">
        <v>0</v>
      </c>
      <c r="AB507">
        <v>0</v>
      </c>
      <c r="AC507">
        <v>0</v>
      </c>
      <c r="AD507">
        <v>0</v>
      </c>
      <c r="AE507">
        <v>0</v>
      </c>
      <c r="AF507">
        <v>0</v>
      </c>
      <c r="AG507">
        <v>0</v>
      </c>
      <c r="AH507">
        <v>0</v>
      </c>
      <c r="AI507">
        <v>0</v>
      </c>
      <c r="AJ507">
        <v>0</v>
      </c>
      <c r="AK507">
        <v>0</v>
      </c>
      <c r="AL507">
        <v>0</v>
      </c>
      <c r="AM507">
        <v>0</v>
      </c>
      <c r="AN507">
        <v>0</v>
      </c>
      <c r="AO507">
        <v>0</v>
      </c>
      <c r="AP507">
        <v>0</v>
      </c>
      <c r="AQ507">
        <v>0</v>
      </c>
      <c r="AR507">
        <v>0</v>
      </c>
      <c r="AS507">
        <v>0</v>
      </c>
      <c r="AT507">
        <v>0</v>
      </c>
      <c r="AU507">
        <v>0</v>
      </c>
      <c r="AV507">
        <v>0</v>
      </c>
      <c r="AW507">
        <v>0</v>
      </c>
      <c r="AX507">
        <v>0</v>
      </c>
      <c r="AY507">
        <v>0</v>
      </c>
      <c r="AZ507">
        <v>0</v>
      </c>
      <c r="BA507">
        <v>0</v>
      </c>
      <c r="BB507">
        <v>0</v>
      </c>
      <c r="BC507">
        <v>0</v>
      </c>
      <c r="BD507">
        <v>0</v>
      </c>
      <c r="BE507">
        <v>0</v>
      </c>
      <c r="BF507">
        <v>0</v>
      </c>
      <c r="BG507">
        <v>0</v>
      </c>
      <c r="BH507">
        <v>0</v>
      </c>
      <c r="BI507">
        <v>0</v>
      </c>
      <c r="BJ507">
        <v>0</v>
      </c>
      <c r="BK507">
        <v>0</v>
      </c>
      <c r="BL507">
        <v>0</v>
      </c>
      <c r="BM507">
        <v>0</v>
      </c>
      <c r="BN507">
        <v>0</v>
      </c>
      <c r="BO507">
        <v>0</v>
      </c>
      <c r="BP507">
        <v>0</v>
      </c>
      <c r="BQ507">
        <v>0</v>
      </c>
      <c r="BR507">
        <v>0</v>
      </c>
      <c r="BS507">
        <v>0</v>
      </c>
    </row>
    <row r="508" spans="1:71" x14ac:dyDescent="0.3">
      <c r="A508" t="s">
        <v>2271</v>
      </c>
      <c r="B508" t="s">
        <v>2272</v>
      </c>
      <c r="C508" t="s">
        <v>29</v>
      </c>
      <c r="D508" t="s">
        <v>29</v>
      </c>
      <c r="E508" t="s">
        <v>29</v>
      </c>
      <c r="F508" t="s">
        <v>2273</v>
      </c>
      <c r="G508" t="s">
        <v>2274</v>
      </c>
      <c r="H508">
        <v>2022</v>
      </c>
      <c r="I508">
        <v>13</v>
      </c>
      <c r="J508">
        <v>4</v>
      </c>
      <c r="K508" t="s">
        <v>29</v>
      </c>
      <c r="L508" t="s">
        <v>29</v>
      </c>
      <c r="M508" t="s">
        <v>29</v>
      </c>
      <c r="N508">
        <v>186</v>
      </c>
      <c r="O508">
        <v>194</v>
      </c>
      <c r="P508" t="s">
        <v>29</v>
      </c>
      <c r="Q508" t="s">
        <v>2275</v>
      </c>
      <c r="R508" t="s">
        <v>29</v>
      </c>
      <c r="S508" t="s">
        <v>29</v>
      </c>
      <c r="T508">
        <v>0</v>
      </c>
      <c r="U508">
        <v>0</v>
      </c>
      <c r="V508">
        <v>0</v>
      </c>
      <c r="W508">
        <v>0</v>
      </c>
      <c r="X508">
        <v>0</v>
      </c>
      <c r="Y508">
        <v>0</v>
      </c>
      <c r="Z508">
        <v>0</v>
      </c>
      <c r="AA508">
        <v>0</v>
      </c>
      <c r="AB508">
        <v>0</v>
      </c>
      <c r="AC508">
        <v>0</v>
      </c>
      <c r="AD508">
        <v>0</v>
      </c>
      <c r="AE508">
        <v>0</v>
      </c>
      <c r="AF508">
        <v>0</v>
      </c>
      <c r="AG508">
        <v>0</v>
      </c>
      <c r="AH508">
        <v>0</v>
      </c>
      <c r="AI508">
        <v>0</v>
      </c>
      <c r="AJ508">
        <v>0</v>
      </c>
      <c r="AK508">
        <v>0</v>
      </c>
      <c r="AL508">
        <v>0</v>
      </c>
      <c r="AM508">
        <v>0</v>
      </c>
      <c r="AN508">
        <v>0</v>
      </c>
      <c r="AO508">
        <v>0</v>
      </c>
      <c r="AP508">
        <v>0</v>
      </c>
      <c r="AQ508">
        <v>0</v>
      </c>
      <c r="AR508">
        <v>0</v>
      </c>
      <c r="AS508">
        <v>0</v>
      </c>
      <c r="AT508">
        <v>0</v>
      </c>
      <c r="AU508">
        <v>0</v>
      </c>
      <c r="AV508">
        <v>0</v>
      </c>
      <c r="AW508">
        <v>0</v>
      </c>
      <c r="AX508">
        <v>0</v>
      </c>
      <c r="AY508">
        <v>0</v>
      </c>
      <c r="AZ508">
        <v>0</v>
      </c>
      <c r="BA508">
        <v>0</v>
      </c>
      <c r="BB508">
        <v>0</v>
      </c>
      <c r="BC508">
        <v>0</v>
      </c>
      <c r="BD508">
        <v>0</v>
      </c>
      <c r="BE508">
        <v>0</v>
      </c>
      <c r="BF508">
        <v>0</v>
      </c>
      <c r="BG508">
        <v>0</v>
      </c>
      <c r="BH508">
        <v>0</v>
      </c>
      <c r="BI508">
        <v>0</v>
      </c>
      <c r="BJ508">
        <v>0</v>
      </c>
      <c r="BK508">
        <v>0</v>
      </c>
      <c r="BL508">
        <v>0</v>
      </c>
      <c r="BM508">
        <v>0</v>
      </c>
      <c r="BN508">
        <v>0</v>
      </c>
      <c r="BO508">
        <v>0</v>
      </c>
      <c r="BP508">
        <v>0</v>
      </c>
      <c r="BQ508">
        <v>0</v>
      </c>
      <c r="BR508">
        <v>0</v>
      </c>
      <c r="BS508">
        <v>0</v>
      </c>
    </row>
    <row r="509" spans="1:71" x14ac:dyDescent="0.3">
      <c r="A509" t="s">
        <v>2276</v>
      </c>
      <c r="B509" t="s">
        <v>2277</v>
      </c>
      <c r="C509" t="s">
        <v>29</v>
      </c>
      <c r="D509" t="s">
        <v>29</v>
      </c>
      <c r="E509" t="s">
        <v>29</v>
      </c>
      <c r="F509" t="s">
        <v>2278</v>
      </c>
      <c r="G509" t="s">
        <v>595</v>
      </c>
      <c r="H509">
        <v>2022</v>
      </c>
      <c r="I509">
        <v>25</v>
      </c>
      <c r="J509">
        <v>2</v>
      </c>
      <c r="K509" t="s">
        <v>29</v>
      </c>
      <c r="L509" t="s">
        <v>29</v>
      </c>
      <c r="M509" t="s">
        <v>29</v>
      </c>
      <c r="N509">
        <v>474</v>
      </c>
      <c r="O509">
        <v>483</v>
      </c>
      <c r="P509" t="s">
        <v>29</v>
      </c>
      <c r="Q509" t="s">
        <v>2279</v>
      </c>
      <c r="R509" t="s">
        <v>29</v>
      </c>
      <c r="S509" t="s">
        <v>29</v>
      </c>
      <c r="T509">
        <v>0</v>
      </c>
      <c r="U509">
        <v>0</v>
      </c>
      <c r="V509">
        <v>0</v>
      </c>
      <c r="W509">
        <v>0</v>
      </c>
      <c r="X509">
        <v>0</v>
      </c>
      <c r="Y509">
        <v>0</v>
      </c>
      <c r="Z509">
        <v>0</v>
      </c>
      <c r="AA509">
        <v>0</v>
      </c>
      <c r="AB509">
        <v>0</v>
      </c>
      <c r="AC509">
        <v>0</v>
      </c>
      <c r="AD509">
        <v>0</v>
      </c>
      <c r="AE509">
        <v>0</v>
      </c>
      <c r="AF509">
        <v>0</v>
      </c>
      <c r="AG509">
        <v>0</v>
      </c>
      <c r="AH509">
        <v>0</v>
      </c>
      <c r="AI509">
        <v>0</v>
      </c>
      <c r="AJ509">
        <v>0</v>
      </c>
      <c r="AK509">
        <v>0</v>
      </c>
      <c r="AL509">
        <v>0</v>
      </c>
      <c r="AM509">
        <v>0</v>
      </c>
      <c r="AN509">
        <v>0</v>
      </c>
      <c r="AO509">
        <v>0</v>
      </c>
      <c r="AP509">
        <v>0</v>
      </c>
      <c r="AQ509">
        <v>0</v>
      </c>
      <c r="AR509">
        <v>0</v>
      </c>
      <c r="AS509">
        <v>0</v>
      </c>
      <c r="AT509">
        <v>0</v>
      </c>
      <c r="AU509">
        <v>0</v>
      </c>
      <c r="AV509">
        <v>0</v>
      </c>
      <c r="AW509">
        <v>0</v>
      </c>
      <c r="AX509">
        <v>0</v>
      </c>
      <c r="AY509">
        <v>0</v>
      </c>
      <c r="AZ509">
        <v>0</v>
      </c>
      <c r="BA509">
        <v>0</v>
      </c>
      <c r="BB509">
        <v>0</v>
      </c>
      <c r="BC509">
        <v>0</v>
      </c>
      <c r="BD509">
        <v>0</v>
      </c>
      <c r="BE509">
        <v>0</v>
      </c>
      <c r="BF509">
        <v>0</v>
      </c>
      <c r="BG509">
        <v>0</v>
      </c>
      <c r="BH509">
        <v>0</v>
      </c>
      <c r="BI509">
        <v>0</v>
      </c>
      <c r="BJ509">
        <v>0</v>
      </c>
      <c r="BK509">
        <v>0</v>
      </c>
      <c r="BL509">
        <v>0</v>
      </c>
      <c r="BM509">
        <v>0</v>
      </c>
      <c r="BN509">
        <v>0</v>
      </c>
      <c r="BO509">
        <v>0</v>
      </c>
      <c r="BP509">
        <v>0</v>
      </c>
      <c r="BQ509">
        <v>0</v>
      </c>
      <c r="BR509">
        <v>0</v>
      </c>
      <c r="BS509">
        <v>0</v>
      </c>
    </row>
    <row r="510" spans="1:71" x14ac:dyDescent="0.3">
      <c r="A510" t="s">
        <v>2280</v>
      </c>
      <c r="B510" t="s">
        <v>2281</v>
      </c>
      <c r="C510" t="s">
        <v>29</v>
      </c>
      <c r="D510" t="s">
        <v>29</v>
      </c>
      <c r="E510" t="s">
        <v>29</v>
      </c>
      <c r="F510" t="s">
        <v>2282</v>
      </c>
      <c r="G510" t="s">
        <v>2283</v>
      </c>
      <c r="H510">
        <v>2022</v>
      </c>
      <c r="I510">
        <v>14</v>
      </c>
      <c r="J510">
        <v>2</v>
      </c>
      <c r="K510" t="s">
        <v>29</v>
      </c>
      <c r="L510" t="s">
        <v>29</v>
      </c>
      <c r="M510" t="s">
        <v>29</v>
      </c>
      <c r="N510">
        <v>54</v>
      </c>
      <c r="O510">
        <v>77</v>
      </c>
      <c r="P510" t="s">
        <v>29</v>
      </c>
      <c r="Q510" t="s">
        <v>2284</v>
      </c>
      <c r="R510" t="s">
        <v>29</v>
      </c>
      <c r="S510" t="s">
        <v>29</v>
      </c>
      <c r="T510">
        <v>0</v>
      </c>
      <c r="U510">
        <v>0</v>
      </c>
      <c r="V510">
        <v>0</v>
      </c>
      <c r="W510">
        <v>0</v>
      </c>
      <c r="X510">
        <v>0</v>
      </c>
      <c r="Y510">
        <v>0</v>
      </c>
      <c r="Z510">
        <v>0</v>
      </c>
      <c r="AA510">
        <v>0</v>
      </c>
      <c r="AB510">
        <v>0</v>
      </c>
      <c r="AC510">
        <v>0</v>
      </c>
      <c r="AD510">
        <v>0</v>
      </c>
      <c r="AE510">
        <v>0</v>
      </c>
      <c r="AF510">
        <v>0</v>
      </c>
      <c r="AG510">
        <v>0</v>
      </c>
      <c r="AH510">
        <v>0</v>
      </c>
      <c r="AI510">
        <v>0</v>
      </c>
      <c r="AJ510">
        <v>0</v>
      </c>
      <c r="AK510">
        <v>0</v>
      </c>
      <c r="AL510">
        <v>0</v>
      </c>
      <c r="AM510">
        <v>0</v>
      </c>
      <c r="AN510">
        <v>0</v>
      </c>
      <c r="AO510">
        <v>0</v>
      </c>
      <c r="AP510">
        <v>0</v>
      </c>
      <c r="AQ510">
        <v>0</v>
      </c>
      <c r="AR510">
        <v>0</v>
      </c>
      <c r="AS510">
        <v>0</v>
      </c>
      <c r="AT510">
        <v>0</v>
      </c>
      <c r="AU510">
        <v>0</v>
      </c>
      <c r="AV510">
        <v>0</v>
      </c>
      <c r="AW510">
        <v>0</v>
      </c>
      <c r="AX510">
        <v>0</v>
      </c>
      <c r="AY510">
        <v>0</v>
      </c>
      <c r="AZ510">
        <v>0</v>
      </c>
      <c r="BA510">
        <v>0</v>
      </c>
      <c r="BB510">
        <v>0</v>
      </c>
      <c r="BC510">
        <v>0</v>
      </c>
      <c r="BD510">
        <v>0</v>
      </c>
      <c r="BE510">
        <v>0</v>
      </c>
      <c r="BF510">
        <v>0</v>
      </c>
      <c r="BG510">
        <v>0</v>
      </c>
      <c r="BH510">
        <v>0</v>
      </c>
      <c r="BI510">
        <v>0</v>
      </c>
      <c r="BJ510">
        <v>0</v>
      </c>
      <c r="BK510">
        <v>0</v>
      </c>
      <c r="BL510">
        <v>0</v>
      </c>
      <c r="BM510">
        <v>0</v>
      </c>
      <c r="BN510">
        <v>0</v>
      </c>
      <c r="BO510">
        <v>0</v>
      </c>
      <c r="BP510">
        <v>0</v>
      </c>
      <c r="BQ510">
        <v>0</v>
      </c>
      <c r="BR510">
        <v>0</v>
      </c>
      <c r="BS510">
        <v>0</v>
      </c>
    </row>
    <row r="511" spans="1:71" x14ac:dyDescent="0.3">
      <c r="A511" t="s">
        <v>2285</v>
      </c>
      <c r="B511" t="s">
        <v>2286</v>
      </c>
      <c r="C511" t="s">
        <v>29</v>
      </c>
      <c r="D511" t="s">
        <v>29</v>
      </c>
      <c r="E511" t="s">
        <v>29</v>
      </c>
      <c r="F511" t="s">
        <v>2287</v>
      </c>
      <c r="G511" t="s">
        <v>2288</v>
      </c>
      <c r="H511">
        <v>2022</v>
      </c>
      <c r="I511">
        <v>10</v>
      </c>
      <c r="J511">
        <v>2</v>
      </c>
      <c r="K511" t="s">
        <v>29</v>
      </c>
      <c r="L511" t="s">
        <v>29</v>
      </c>
      <c r="M511" t="s">
        <v>29</v>
      </c>
      <c r="N511">
        <v>5</v>
      </c>
      <c r="O511">
        <v>21</v>
      </c>
      <c r="P511" t="s">
        <v>29</v>
      </c>
      <c r="Q511" t="s">
        <v>2289</v>
      </c>
      <c r="R511" t="s">
        <v>29</v>
      </c>
      <c r="S511" t="s">
        <v>29</v>
      </c>
      <c r="T511">
        <v>0</v>
      </c>
      <c r="U511">
        <v>0</v>
      </c>
      <c r="V511">
        <v>0</v>
      </c>
      <c r="W511">
        <v>0</v>
      </c>
      <c r="X511">
        <v>0</v>
      </c>
      <c r="Y511">
        <v>0</v>
      </c>
      <c r="Z511">
        <v>0</v>
      </c>
      <c r="AA511">
        <v>0</v>
      </c>
      <c r="AB511">
        <v>0</v>
      </c>
      <c r="AC511">
        <v>0</v>
      </c>
      <c r="AD511">
        <v>0</v>
      </c>
      <c r="AE511">
        <v>0</v>
      </c>
      <c r="AF511">
        <v>0</v>
      </c>
      <c r="AG511">
        <v>0</v>
      </c>
      <c r="AH511">
        <v>0</v>
      </c>
      <c r="AI511">
        <v>0</v>
      </c>
      <c r="AJ511">
        <v>0</v>
      </c>
      <c r="AK511">
        <v>0</v>
      </c>
      <c r="AL511">
        <v>0</v>
      </c>
      <c r="AM511">
        <v>0</v>
      </c>
      <c r="AN511">
        <v>0</v>
      </c>
      <c r="AO511">
        <v>0</v>
      </c>
      <c r="AP511">
        <v>0</v>
      </c>
      <c r="AQ511">
        <v>0</v>
      </c>
      <c r="AR511">
        <v>0</v>
      </c>
      <c r="AS511">
        <v>0</v>
      </c>
      <c r="AT511">
        <v>0</v>
      </c>
      <c r="AU511">
        <v>0</v>
      </c>
      <c r="AV511">
        <v>0</v>
      </c>
      <c r="AW511">
        <v>0</v>
      </c>
      <c r="AX511">
        <v>0</v>
      </c>
      <c r="AY511">
        <v>0</v>
      </c>
      <c r="AZ511">
        <v>0</v>
      </c>
      <c r="BA511">
        <v>0</v>
      </c>
      <c r="BB511">
        <v>0</v>
      </c>
      <c r="BC511">
        <v>0</v>
      </c>
      <c r="BD511">
        <v>0</v>
      </c>
      <c r="BE511">
        <v>0</v>
      </c>
      <c r="BF511">
        <v>0</v>
      </c>
      <c r="BG511">
        <v>0</v>
      </c>
      <c r="BH511">
        <v>0</v>
      </c>
      <c r="BI511">
        <v>0</v>
      </c>
      <c r="BJ511">
        <v>0</v>
      </c>
      <c r="BK511">
        <v>0</v>
      </c>
      <c r="BL511">
        <v>0</v>
      </c>
      <c r="BM511">
        <v>0</v>
      </c>
      <c r="BN511">
        <v>0</v>
      </c>
      <c r="BO511">
        <v>0</v>
      </c>
      <c r="BP511">
        <v>0</v>
      </c>
      <c r="BQ511">
        <v>0</v>
      </c>
      <c r="BR511">
        <v>0</v>
      </c>
      <c r="BS511">
        <v>0</v>
      </c>
    </row>
    <row r="512" spans="1:71" x14ac:dyDescent="0.3">
      <c r="A512" t="s">
        <v>2290</v>
      </c>
      <c r="B512" t="s">
        <v>2291</v>
      </c>
      <c r="C512" t="s">
        <v>29</v>
      </c>
      <c r="D512" t="s">
        <v>29</v>
      </c>
      <c r="E512" t="s">
        <v>29</v>
      </c>
      <c r="F512" t="s">
        <v>930</v>
      </c>
      <c r="G512" t="s">
        <v>748</v>
      </c>
      <c r="H512">
        <v>2022</v>
      </c>
      <c r="I512">
        <v>14</v>
      </c>
      <c r="J512">
        <v>1</v>
      </c>
      <c r="K512" t="s">
        <v>29</v>
      </c>
      <c r="L512" t="s">
        <v>29</v>
      </c>
      <c r="M512" t="s">
        <v>29</v>
      </c>
      <c r="N512">
        <v>18</v>
      </c>
      <c r="O512">
        <v>34</v>
      </c>
      <c r="P512" t="s">
        <v>29</v>
      </c>
      <c r="Q512" t="s">
        <v>2292</v>
      </c>
      <c r="R512" t="s">
        <v>29</v>
      </c>
      <c r="S512" t="s">
        <v>29</v>
      </c>
      <c r="T512">
        <v>0</v>
      </c>
      <c r="U512">
        <v>0</v>
      </c>
      <c r="V512">
        <v>0</v>
      </c>
      <c r="W512">
        <v>0</v>
      </c>
      <c r="X512">
        <v>0</v>
      </c>
      <c r="Y512">
        <v>0</v>
      </c>
      <c r="Z512">
        <v>0</v>
      </c>
      <c r="AA512">
        <v>0</v>
      </c>
      <c r="AB512">
        <v>0</v>
      </c>
      <c r="AC512">
        <v>0</v>
      </c>
      <c r="AD512">
        <v>0</v>
      </c>
      <c r="AE512">
        <v>0</v>
      </c>
      <c r="AF512">
        <v>0</v>
      </c>
      <c r="AG512">
        <v>0</v>
      </c>
      <c r="AH512">
        <v>0</v>
      </c>
      <c r="AI512">
        <v>0</v>
      </c>
      <c r="AJ512">
        <v>0</v>
      </c>
      <c r="AK512">
        <v>0</v>
      </c>
      <c r="AL512">
        <v>0</v>
      </c>
      <c r="AM512">
        <v>0</v>
      </c>
      <c r="AN512">
        <v>0</v>
      </c>
      <c r="AO512">
        <v>0</v>
      </c>
      <c r="AP512">
        <v>0</v>
      </c>
      <c r="AQ512">
        <v>0</v>
      </c>
      <c r="AR512">
        <v>0</v>
      </c>
      <c r="AS512">
        <v>0</v>
      </c>
      <c r="AT512">
        <v>0</v>
      </c>
      <c r="AU512">
        <v>0</v>
      </c>
      <c r="AV512">
        <v>0</v>
      </c>
      <c r="AW512">
        <v>0</v>
      </c>
      <c r="AX512">
        <v>0</v>
      </c>
      <c r="AY512">
        <v>0</v>
      </c>
      <c r="AZ512">
        <v>0</v>
      </c>
      <c r="BA512">
        <v>0</v>
      </c>
      <c r="BB512">
        <v>0</v>
      </c>
      <c r="BC512">
        <v>0</v>
      </c>
      <c r="BD512">
        <v>0</v>
      </c>
      <c r="BE512">
        <v>0</v>
      </c>
      <c r="BF512">
        <v>0</v>
      </c>
      <c r="BG512">
        <v>0</v>
      </c>
      <c r="BH512">
        <v>0</v>
      </c>
      <c r="BI512">
        <v>0</v>
      </c>
      <c r="BJ512">
        <v>0</v>
      </c>
      <c r="BK512">
        <v>0</v>
      </c>
      <c r="BL512">
        <v>0</v>
      </c>
      <c r="BM512">
        <v>0</v>
      </c>
      <c r="BN512">
        <v>0</v>
      </c>
      <c r="BO512">
        <v>0</v>
      </c>
      <c r="BP512">
        <v>0</v>
      </c>
      <c r="BQ512">
        <v>0</v>
      </c>
      <c r="BR512">
        <v>0</v>
      </c>
      <c r="BS512">
        <v>0</v>
      </c>
    </row>
    <row r="513" spans="1:71" x14ac:dyDescent="0.3">
      <c r="A513" t="s">
        <v>2293</v>
      </c>
      <c r="B513" t="s">
        <v>2294</v>
      </c>
      <c r="C513" t="s">
        <v>29</v>
      </c>
      <c r="D513" t="s">
        <v>29</v>
      </c>
      <c r="E513" t="s">
        <v>29</v>
      </c>
      <c r="F513" t="s">
        <v>2295</v>
      </c>
      <c r="G513" t="s">
        <v>2296</v>
      </c>
      <c r="H513">
        <v>2022</v>
      </c>
      <c r="I513">
        <v>18</v>
      </c>
      <c r="J513">
        <v>2</v>
      </c>
      <c r="K513" t="s">
        <v>29</v>
      </c>
      <c r="L513" t="s">
        <v>29</v>
      </c>
      <c r="M513" t="s">
        <v>29</v>
      </c>
      <c r="N513">
        <v>123</v>
      </c>
      <c r="O513">
        <v>143</v>
      </c>
      <c r="P513" t="s">
        <v>29</v>
      </c>
      <c r="Q513" t="s">
        <v>29</v>
      </c>
      <c r="R513" t="s">
        <v>29</v>
      </c>
      <c r="S513" t="s">
        <v>29</v>
      </c>
      <c r="T513">
        <v>0</v>
      </c>
      <c r="U513">
        <v>0</v>
      </c>
      <c r="V513">
        <v>0</v>
      </c>
      <c r="W513">
        <v>0</v>
      </c>
      <c r="X513">
        <v>0</v>
      </c>
      <c r="Y513">
        <v>0</v>
      </c>
      <c r="Z513">
        <v>0</v>
      </c>
      <c r="AA513">
        <v>0</v>
      </c>
      <c r="AB513">
        <v>0</v>
      </c>
      <c r="AC513">
        <v>0</v>
      </c>
      <c r="AD513">
        <v>0</v>
      </c>
      <c r="AE513">
        <v>0</v>
      </c>
      <c r="AF513">
        <v>0</v>
      </c>
      <c r="AG513">
        <v>0</v>
      </c>
      <c r="AH513">
        <v>0</v>
      </c>
      <c r="AI513">
        <v>0</v>
      </c>
      <c r="AJ513">
        <v>0</v>
      </c>
      <c r="AK513">
        <v>0</v>
      </c>
      <c r="AL513">
        <v>0</v>
      </c>
      <c r="AM513">
        <v>0</v>
      </c>
      <c r="AN513">
        <v>0</v>
      </c>
      <c r="AO513">
        <v>0</v>
      </c>
      <c r="AP513">
        <v>0</v>
      </c>
      <c r="AQ513">
        <v>0</v>
      </c>
      <c r="AR513">
        <v>0</v>
      </c>
      <c r="AS513">
        <v>0</v>
      </c>
      <c r="AT513">
        <v>0</v>
      </c>
      <c r="AU513">
        <v>0</v>
      </c>
      <c r="AV513">
        <v>0</v>
      </c>
      <c r="AW513">
        <v>0</v>
      </c>
      <c r="AX513">
        <v>0</v>
      </c>
      <c r="AY513">
        <v>0</v>
      </c>
      <c r="AZ513">
        <v>0</v>
      </c>
      <c r="BA513">
        <v>0</v>
      </c>
      <c r="BB513">
        <v>0</v>
      </c>
      <c r="BC513">
        <v>0</v>
      </c>
      <c r="BD513">
        <v>0</v>
      </c>
      <c r="BE513">
        <v>0</v>
      </c>
      <c r="BF513">
        <v>0</v>
      </c>
      <c r="BG513">
        <v>0</v>
      </c>
      <c r="BH513">
        <v>0</v>
      </c>
      <c r="BI513">
        <v>0</v>
      </c>
      <c r="BJ513">
        <v>0</v>
      </c>
      <c r="BK513">
        <v>0</v>
      </c>
      <c r="BL513">
        <v>0</v>
      </c>
      <c r="BM513">
        <v>0</v>
      </c>
      <c r="BN513">
        <v>0</v>
      </c>
      <c r="BO513">
        <v>0</v>
      </c>
      <c r="BP513">
        <v>0</v>
      </c>
      <c r="BQ513">
        <v>0</v>
      </c>
      <c r="BR513">
        <v>0</v>
      </c>
      <c r="BS513">
        <v>0</v>
      </c>
    </row>
    <row r="514" spans="1:71" x14ac:dyDescent="0.3">
      <c r="A514" t="s">
        <v>2297</v>
      </c>
      <c r="B514" t="s">
        <v>2298</v>
      </c>
      <c r="C514" t="s">
        <v>29</v>
      </c>
      <c r="D514" t="s">
        <v>29</v>
      </c>
      <c r="E514" t="s">
        <v>29</v>
      </c>
      <c r="F514" t="s">
        <v>2299</v>
      </c>
      <c r="G514" t="s">
        <v>599</v>
      </c>
      <c r="H514">
        <v>2022</v>
      </c>
      <c r="I514" t="s">
        <v>29</v>
      </c>
      <c r="J514">
        <v>476</v>
      </c>
      <c r="K514" t="s">
        <v>29</v>
      </c>
      <c r="L514" t="s">
        <v>29</v>
      </c>
      <c r="M514" t="s">
        <v>29</v>
      </c>
      <c r="N514">
        <v>176</v>
      </c>
      <c r="O514">
        <v>183</v>
      </c>
      <c r="P514" t="s">
        <v>29</v>
      </c>
      <c r="Q514" t="s">
        <v>2300</v>
      </c>
      <c r="R514" t="s">
        <v>29</v>
      </c>
      <c r="S514" t="s">
        <v>29</v>
      </c>
      <c r="T514">
        <v>0</v>
      </c>
      <c r="U514">
        <v>0</v>
      </c>
      <c r="V514">
        <v>0</v>
      </c>
      <c r="W514">
        <v>0</v>
      </c>
      <c r="X514">
        <v>0</v>
      </c>
      <c r="Y514">
        <v>0</v>
      </c>
      <c r="Z514">
        <v>0</v>
      </c>
      <c r="AA514">
        <v>0</v>
      </c>
      <c r="AB514">
        <v>0</v>
      </c>
      <c r="AC514">
        <v>0</v>
      </c>
      <c r="AD514">
        <v>0</v>
      </c>
      <c r="AE514">
        <v>0</v>
      </c>
      <c r="AF514">
        <v>0</v>
      </c>
      <c r="AG514">
        <v>0</v>
      </c>
      <c r="AH514">
        <v>0</v>
      </c>
      <c r="AI514">
        <v>0</v>
      </c>
      <c r="AJ514">
        <v>0</v>
      </c>
      <c r="AK514">
        <v>0</v>
      </c>
      <c r="AL514">
        <v>0</v>
      </c>
      <c r="AM514">
        <v>0</v>
      </c>
      <c r="AN514">
        <v>0</v>
      </c>
      <c r="AO514">
        <v>0</v>
      </c>
      <c r="AP514">
        <v>0</v>
      </c>
      <c r="AQ514">
        <v>0</v>
      </c>
      <c r="AR514">
        <v>0</v>
      </c>
      <c r="AS514">
        <v>0</v>
      </c>
      <c r="AT514">
        <v>0</v>
      </c>
      <c r="AU514">
        <v>0</v>
      </c>
      <c r="AV514">
        <v>0</v>
      </c>
      <c r="AW514">
        <v>0</v>
      </c>
      <c r="AX514">
        <v>0</v>
      </c>
      <c r="AY514">
        <v>0</v>
      </c>
      <c r="AZ514">
        <v>0</v>
      </c>
      <c r="BA514">
        <v>0</v>
      </c>
      <c r="BB514">
        <v>0</v>
      </c>
      <c r="BC514">
        <v>0</v>
      </c>
      <c r="BD514">
        <v>0</v>
      </c>
      <c r="BE514">
        <v>0</v>
      </c>
      <c r="BF514">
        <v>0</v>
      </c>
      <c r="BG514">
        <v>0</v>
      </c>
      <c r="BH514">
        <v>0</v>
      </c>
      <c r="BI514">
        <v>0</v>
      </c>
      <c r="BJ514">
        <v>0</v>
      </c>
      <c r="BK514">
        <v>0</v>
      </c>
      <c r="BL514">
        <v>0</v>
      </c>
      <c r="BM514">
        <v>0</v>
      </c>
      <c r="BN514">
        <v>0</v>
      </c>
      <c r="BO514">
        <v>0</v>
      </c>
      <c r="BP514">
        <v>0</v>
      </c>
      <c r="BQ514">
        <v>0</v>
      </c>
      <c r="BR514">
        <v>0</v>
      </c>
      <c r="BS514">
        <v>0</v>
      </c>
    </row>
    <row r="515" spans="1:71" x14ac:dyDescent="0.3">
      <c r="A515" t="s">
        <v>2301</v>
      </c>
      <c r="B515" t="s">
        <v>2302</v>
      </c>
      <c r="C515" t="s">
        <v>29</v>
      </c>
      <c r="D515" t="s">
        <v>29</v>
      </c>
      <c r="E515" t="s">
        <v>29</v>
      </c>
      <c r="F515" t="s">
        <v>486</v>
      </c>
      <c r="G515" t="s">
        <v>599</v>
      </c>
      <c r="H515">
        <v>2022</v>
      </c>
      <c r="I515">
        <v>14</v>
      </c>
      <c r="J515">
        <v>6</v>
      </c>
      <c r="K515" t="s">
        <v>29</v>
      </c>
      <c r="L515" t="s">
        <v>29</v>
      </c>
      <c r="M515" t="s">
        <v>29</v>
      </c>
      <c r="N515" t="s">
        <v>29</v>
      </c>
      <c r="O515" t="s">
        <v>29</v>
      </c>
      <c r="P515">
        <v>3156</v>
      </c>
      <c r="Q515" t="s">
        <v>2303</v>
      </c>
      <c r="R515" t="s">
        <v>29</v>
      </c>
      <c r="S515" t="s">
        <v>29</v>
      </c>
      <c r="T515">
        <v>0</v>
      </c>
      <c r="U515">
        <v>0</v>
      </c>
      <c r="V515">
        <v>0</v>
      </c>
      <c r="W515">
        <v>0</v>
      </c>
      <c r="X515">
        <v>0</v>
      </c>
      <c r="Y515">
        <v>0</v>
      </c>
      <c r="Z515">
        <v>0</v>
      </c>
      <c r="AA515">
        <v>0</v>
      </c>
      <c r="AB515">
        <v>0</v>
      </c>
      <c r="AC515">
        <v>0</v>
      </c>
      <c r="AD515">
        <v>0</v>
      </c>
      <c r="AE515">
        <v>0</v>
      </c>
      <c r="AF515">
        <v>0</v>
      </c>
      <c r="AG515">
        <v>0</v>
      </c>
      <c r="AH515">
        <v>0</v>
      </c>
      <c r="AI515">
        <v>0</v>
      </c>
      <c r="AJ515">
        <v>0</v>
      </c>
      <c r="AK515">
        <v>0</v>
      </c>
      <c r="AL515">
        <v>0</v>
      </c>
      <c r="AM515">
        <v>0</v>
      </c>
      <c r="AN515">
        <v>0</v>
      </c>
      <c r="AO515">
        <v>0</v>
      </c>
      <c r="AP515">
        <v>0</v>
      </c>
      <c r="AQ515">
        <v>0</v>
      </c>
      <c r="AR515">
        <v>0</v>
      </c>
      <c r="AS515">
        <v>0</v>
      </c>
      <c r="AT515">
        <v>0</v>
      </c>
      <c r="AU515">
        <v>0</v>
      </c>
      <c r="AV515">
        <v>0</v>
      </c>
      <c r="AW515">
        <v>0</v>
      </c>
      <c r="AX515">
        <v>0</v>
      </c>
      <c r="AY515">
        <v>0</v>
      </c>
      <c r="AZ515">
        <v>0</v>
      </c>
      <c r="BA515">
        <v>0</v>
      </c>
      <c r="BB515">
        <v>0</v>
      </c>
      <c r="BC515">
        <v>0</v>
      </c>
      <c r="BD515">
        <v>0</v>
      </c>
      <c r="BE515">
        <v>0</v>
      </c>
      <c r="BF515">
        <v>0</v>
      </c>
      <c r="BG515">
        <v>0</v>
      </c>
      <c r="BH515">
        <v>0</v>
      </c>
      <c r="BI515">
        <v>0</v>
      </c>
      <c r="BJ515">
        <v>0</v>
      </c>
      <c r="BK515">
        <v>0</v>
      </c>
      <c r="BL515">
        <v>0</v>
      </c>
      <c r="BM515">
        <v>0</v>
      </c>
      <c r="BN515">
        <v>0</v>
      </c>
      <c r="BO515">
        <v>0</v>
      </c>
      <c r="BP515">
        <v>0</v>
      </c>
      <c r="BQ515">
        <v>0</v>
      </c>
      <c r="BR515">
        <v>0</v>
      </c>
      <c r="BS515">
        <v>0</v>
      </c>
    </row>
    <row r="516" spans="1:71" x14ac:dyDescent="0.3">
      <c r="A516" t="s">
        <v>2304</v>
      </c>
      <c r="B516" t="s">
        <v>2305</v>
      </c>
      <c r="C516" t="s">
        <v>29</v>
      </c>
      <c r="D516" t="s">
        <v>29</v>
      </c>
      <c r="E516" t="s">
        <v>29</v>
      </c>
      <c r="F516" t="s">
        <v>2306</v>
      </c>
      <c r="G516" t="s">
        <v>2307</v>
      </c>
      <c r="H516">
        <v>2023</v>
      </c>
      <c r="I516">
        <v>29</v>
      </c>
      <c r="J516">
        <v>2</v>
      </c>
      <c r="K516" t="s">
        <v>29</v>
      </c>
      <c r="L516" t="s">
        <v>29</v>
      </c>
      <c r="M516" t="s">
        <v>29</v>
      </c>
      <c r="N516">
        <v>217</v>
      </c>
      <c r="O516">
        <v>245</v>
      </c>
      <c r="P516">
        <v>2039245</v>
      </c>
      <c r="Q516" t="s">
        <v>2308</v>
      </c>
      <c r="R516" t="s">
        <v>29</v>
      </c>
      <c r="S516" t="s">
        <v>29</v>
      </c>
      <c r="T516">
        <v>0</v>
      </c>
      <c r="U516">
        <v>0</v>
      </c>
      <c r="V516">
        <v>0</v>
      </c>
      <c r="W516">
        <v>0</v>
      </c>
      <c r="X516">
        <v>0</v>
      </c>
      <c r="Y516">
        <v>0</v>
      </c>
      <c r="Z516">
        <v>0</v>
      </c>
      <c r="AA516">
        <v>0</v>
      </c>
      <c r="AB516">
        <v>0</v>
      </c>
      <c r="AC516">
        <v>0</v>
      </c>
      <c r="AD516">
        <v>0</v>
      </c>
      <c r="AE516">
        <v>0</v>
      </c>
      <c r="AF516">
        <v>0</v>
      </c>
      <c r="AG516">
        <v>0</v>
      </c>
      <c r="AH516">
        <v>0</v>
      </c>
      <c r="AI516">
        <v>0</v>
      </c>
      <c r="AJ516">
        <v>0</v>
      </c>
      <c r="AK516">
        <v>0</v>
      </c>
      <c r="AL516">
        <v>0</v>
      </c>
      <c r="AM516">
        <v>0</v>
      </c>
      <c r="AN516">
        <v>0</v>
      </c>
      <c r="AO516">
        <v>0</v>
      </c>
      <c r="AP516">
        <v>0</v>
      </c>
      <c r="AQ516">
        <v>0</v>
      </c>
      <c r="AR516">
        <v>0</v>
      </c>
      <c r="AS516">
        <v>0</v>
      </c>
      <c r="AT516">
        <v>0</v>
      </c>
      <c r="AU516">
        <v>0</v>
      </c>
      <c r="AV516">
        <v>0</v>
      </c>
      <c r="AW516">
        <v>0</v>
      </c>
      <c r="AX516">
        <v>0</v>
      </c>
      <c r="AY516">
        <v>0</v>
      </c>
      <c r="AZ516">
        <v>0</v>
      </c>
      <c r="BA516">
        <v>0</v>
      </c>
      <c r="BB516">
        <v>0</v>
      </c>
      <c r="BC516">
        <v>0</v>
      </c>
      <c r="BD516">
        <v>0</v>
      </c>
      <c r="BE516">
        <v>0</v>
      </c>
      <c r="BF516">
        <v>0</v>
      </c>
      <c r="BG516">
        <v>0</v>
      </c>
      <c r="BH516">
        <v>0</v>
      </c>
      <c r="BI516">
        <v>0</v>
      </c>
      <c r="BJ516">
        <v>0</v>
      </c>
      <c r="BK516">
        <v>0</v>
      </c>
      <c r="BL516">
        <v>0</v>
      </c>
      <c r="BM516">
        <v>0</v>
      </c>
      <c r="BN516">
        <v>0</v>
      </c>
      <c r="BO516">
        <v>0</v>
      </c>
      <c r="BP516">
        <v>0</v>
      </c>
      <c r="BQ516">
        <v>0</v>
      </c>
      <c r="BR516">
        <v>0</v>
      </c>
      <c r="BS516">
        <v>0</v>
      </c>
    </row>
    <row r="517" spans="1:71" x14ac:dyDescent="0.3">
      <c r="A517" t="s">
        <v>2309</v>
      </c>
      <c r="B517" t="s">
        <v>2310</v>
      </c>
      <c r="C517" t="s">
        <v>29</v>
      </c>
      <c r="D517" t="s">
        <v>29</v>
      </c>
      <c r="E517" t="s">
        <v>29</v>
      </c>
      <c r="F517" t="s">
        <v>2311</v>
      </c>
      <c r="G517" t="s">
        <v>680</v>
      </c>
      <c r="H517">
        <v>2022</v>
      </c>
      <c r="I517">
        <v>48</v>
      </c>
      <c r="J517">
        <v>2</v>
      </c>
      <c r="K517" t="s">
        <v>29</v>
      </c>
      <c r="L517" t="s">
        <v>29</v>
      </c>
      <c r="M517" t="s">
        <v>29</v>
      </c>
      <c r="N517">
        <v>505</v>
      </c>
      <c r="O517">
        <v>543</v>
      </c>
      <c r="P517" t="s">
        <v>29</v>
      </c>
      <c r="Q517" t="s">
        <v>2312</v>
      </c>
      <c r="R517" t="s">
        <v>29</v>
      </c>
      <c r="S517" t="s">
        <v>29</v>
      </c>
      <c r="T517">
        <v>0</v>
      </c>
      <c r="U517">
        <v>0</v>
      </c>
      <c r="V517">
        <v>0</v>
      </c>
      <c r="W517">
        <v>0</v>
      </c>
      <c r="X517">
        <v>0</v>
      </c>
      <c r="Y517">
        <v>0</v>
      </c>
      <c r="Z517">
        <v>0</v>
      </c>
      <c r="AA517">
        <v>0</v>
      </c>
      <c r="AB517">
        <v>0</v>
      </c>
      <c r="AC517">
        <v>0</v>
      </c>
      <c r="AD517">
        <v>0</v>
      </c>
      <c r="AE517">
        <v>0</v>
      </c>
      <c r="AF517">
        <v>0</v>
      </c>
      <c r="AG517">
        <v>0</v>
      </c>
      <c r="AH517">
        <v>0</v>
      </c>
      <c r="AI517">
        <v>0</v>
      </c>
      <c r="AJ517">
        <v>0</v>
      </c>
      <c r="AK517">
        <v>0</v>
      </c>
      <c r="AL517">
        <v>0</v>
      </c>
      <c r="AM517">
        <v>0</v>
      </c>
      <c r="AN517">
        <v>0</v>
      </c>
      <c r="AO517">
        <v>0</v>
      </c>
      <c r="AP517">
        <v>0</v>
      </c>
      <c r="AQ517">
        <v>0</v>
      </c>
      <c r="AR517">
        <v>0</v>
      </c>
      <c r="AS517">
        <v>0</v>
      </c>
      <c r="AT517">
        <v>0</v>
      </c>
      <c r="AU517">
        <v>0</v>
      </c>
      <c r="AV517">
        <v>0</v>
      </c>
      <c r="AW517">
        <v>0</v>
      </c>
      <c r="AX517">
        <v>0</v>
      </c>
      <c r="AY517">
        <v>0</v>
      </c>
      <c r="AZ517">
        <v>0</v>
      </c>
      <c r="BA517">
        <v>0</v>
      </c>
      <c r="BB517">
        <v>0</v>
      </c>
      <c r="BC517">
        <v>0</v>
      </c>
      <c r="BD517">
        <v>0</v>
      </c>
      <c r="BE517">
        <v>0</v>
      </c>
      <c r="BF517">
        <v>0</v>
      </c>
      <c r="BG517">
        <v>0</v>
      </c>
      <c r="BH517">
        <v>0</v>
      </c>
      <c r="BI517">
        <v>0</v>
      </c>
      <c r="BJ517">
        <v>0</v>
      </c>
      <c r="BK517">
        <v>0</v>
      </c>
      <c r="BL517">
        <v>0</v>
      </c>
      <c r="BM517">
        <v>0</v>
      </c>
      <c r="BN517">
        <v>0</v>
      </c>
      <c r="BO517">
        <v>0</v>
      </c>
      <c r="BP517">
        <v>0</v>
      </c>
      <c r="BQ517">
        <v>0</v>
      </c>
      <c r="BR517">
        <v>0</v>
      </c>
      <c r="BS517">
        <v>0</v>
      </c>
    </row>
    <row r="518" spans="1:71" x14ac:dyDescent="0.3">
      <c r="A518" t="s">
        <v>2313</v>
      </c>
      <c r="B518" t="s">
        <v>2314</v>
      </c>
      <c r="C518" t="s">
        <v>29</v>
      </c>
      <c r="D518" t="s">
        <v>29</v>
      </c>
      <c r="E518" t="s">
        <v>2315</v>
      </c>
      <c r="F518" t="s">
        <v>2316</v>
      </c>
      <c r="G518">
        <v>2022</v>
      </c>
      <c r="H518">
        <v>2022</v>
      </c>
      <c r="I518" t="s">
        <v>29</v>
      </c>
      <c r="J518" t="s">
        <v>29</v>
      </c>
      <c r="K518" t="s">
        <v>29</v>
      </c>
      <c r="L518" t="s">
        <v>29</v>
      </c>
      <c r="M518" t="s">
        <v>29</v>
      </c>
      <c r="N518">
        <v>471</v>
      </c>
      <c r="O518">
        <v>478</v>
      </c>
      <c r="P518" t="s">
        <v>29</v>
      </c>
      <c r="Q518" t="s">
        <v>2317</v>
      </c>
      <c r="R518" t="s">
        <v>2318</v>
      </c>
      <c r="S518" t="s">
        <v>2319</v>
      </c>
      <c r="T518">
        <v>0</v>
      </c>
      <c r="U518">
        <v>0</v>
      </c>
      <c r="V518">
        <v>0</v>
      </c>
      <c r="W518">
        <v>0</v>
      </c>
      <c r="X518">
        <v>0</v>
      </c>
      <c r="Y518">
        <v>0</v>
      </c>
      <c r="Z518">
        <v>0</v>
      </c>
      <c r="AA518">
        <v>0</v>
      </c>
      <c r="AB518">
        <v>0</v>
      </c>
      <c r="AC518">
        <v>0</v>
      </c>
      <c r="AD518">
        <v>0</v>
      </c>
      <c r="AE518">
        <v>0</v>
      </c>
      <c r="AF518">
        <v>0</v>
      </c>
      <c r="AG518">
        <v>0</v>
      </c>
      <c r="AH518">
        <v>0</v>
      </c>
      <c r="AI518">
        <v>0</v>
      </c>
      <c r="AJ518">
        <v>0</v>
      </c>
      <c r="AK518">
        <v>0</v>
      </c>
      <c r="AL518">
        <v>0</v>
      </c>
      <c r="AM518">
        <v>0</v>
      </c>
      <c r="AN518">
        <v>0</v>
      </c>
      <c r="AO518">
        <v>0</v>
      </c>
      <c r="AP518">
        <v>0</v>
      </c>
      <c r="AQ518">
        <v>0</v>
      </c>
      <c r="AR518">
        <v>0</v>
      </c>
      <c r="AS518">
        <v>0</v>
      </c>
      <c r="AT518">
        <v>0</v>
      </c>
      <c r="AU518">
        <v>0</v>
      </c>
      <c r="AV518">
        <v>0</v>
      </c>
      <c r="AW518">
        <v>0</v>
      </c>
      <c r="AX518">
        <v>0</v>
      </c>
      <c r="AY518">
        <v>0</v>
      </c>
      <c r="AZ518">
        <v>0</v>
      </c>
      <c r="BA518">
        <v>0</v>
      </c>
      <c r="BB518">
        <v>0</v>
      </c>
      <c r="BC518">
        <v>0</v>
      </c>
      <c r="BD518">
        <v>0</v>
      </c>
      <c r="BE518">
        <v>0</v>
      </c>
      <c r="BF518">
        <v>0</v>
      </c>
      <c r="BG518">
        <v>0</v>
      </c>
      <c r="BH518">
        <v>0</v>
      </c>
      <c r="BI518">
        <v>0</v>
      </c>
      <c r="BJ518">
        <v>0</v>
      </c>
      <c r="BK518">
        <v>0</v>
      </c>
      <c r="BL518">
        <v>0</v>
      </c>
      <c r="BM518">
        <v>0</v>
      </c>
      <c r="BN518">
        <v>0</v>
      </c>
      <c r="BO518">
        <v>0</v>
      </c>
      <c r="BP518">
        <v>0</v>
      </c>
      <c r="BQ518">
        <v>0</v>
      </c>
      <c r="BR518">
        <v>0</v>
      </c>
      <c r="BS518">
        <v>0</v>
      </c>
    </row>
    <row r="519" spans="1:71" x14ac:dyDescent="0.3">
      <c r="A519" t="s">
        <v>2320</v>
      </c>
      <c r="B519" t="s">
        <v>2321</v>
      </c>
      <c r="C519" t="s">
        <v>29</v>
      </c>
      <c r="D519" t="s">
        <v>29</v>
      </c>
      <c r="E519" t="s">
        <v>29</v>
      </c>
      <c r="F519" t="s">
        <v>2322</v>
      </c>
      <c r="G519">
        <v>2022</v>
      </c>
      <c r="H519">
        <v>2022</v>
      </c>
      <c r="I519" t="s">
        <v>29</v>
      </c>
      <c r="J519" t="s">
        <v>29</v>
      </c>
      <c r="K519" t="s">
        <v>29</v>
      </c>
      <c r="L519" t="s">
        <v>29</v>
      </c>
      <c r="M519" t="s">
        <v>29</v>
      </c>
      <c r="N519">
        <v>4870</v>
      </c>
      <c r="O519">
        <v>4871</v>
      </c>
      <c r="P519" t="s">
        <v>29</v>
      </c>
      <c r="Q519" t="s">
        <v>2323</v>
      </c>
      <c r="R519" t="s">
        <v>2324</v>
      </c>
      <c r="S519" t="s">
        <v>2325</v>
      </c>
      <c r="T519">
        <v>0</v>
      </c>
      <c r="U519">
        <v>0</v>
      </c>
      <c r="V519">
        <v>0</v>
      </c>
      <c r="W519">
        <v>0</v>
      </c>
      <c r="X519">
        <v>0</v>
      </c>
      <c r="Y519">
        <v>0</v>
      </c>
      <c r="Z519">
        <v>0</v>
      </c>
      <c r="AA519">
        <v>0</v>
      </c>
      <c r="AB519">
        <v>0</v>
      </c>
      <c r="AC519">
        <v>0</v>
      </c>
      <c r="AD519">
        <v>0</v>
      </c>
      <c r="AE519">
        <v>0</v>
      </c>
      <c r="AF519">
        <v>0</v>
      </c>
      <c r="AG519">
        <v>0</v>
      </c>
      <c r="AH519">
        <v>0</v>
      </c>
      <c r="AI519">
        <v>0</v>
      </c>
      <c r="AJ519">
        <v>0</v>
      </c>
      <c r="AK519">
        <v>0</v>
      </c>
      <c r="AL519">
        <v>0</v>
      </c>
      <c r="AM519">
        <v>0</v>
      </c>
      <c r="AN519">
        <v>0</v>
      </c>
      <c r="AO519">
        <v>0</v>
      </c>
      <c r="AP519">
        <v>0</v>
      </c>
      <c r="AQ519">
        <v>0</v>
      </c>
      <c r="AR519">
        <v>0</v>
      </c>
      <c r="AS519">
        <v>0</v>
      </c>
      <c r="AT519">
        <v>0</v>
      </c>
      <c r="AU519">
        <v>0</v>
      </c>
      <c r="AV519">
        <v>0</v>
      </c>
      <c r="AW519">
        <v>0</v>
      </c>
      <c r="AX519">
        <v>0</v>
      </c>
      <c r="AY519">
        <v>0</v>
      </c>
      <c r="AZ519">
        <v>0</v>
      </c>
      <c r="BA519">
        <v>0</v>
      </c>
      <c r="BB519">
        <v>0</v>
      </c>
      <c r="BC519">
        <v>0</v>
      </c>
      <c r="BD519">
        <v>0</v>
      </c>
      <c r="BE519">
        <v>0</v>
      </c>
      <c r="BF519">
        <v>0</v>
      </c>
      <c r="BG519">
        <v>0</v>
      </c>
      <c r="BH519">
        <v>0</v>
      </c>
      <c r="BI519">
        <v>0</v>
      </c>
      <c r="BJ519">
        <v>0</v>
      </c>
      <c r="BK519">
        <v>0</v>
      </c>
      <c r="BL519">
        <v>0</v>
      </c>
      <c r="BM519">
        <v>0</v>
      </c>
      <c r="BN519">
        <v>0</v>
      </c>
      <c r="BO519">
        <v>0</v>
      </c>
      <c r="BP519">
        <v>0</v>
      </c>
      <c r="BQ519">
        <v>0</v>
      </c>
      <c r="BR519">
        <v>0</v>
      </c>
      <c r="BS519">
        <v>0</v>
      </c>
    </row>
    <row r="520" spans="1:71" x14ac:dyDescent="0.3">
      <c r="A520" t="s">
        <v>2326</v>
      </c>
      <c r="B520" t="s">
        <v>2327</v>
      </c>
      <c r="C520" t="s">
        <v>29</v>
      </c>
      <c r="D520" t="s">
        <v>29</v>
      </c>
      <c r="E520" t="s">
        <v>29</v>
      </c>
      <c r="F520" t="s">
        <v>2328</v>
      </c>
      <c r="G520">
        <v>2022</v>
      </c>
      <c r="H520">
        <v>2022</v>
      </c>
      <c r="I520" t="s">
        <v>29</v>
      </c>
      <c r="J520" t="s">
        <v>29</v>
      </c>
      <c r="K520" t="s">
        <v>29</v>
      </c>
      <c r="L520" t="s">
        <v>29</v>
      </c>
      <c r="M520" t="s">
        <v>29</v>
      </c>
      <c r="N520">
        <v>304</v>
      </c>
      <c r="O520">
        <v>308</v>
      </c>
      <c r="P520" t="s">
        <v>29</v>
      </c>
      <c r="Q520" t="s">
        <v>2329</v>
      </c>
      <c r="R520" t="s">
        <v>2330</v>
      </c>
      <c r="S520" t="s">
        <v>2331</v>
      </c>
      <c r="T520">
        <v>0</v>
      </c>
      <c r="U520">
        <v>0</v>
      </c>
      <c r="V520">
        <v>0</v>
      </c>
      <c r="W520">
        <v>0</v>
      </c>
      <c r="X520">
        <v>0</v>
      </c>
      <c r="Y520">
        <v>0</v>
      </c>
      <c r="Z520">
        <v>0</v>
      </c>
      <c r="AA520">
        <v>0</v>
      </c>
      <c r="AB520">
        <v>0</v>
      </c>
      <c r="AC520">
        <v>0</v>
      </c>
      <c r="AD520">
        <v>0</v>
      </c>
      <c r="AE520">
        <v>0</v>
      </c>
      <c r="AF520">
        <v>0</v>
      </c>
      <c r="AG520">
        <v>0</v>
      </c>
      <c r="AH520">
        <v>0</v>
      </c>
      <c r="AI520">
        <v>0</v>
      </c>
      <c r="AJ520">
        <v>0</v>
      </c>
      <c r="AK520">
        <v>0</v>
      </c>
      <c r="AL520">
        <v>0</v>
      </c>
      <c r="AM520">
        <v>0</v>
      </c>
      <c r="AN520">
        <v>0</v>
      </c>
      <c r="AO520">
        <v>0</v>
      </c>
      <c r="AP520">
        <v>0</v>
      </c>
      <c r="AQ520">
        <v>0</v>
      </c>
      <c r="AR520">
        <v>0</v>
      </c>
      <c r="AS520">
        <v>0</v>
      </c>
      <c r="AT520">
        <v>0</v>
      </c>
      <c r="AU520">
        <v>0</v>
      </c>
      <c r="AV520">
        <v>0</v>
      </c>
      <c r="AW520">
        <v>0</v>
      </c>
      <c r="AX520">
        <v>0</v>
      </c>
      <c r="AY520">
        <v>0</v>
      </c>
      <c r="AZ520">
        <v>0</v>
      </c>
      <c r="BA520">
        <v>0</v>
      </c>
      <c r="BB520">
        <v>0</v>
      </c>
      <c r="BC520">
        <v>0</v>
      </c>
      <c r="BD520">
        <v>0</v>
      </c>
      <c r="BE520">
        <v>0</v>
      </c>
      <c r="BF520">
        <v>0</v>
      </c>
      <c r="BG520">
        <v>0</v>
      </c>
      <c r="BH520">
        <v>0</v>
      </c>
      <c r="BI520">
        <v>0</v>
      </c>
      <c r="BJ520">
        <v>0</v>
      </c>
      <c r="BK520">
        <v>0</v>
      </c>
      <c r="BL520">
        <v>0</v>
      </c>
      <c r="BM520">
        <v>0</v>
      </c>
      <c r="BN520">
        <v>0</v>
      </c>
      <c r="BO520">
        <v>0</v>
      </c>
      <c r="BP520">
        <v>0</v>
      </c>
      <c r="BQ520">
        <v>0</v>
      </c>
      <c r="BR520">
        <v>0</v>
      </c>
      <c r="BS520">
        <v>0</v>
      </c>
    </row>
    <row r="521" spans="1:71" x14ac:dyDescent="0.3">
      <c r="A521" t="s">
        <v>2332</v>
      </c>
      <c r="B521" t="s">
        <v>2333</v>
      </c>
      <c r="C521" t="s">
        <v>29</v>
      </c>
      <c r="D521" t="s">
        <v>29</v>
      </c>
      <c r="E521" t="s">
        <v>29</v>
      </c>
      <c r="F521" t="s">
        <v>2334</v>
      </c>
      <c r="G521">
        <v>2022</v>
      </c>
      <c r="H521">
        <v>2022</v>
      </c>
      <c r="I521">
        <v>92</v>
      </c>
      <c r="J521">
        <v>6</v>
      </c>
      <c r="K521" t="s">
        <v>29</v>
      </c>
      <c r="L521" t="s">
        <v>29</v>
      </c>
      <c r="M521" t="s">
        <v>29</v>
      </c>
      <c r="N521">
        <v>111</v>
      </c>
      <c r="O521">
        <v>123</v>
      </c>
      <c r="P521" t="s">
        <v>29</v>
      </c>
      <c r="Q521" t="s">
        <v>2335</v>
      </c>
      <c r="R521" t="s">
        <v>29</v>
      </c>
      <c r="S521" t="s">
        <v>29</v>
      </c>
      <c r="T521">
        <v>0</v>
      </c>
      <c r="U521">
        <v>0</v>
      </c>
      <c r="V521">
        <v>0</v>
      </c>
      <c r="W521">
        <v>0</v>
      </c>
      <c r="X521">
        <v>0</v>
      </c>
      <c r="Y521">
        <v>0</v>
      </c>
      <c r="Z521">
        <v>0</v>
      </c>
      <c r="AA521">
        <v>0</v>
      </c>
      <c r="AB521">
        <v>0</v>
      </c>
      <c r="AC521">
        <v>0</v>
      </c>
      <c r="AD521">
        <v>0</v>
      </c>
      <c r="AE521">
        <v>0</v>
      </c>
      <c r="AF521">
        <v>0</v>
      </c>
      <c r="AG521">
        <v>0</v>
      </c>
      <c r="AH521">
        <v>0</v>
      </c>
      <c r="AI521">
        <v>0</v>
      </c>
      <c r="AJ521">
        <v>0</v>
      </c>
      <c r="AK521">
        <v>0</v>
      </c>
      <c r="AL521">
        <v>0</v>
      </c>
      <c r="AM521">
        <v>0</v>
      </c>
      <c r="AN521">
        <v>0</v>
      </c>
      <c r="AO521">
        <v>0</v>
      </c>
      <c r="AP521">
        <v>0</v>
      </c>
      <c r="AQ521">
        <v>0</v>
      </c>
      <c r="AR521">
        <v>0</v>
      </c>
      <c r="AS521">
        <v>0</v>
      </c>
      <c r="AT521">
        <v>0</v>
      </c>
      <c r="AU521">
        <v>0</v>
      </c>
      <c r="AV521">
        <v>0</v>
      </c>
      <c r="AW521">
        <v>0</v>
      </c>
      <c r="AX521">
        <v>0</v>
      </c>
      <c r="AY521">
        <v>0</v>
      </c>
      <c r="AZ521">
        <v>0</v>
      </c>
      <c r="BA521">
        <v>0</v>
      </c>
      <c r="BB521">
        <v>0</v>
      </c>
      <c r="BC521">
        <v>0</v>
      </c>
      <c r="BD521">
        <v>0</v>
      </c>
      <c r="BE521">
        <v>0</v>
      </c>
      <c r="BF521">
        <v>0</v>
      </c>
      <c r="BG521">
        <v>0</v>
      </c>
      <c r="BH521">
        <v>0</v>
      </c>
      <c r="BI521">
        <v>0</v>
      </c>
      <c r="BJ521">
        <v>0</v>
      </c>
      <c r="BK521">
        <v>0</v>
      </c>
      <c r="BL521">
        <v>0</v>
      </c>
      <c r="BM521">
        <v>0</v>
      </c>
      <c r="BN521">
        <v>0</v>
      </c>
      <c r="BO521">
        <v>0</v>
      </c>
      <c r="BP521">
        <v>0</v>
      </c>
      <c r="BQ521">
        <v>0</v>
      </c>
      <c r="BR521">
        <v>0</v>
      </c>
      <c r="BS521">
        <v>0</v>
      </c>
    </row>
    <row r="522" spans="1:71" x14ac:dyDescent="0.3">
      <c r="A522" t="s">
        <v>2336</v>
      </c>
      <c r="B522" t="s">
        <v>2337</v>
      </c>
      <c r="C522" t="s">
        <v>29</v>
      </c>
      <c r="D522" t="s">
        <v>29</v>
      </c>
      <c r="E522" t="s">
        <v>2338</v>
      </c>
      <c r="F522" t="s">
        <v>2339</v>
      </c>
      <c r="G522">
        <v>2022</v>
      </c>
      <c r="H522">
        <v>2022</v>
      </c>
      <c r="I522" t="s">
        <v>29</v>
      </c>
      <c r="J522" t="s">
        <v>29</v>
      </c>
      <c r="K522" t="s">
        <v>29</v>
      </c>
      <c r="L522" t="s">
        <v>29</v>
      </c>
      <c r="M522" t="s">
        <v>29</v>
      </c>
      <c r="N522">
        <v>58</v>
      </c>
      <c r="O522">
        <v>67</v>
      </c>
      <c r="P522" t="s">
        <v>29</v>
      </c>
      <c r="Q522" t="s">
        <v>2340</v>
      </c>
      <c r="R522" t="s">
        <v>2341</v>
      </c>
      <c r="S522" t="s">
        <v>2342</v>
      </c>
      <c r="T522">
        <v>0</v>
      </c>
      <c r="U522">
        <v>0</v>
      </c>
      <c r="V522">
        <v>0</v>
      </c>
      <c r="W522">
        <v>0</v>
      </c>
      <c r="X522">
        <v>0</v>
      </c>
      <c r="Y522">
        <v>0</v>
      </c>
      <c r="Z522">
        <v>0</v>
      </c>
      <c r="AA522">
        <v>0</v>
      </c>
      <c r="AB522">
        <v>0</v>
      </c>
      <c r="AC522">
        <v>0</v>
      </c>
      <c r="AD522">
        <v>0</v>
      </c>
      <c r="AE522">
        <v>0</v>
      </c>
      <c r="AF522">
        <v>0</v>
      </c>
      <c r="AG522">
        <v>0</v>
      </c>
      <c r="AH522">
        <v>0</v>
      </c>
      <c r="AI522">
        <v>0</v>
      </c>
      <c r="AJ522">
        <v>0</v>
      </c>
      <c r="AK522">
        <v>0</v>
      </c>
      <c r="AL522">
        <v>0</v>
      </c>
      <c r="AM522">
        <v>0</v>
      </c>
      <c r="AN522">
        <v>0</v>
      </c>
      <c r="AO522">
        <v>0</v>
      </c>
      <c r="AP522">
        <v>0</v>
      </c>
      <c r="AQ522">
        <v>0</v>
      </c>
      <c r="AR522">
        <v>0</v>
      </c>
      <c r="AS522">
        <v>0</v>
      </c>
      <c r="AT522">
        <v>0</v>
      </c>
      <c r="AU522">
        <v>0</v>
      </c>
      <c r="AV522">
        <v>0</v>
      </c>
      <c r="AW522">
        <v>0</v>
      </c>
      <c r="AX522">
        <v>0</v>
      </c>
      <c r="AY522">
        <v>0</v>
      </c>
      <c r="AZ522">
        <v>0</v>
      </c>
      <c r="BA522">
        <v>0</v>
      </c>
      <c r="BB522">
        <v>0</v>
      </c>
      <c r="BC522">
        <v>0</v>
      </c>
      <c r="BD522">
        <v>0</v>
      </c>
      <c r="BE522">
        <v>0</v>
      </c>
      <c r="BF522">
        <v>0</v>
      </c>
      <c r="BG522">
        <v>0</v>
      </c>
      <c r="BH522">
        <v>0</v>
      </c>
      <c r="BI522">
        <v>0</v>
      </c>
      <c r="BJ522">
        <v>0</v>
      </c>
      <c r="BK522">
        <v>0</v>
      </c>
      <c r="BL522">
        <v>0</v>
      </c>
      <c r="BM522">
        <v>0</v>
      </c>
      <c r="BN522">
        <v>0</v>
      </c>
      <c r="BO522">
        <v>0</v>
      </c>
      <c r="BP522">
        <v>0</v>
      </c>
      <c r="BQ522">
        <v>0</v>
      </c>
      <c r="BR522">
        <v>0</v>
      </c>
      <c r="BS522">
        <v>0</v>
      </c>
    </row>
    <row r="523" spans="1:71" x14ac:dyDescent="0.3">
      <c r="A523" t="s">
        <v>2343</v>
      </c>
      <c r="B523" t="s">
        <v>2344</v>
      </c>
      <c r="C523" t="s">
        <v>29</v>
      </c>
      <c r="D523" t="s">
        <v>29</v>
      </c>
      <c r="E523" t="s">
        <v>29</v>
      </c>
      <c r="F523" t="s">
        <v>2345</v>
      </c>
      <c r="G523">
        <v>2022</v>
      </c>
      <c r="H523">
        <v>2022</v>
      </c>
      <c r="I523" t="s">
        <v>29</v>
      </c>
      <c r="J523" t="s">
        <v>29</v>
      </c>
      <c r="K523" t="s">
        <v>29</v>
      </c>
      <c r="L523" t="s">
        <v>29</v>
      </c>
      <c r="M523" t="s">
        <v>29</v>
      </c>
      <c r="N523" t="s">
        <v>29</v>
      </c>
      <c r="O523" t="s">
        <v>29</v>
      </c>
      <c r="P523" t="s">
        <v>29</v>
      </c>
      <c r="Q523" t="s">
        <v>29</v>
      </c>
      <c r="R523" t="s">
        <v>2346</v>
      </c>
      <c r="S523" t="s">
        <v>2347</v>
      </c>
      <c r="T523">
        <v>0</v>
      </c>
      <c r="U523">
        <v>0</v>
      </c>
      <c r="V523">
        <v>0</v>
      </c>
      <c r="W523">
        <v>0</v>
      </c>
      <c r="X523">
        <v>0</v>
      </c>
      <c r="Y523">
        <v>0</v>
      </c>
      <c r="Z523">
        <v>0</v>
      </c>
      <c r="AA523">
        <v>0</v>
      </c>
      <c r="AB523">
        <v>0</v>
      </c>
      <c r="AC523">
        <v>0</v>
      </c>
      <c r="AD523">
        <v>0</v>
      </c>
      <c r="AE523">
        <v>0</v>
      </c>
      <c r="AF523">
        <v>0</v>
      </c>
      <c r="AG523">
        <v>0</v>
      </c>
      <c r="AH523">
        <v>0</v>
      </c>
      <c r="AI523">
        <v>0</v>
      </c>
      <c r="AJ523">
        <v>0</v>
      </c>
      <c r="AK523">
        <v>0</v>
      </c>
      <c r="AL523">
        <v>0</v>
      </c>
      <c r="AM523">
        <v>0</v>
      </c>
      <c r="AN523">
        <v>0</v>
      </c>
      <c r="AO523">
        <v>0</v>
      </c>
      <c r="AP523">
        <v>0</v>
      </c>
      <c r="AQ523">
        <v>0</v>
      </c>
      <c r="AR523">
        <v>0</v>
      </c>
      <c r="AS523">
        <v>0</v>
      </c>
      <c r="AT523">
        <v>0</v>
      </c>
      <c r="AU523">
        <v>0</v>
      </c>
      <c r="AV523">
        <v>0</v>
      </c>
      <c r="AW523">
        <v>0</v>
      </c>
      <c r="AX523">
        <v>0</v>
      </c>
      <c r="AY523">
        <v>0</v>
      </c>
      <c r="AZ523">
        <v>0</v>
      </c>
      <c r="BA523">
        <v>0</v>
      </c>
      <c r="BB523">
        <v>0</v>
      </c>
      <c r="BC523">
        <v>0</v>
      </c>
      <c r="BD523">
        <v>0</v>
      </c>
      <c r="BE523">
        <v>0</v>
      </c>
      <c r="BF523">
        <v>0</v>
      </c>
      <c r="BG523">
        <v>0</v>
      </c>
      <c r="BH523">
        <v>0</v>
      </c>
      <c r="BI523">
        <v>0</v>
      </c>
      <c r="BJ523">
        <v>0</v>
      </c>
      <c r="BK523">
        <v>0</v>
      </c>
      <c r="BL523">
        <v>0</v>
      </c>
      <c r="BM523">
        <v>0</v>
      </c>
      <c r="BN523">
        <v>0</v>
      </c>
      <c r="BO523">
        <v>0</v>
      </c>
      <c r="BP523">
        <v>0</v>
      </c>
      <c r="BQ523">
        <v>0</v>
      </c>
      <c r="BR523">
        <v>0</v>
      </c>
      <c r="BS523">
        <v>0</v>
      </c>
    </row>
    <row r="524" spans="1:71" x14ac:dyDescent="0.3">
      <c r="A524" t="s">
        <v>2348</v>
      </c>
      <c r="B524" t="s">
        <v>2349</v>
      </c>
      <c r="C524" t="s">
        <v>29</v>
      </c>
      <c r="D524" t="s">
        <v>29</v>
      </c>
      <c r="E524" t="s">
        <v>29</v>
      </c>
      <c r="F524" t="s">
        <v>2350</v>
      </c>
      <c r="G524">
        <v>2022</v>
      </c>
      <c r="H524">
        <v>2022</v>
      </c>
      <c r="I524" t="s">
        <v>29</v>
      </c>
      <c r="J524" t="s">
        <v>29</v>
      </c>
      <c r="K524" t="s">
        <v>29</v>
      </c>
      <c r="L524" t="s">
        <v>29</v>
      </c>
      <c r="M524" t="s">
        <v>29</v>
      </c>
      <c r="N524">
        <v>174</v>
      </c>
      <c r="O524">
        <v>178</v>
      </c>
      <c r="P524" t="s">
        <v>29</v>
      </c>
      <c r="Q524" t="s">
        <v>2351</v>
      </c>
      <c r="R524" t="s">
        <v>2352</v>
      </c>
      <c r="S524" t="s">
        <v>2353</v>
      </c>
      <c r="T524">
        <v>0</v>
      </c>
      <c r="U524">
        <v>0</v>
      </c>
      <c r="V524">
        <v>0</v>
      </c>
      <c r="W524">
        <v>0</v>
      </c>
      <c r="X524">
        <v>0</v>
      </c>
      <c r="Y524">
        <v>0</v>
      </c>
      <c r="Z524">
        <v>0</v>
      </c>
      <c r="AA524">
        <v>0</v>
      </c>
      <c r="AB524">
        <v>0</v>
      </c>
      <c r="AC524">
        <v>0</v>
      </c>
      <c r="AD524">
        <v>0</v>
      </c>
      <c r="AE524">
        <v>0</v>
      </c>
      <c r="AF524">
        <v>0</v>
      </c>
      <c r="AG524">
        <v>0</v>
      </c>
      <c r="AH524">
        <v>0</v>
      </c>
      <c r="AI524">
        <v>0</v>
      </c>
      <c r="AJ524">
        <v>0</v>
      </c>
      <c r="AK524">
        <v>0</v>
      </c>
      <c r="AL524">
        <v>0</v>
      </c>
      <c r="AM524">
        <v>0</v>
      </c>
      <c r="AN524">
        <v>0</v>
      </c>
      <c r="AO524">
        <v>0</v>
      </c>
      <c r="AP524">
        <v>0</v>
      </c>
      <c r="AQ524">
        <v>0</v>
      </c>
      <c r="AR524">
        <v>0</v>
      </c>
      <c r="AS524">
        <v>0</v>
      </c>
      <c r="AT524">
        <v>0</v>
      </c>
      <c r="AU524">
        <v>0</v>
      </c>
      <c r="AV524">
        <v>0</v>
      </c>
      <c r="AW524">
        <v>0</v>
      </c>
      <c r="AX524">
        <v>0</v>
      </c>
      <c r="AY524">
        <v>0</v>
      </c>
      <c r="AZ524">
        <v>0</v>
      </c>
      <c r="BA524">
        <v>0</v>
      </c>
      <c r="BB524">
        <v>0</v>
      </c>
      <c r="BC524">
        <v>0</v>
      </c>
      <c r="BD524">
        <v>0</v>
      </c>
      <c r="BE524">
        <v>0</v>
      </c>
      <c r="BF524">
        <v>0</v>
      </c>
      <c r="BG524">
        <v>0</v>
      </c>
      <c r="BH524">
        <v>0</v>
      </c>
      <c r="BI524">
        <v>0</v>
      </c>
      <c r="BJ524">
        <v>0</v>
      </c>
      <c r="BK524">
        <v>0</v>
      </c>
      <c r="BL524">
        <v>0</v>
      </c>
      <c r="BM524">
        <v>0</v>
      </c>
      <c r="BN524">
        <v>0</v>
      </c>
      <c r="BO524">
        <v>0</v>
      </c>
      <c r="BP524">
        <v>0</v>
      </c>
      <c r="BQ524">
        <v>0</v>
      </c>
      <c r="BR524">
        <v>0</v>
      </c>
      <c r="BS524">
        <v>0</v>
      </c>
    </row>
    <row r="525" spans="1:71" x14ac:dyDescent="0.3">
      <c r="A525" t="s">
        <v>2354</v>
      </c>
      <c r="B525" t="s">
        <v>2355</v>
      </c>
      <c r="C525" t="s">
        <v>29</v>
      </c>
      <c r="D525" t="s">
        <v>29</v>
      </c>
      <c r="E525" t="s">
        <v>2356</v>
      </c>
      <c r="F525" t="s">
        <v>2357</v>
      </c>
      <c r="G525">
        <v>2022</v>
      </c>
      <c r="H525">
        <v>2022</v>
      </c>
      <c r="I525">
        <v>389</v>
      </c>
      <c r="J525" t="s">
        <v>29</v>
      </c>
      <c r="K525" t="s">
        <v>29</v>
      </c>
      <c r="L525" t="s">
        <v>29</v>
      </c>
      <c r="M525" t="s">
        <v>29</v>
      </c>
      <c r="N525">
        <v>585</v>
      </c>
      <c r="O525">
        <v>592</v>
      </c>
      <c r="P525" t="s">
        <v>29</v>
      </c>
      <c r="Q525" t="s">
        <v>2358</v>
      </c>
      <c r="R525" t="s">
        <v>2359</v>
      </c>
      <c r="S525" t="s">
        <v>2360</v>
      </c>
      <c r="T525">
        <v>0</v>
      </c>
      <c r="U525">
        <v>0</v>
      </c>
      <c r="V525">
        <v>0</v>
      </c>
      <c r="W525">
        <v>0</v>
      </c>
      <c r="X525">
        <v>0</v>
      </c>
      <c r="Y525">
        <v>0</v>
      </c>
      <c r="Z525">
        <v>0</v>
      </c>
      <c r="AA525">
        <v>0</v>
      </c>
      <c r="AB525">
        <v>0</v>
      </c>
      <c r="AC525">
        <v>0</v>
      </c>
      <c r="AD525">
        <v>0</v>
      </c>
      <c r="AE525">
        <v>0</v>
      </c>
      <c r="AF525">
        <v>0</v>
      </c>
      <c r="AG525">
        <v>0</v>
      </c>
      <c r="AH525">
        <v>0</v>
      </c>
      <c r="AI525">
        <v>0</v>
      </c>
      <c r="AJ525">
        <v>0</v>
      </c>
      <c r="AK525">
        <v>0</v>
      </c>
      <c r="AL525">
        <v>0</v>
      </c>
      <c r="AM525">
        <v>0</v>
      </c>
      <c r="AN525">
        <v>0</v>
      </c>
      <c r="AO525">
        <v>0</v>
      </c>
      <c r="AP525">
        <v>0</v>
      </c>
      <c r="AQ525">
        <v>0</v>
      </c>
      <c r="AR525">
        <v>0</v>
      </c>
      <c r="AS525">
        <v>0</v>
      </c>
      <c r="AT525">
        <v>0</v>
      </c>
      <c r="AU525">
        <v>0</v>
      </c>
      <c r="AV525">
        <v>0</v>
      </c>
      <c r="AW525">
        <v>0</v>
      </c>
      <c r="AX525">
        <v>0</v>
      </c>
      <c r="AY525">
        <v>0</v>
      </c>
      <c r="AZ525">
        <v>0</v>
      </c>
      <c r="BA525">
        <v>0</v>
      </c>
      <c r="BB525">
        <v>0</v>
      </c>
      <c r="BC525">
        <v>0</v>
      </c>
      <c r="BD525">
        <v>0</v>
      </c>
      <c r="BE525">
        <v>0</v>
      </c>
      <c r="BF525">
        <v>0</v>
      </c>
      <c r="BG525">
        <v>0</v>
      </c>
      <c r="BH525">
        <v>0</v>
      </c>
      <c r="BI525">
        <v>0</v>
      </c>
      <c r="BJ525">
        <v>0</v>
      </c>
      <c r="BK525">
        <v>0</v>
      </c>
      <c r="BL525">
        <v>0</v>
      </c>
      <c r="BM525">
        <v>0</v>
      </c>
      <c r="BN525">
        <v>0</v>
      </c>
      <c r="BO525">
        <v>0</v>
      </c>
      <c r="BP525">
        <v>0</v>
      </c>
      <c r="BQ525">
        <v>0</v>
      </c>
      <c r="BR525">
        <v>0</v>
      </c>
      <c r="BS525">
        <v>0</v>
      </c>
    </row>
    <row r="526" spans="1:71" x14ac:dyDescent="0.3">
      <c r="A526" t="s">
        <v>2361</v>
      </c>
      <c r="B526" t="s">
        <v>2362</v>
      </c>
      <c r="C526" t="s">
        <v>29</v>
      </c>
      <c r="D526" t="s">
        <v>29</v>
      </c>
      <c r="E526" t="s">
        <v>29</v>
      </c>
      <c r="F526" t="s">
        <v>2363</v>
      </c>
      <c r="G526">
        <v>2022</v>
      </c>
      <c r="H526">
        <v>2022</v>
      </c>
      <c r="I526">
        <v>24</v>
      </c>
      <c r="J526">
        <v>1</v>
      </c>
      <c r="K526" t="s">
        <v>29</v>
      </c>
      <c r="L526" t="s">
        <v>29</v>
      </c>
      <c r="M526" t="s">
        <v>29</v>
      </c>
      <c r="N526">
        <v>90</v>
      </c>
      <c r="O526">
        <v>103</v>
      </c>
      <c r="P526" t="s">
        <v>29</v>
      </c>
      <c r="Q526" t="s">
        <v>2364</v>
      </c>
      <c r="R526" t="s">
        <v>29</v>
      </c>
      <c r="S526" t="s">
        <v>29</v>
      </c>
      <c r="T526">
        <v>0</v>
      </c>
      <c r="U526">
        <v>0</v>
      </c>
      <c r="V526">
        <v>0</v>
      </c>
      <c r="W526">
        <v>0</v>
      </c>
      <c r="X526">
        <v>0</v>
      </c>
      <c r="Y526">
        <v>0</v>
      </c>
      <c r="Z526">
        <v>0</v>
      </c>
      <c r="AA526">
        <v>0</v>
      </c>
      <c r="AB526">
        <v>0</v>
      </c>
      <c r="AC526">
        <v>0</v>
      </c>
      <c r="AD526">
        <v>0</v>
      </c>
      <c r="AE526">
        <v>0</v>
      </c>
      <c r="AF526">
        <v>0</v>
      </c>
      <c r="AG526">
        <v>0</v>
      </c>
      <c r="AH526">
        <v>0</v>
      </c>
      <c r="AI526">
        <v>0</v>
      </c>
      <c r="AJ526">
        <v>0</v>
      </c>
      <c r="AK526">
        <v>0</v>
      </c>
      <c r="AL526">
        <v>0</v>
      </c>
      <c r="AM526">
        <v>0</v>
      </c>
      <c r="AN526">
        <v>0</v>
      </c>
      <c r="AO526">
        <v>0</v>
      </c>
      <c r="AP526">
        <v>0</v>
      </c>
      <c r="AQ526">
        <v>0</v>
      </c>
      <c r="AR526">
        <v>0</v>
      </c>
      <c r="AS526">
        <v>0</v>
      </c>
      <c r="AT526">
        <v>0</v>
      </c>
      <c r="AU526">
        <v>0</v>
      </c>
      <c r="AV526">
        <v>0</v>
      </c>
      <c r="AW526">
        <v>0</v>
      </c>
      <c r="AX526">
        <v>0</v>
      </c>
      <c r="AY526">
        <v>0</v>
      </c>
      <c r="AZ526">
        <v>0</v>
      </c>
      <c r="BA526">
        <v>0</v>
      </c>
      <c r="BB526">
        <v>0</v>
      </c>
      <c r="BC526">
        <v>0</v>
      </c>
      <c r="BD526">
        <v>0</v>
      </c>
      <c r="BE526">
        <v>0</v>
      </c>
      <c r="BF526">
        <v>0</v>
      </c>
      <c r="BG526">
        <v>0</v>
      </c>
      <c r="BH526">
        <v>0</v>
      </c>
      <c r="BI526">
        <v>0</v>
      </c>
      <c r="BJ526">
        <v>0</v>
      </c>
      <c r="BK526">
        <v>0</v>
      </c>
      <c r="BL526">
        <v>0</v>
      </c>
      <c r="BM526">
        <v>0</v>
      </c>
      <c r="BN526">
        <v>0</v>
      </c>
      <c r="BO526">
        <v>0</v>
      </c>
      <c r="BP526">
        <v>0</v>
      </c>
      <c r="BQ526">
        <v>0</v>
      </c>
      <c r="BR526">
        <v>0</v>
      </c>
      <c r="BS526">
        <v>0</v>
      </c>
    </row>
    <row r="527" spans="1:71" x14ac:dyDescent="0.3">
      <c r="A527" t="s">
        <v>2365</v>
      </c>
      <c r="B527" t="s">
        <v>2366</v>
      </c>
      <c r="C527" t="s">
        <v>29</v>
      </c>
      <c r="D527" t="s">
        <v>29</v>
      </c>
      <c r="E527" t="s">
        <v>29</v>
      </c>
      <c r="F527" t="s">
        <v>2367</v>
      </c>
      <c r="G527">
        <v>2022</v>
      </c>
      <c r="H527">
        <v>2022</v>
      </c>
      <c r="I527">
        <v>14</v>
      </c>
      <c r="J527">
        <v>2</v>
      </c>
      <c r="K527" t="s">
        <v>29</v>
      </c>
      <c r="L527" t="s">
        <v>29</v>
      </c>
      <c r="M527" t="s">
        <v>29</v>
      </c>
      <c r="N527">
        <v>6651</v>
      </c>
      <c r="O527">
        <v>6660</v>
      </c>
      <c r="P527" t="s">
        <v>29</v>
      </c>
      <c r="Q527" t="s">
        <v>2368</v>
      </c>
      <c r="R527" t="s">
        <v>29</v>
      </c>
      <c r="S527" t="s">
        <v>29</v>
      </c>
      <c r="T527">
        <v>0</v>
      </c>
      <c r="U527">
        <v>0</v>
      </c>
      <c r="V527">
        <v>0</v>
      </c>
      <c r="W527">
        <v>0</v>
      </c>
      <c r="X527">
        <v>0</v>
      </c>
      <c r="Y527">
        <v>0</v>
      </c>
      <c r="Z527">
        <v>0</v>
      </c>
      <c r="AA527">
        <v>0</v>
      </c>
      <c r="AB527">
        <v>0</v>
      </c>
      <c r="AC527">
        <v>0</v>
      </c>
      <c r="AD527">
        <v>0</v>
      </c>
      <c r="AE527">
        <v>0</v>
      </c>
      <c r="AF527">
        <v>0</v>
      </c>
      <c r="AG527">
        <v>0</v>
      </c>
      <c r="AH527">
        <v>0</v>
      </c>
      <c r="AI527">
        <v>0</v>
      </c>
      <c r="AJ527">
        <v>0</v>
      </c>
      <c r="AK527">
        <v>0</v>
      </c>
      <c r="AL527">
        <v>0</v>
      </c>
      <c r="AM527">
        <v>0</v>
      </c>
      <c r="AN527">
        <v>0</v>
      </c>
      <c r="AO527">
        <v>0</v>
      </c>
      <c r="AP527">
        <v>0</v>
      </c>
      <c r="AQ527">
        <v>0</v>
      </c>
      <c r="AR527">
        <v>0</v>
      </c>
      <c r="AS527">
        <v>0</v>
      </c>
      <c r="AT527">
        <v>0</v>
      </c>
      <c r="AU527">
        <v>0</v>
      </c>
      <c r="AV527">
        <v>0</v>
      </c>
      <c r="AW527">
        <v>0</v>
      </c>
      <c r="AX527">
        <v>0</v>
      </c>
      <c r="AY527">
        <v>0</v>
      </c>
      <c r="AZ527">
        <v>0</v>
      </c>
      <c r="BA527">
        <v>0</v>
      </c>
      <c r="BB527">
        <v>0</v>
      </c>
      <c r="BC527">
        <v>0</v>
      </c>
      <c r="BD527">
        <v>0</v>
      </c>
      <c r="BE527">
        <v>0</v>
      </c>
      <c r="BF527">
        <v>0</v>
      </c>
      <c r="BG527">
        <v>0</v>
      </c>
      <c r="BH527">
        <v>0</v>
      </c>
      <c r="BI527">
        <v>0</v>
      </c>
      <c r="BJ527">
        <v>0</v>
      </c>
      <c r="BK527">
        <v>0</v>
      </c>
      <c r="BL527">
        <v>0</v>
      </c>
      <c r="BM527">
        <v>0</v>
      </c>
      <c r="BN527">
        <v>0</v>
      </c>
      <c r="BO527">
        <v>0</v>
      </c>
      <c r="BP527">
        <v>0</v>
      </c>
      <c r="BQ527">
        <v>0</v>
      </c>
      <c r="BR527">
        <v>0</v>
      </c>
      <c r="BS527">
        <v>0</v>
      </c>
    </row>
    <row r="528" spans="1:71" x14ac:dyDescent="0.3">
      <c r="A528" t="s">
        <v>2369</v>
      </c>
      <c r="B528" t="s">
        <v>2370</v>
      </c>
      <c r="C528" t="s">
        <v>29</v>
      </c>
      <c r="D528" t="s">
        <v>29</v>
      </c>
      <c r="E528" t="s">
        <v>1632</v>
      </c>
      <c r="F528" t="s">
        <v>1633</v>
      </c>
      <c r="G528">
        <v>2022</v>
      </c>
      <c r="H528">
        <v>2022</v>
      </c>
      <c r="I528">
        <v>1720</v>
      </c>
      <c r="J528" t="s">
        <v>29</v>
      </c>
      <c r="K528" t="s">
        <v>29</v>
      </c>
      <c r="L528" t="s">
        <v>29</v>
      </c>
      <c r="M528" t="s">
        <v>29</v>
      </c>
      <c r="N528">
        <v>329</v>
      </c>
      <c r="O528">
        <v>341</v>
      </c>
      <c r="P528" t="s">
        <v>29</v>
      </c>
      <c r="Q528" t="s">
        <v>2371</v>
      </c>
      <c r="R528" t="s">
        <v>1635</v>
      </c>
      <c r="S528" t="s">
        <v>1636</v>
      </c>
      <c r="T528">
        <v>0</v>
      </c>
      <c r="U528">
        <v>0</v>
      </c>
      <c r="V528">
        <v>0</v>
      </c>
      <c r="W528">
        <v>0</v>
      </c>
      <c r="X528">
        <v>0</v>
      </c>
      <c r="Y528">
        <v>0</v>
      </c>
      <c r="Z528">
        <v>0</v>
      </c>
      <c r="AA528">
        <v>0</v>
      </c>
      <c r="AB528">
        <v>0</v>
      </c>
      <c r="AC528">
        <v>0</v>
      </c>
      <c r="AD528">
        <v>0</v>
      </c>
      <c r="AE528">
        <v>0</v>
      </c>
      <c r="AF528">
        <v>0</v>
      </c>
      <c r="AG528">
        <v>0</v>
      </c>
      <c r="AH528">
        <v>0</v>
      </c>
      <c r="AI528">
        <v>0</v>
      </c>
      <c r="AJ528">
        <v>0</v>
      </c>
      <c r="AK528">
        <v>0</v>
      </c>
      <c r="AL528">
        <v>0</v>
      </c>
      <c r="AM528">
        <v>0</v>
      </c>
      <c r="AN528">
        <v>0</v>
      </c>
      <c r="AO528">
        <v>0</v>
      </c>
      <c r="AP528">
        <v>0</v>
      </c>
      <c r="AQ528">
        <v>0</v>
      </c>
      <c r="AR528">
        <v>0</v>
      </c>
      <c r="AS528">
        <v>0</v>
      </c>
      <c r="AT528">
        <v>0</v>
      </c>
      <c r="AU528">
        <v>0</v>
      </c>
      <c r="AV528">
        <v>0</v>
      </c>
      <c r="AW528">
        <v>0</v>
      </c>
      <c r="AX528">
        <v>0</v>
      </c>
      <c r="AY528">
        <v>0</v>
      </c>
      <c r="AZ528">
        <v>0</v>
      </c>
      <c r="BA528">
        <v>0</v>
      </c>
      <c r="BB528">
        <v>0</v>
      </c>
      <c r="BC528">
        <v>0</v>
      </c>
      <c r="BD528">
        <v>0</v>
      </c>
      <c r="BE528">
        <v>0</v>
      </c>
      <c r="BF528">
        <v>0</v>
      </c>
      <c r="BG528">
        <v>0</v>
      </c>
      <c r="BH528">
        <v>0</v>
      </c>
      <c r="BI528">
        <v>0</v>
      </c>
      <c r="BJ528">
        <v>0</v>
      </c>
      <c r="BK528">
        <v>0</v>
      </c>
      <c r="BL528">
        <v>0</v>
      </c>
      <c r="BM528">
        <v>0</v>
      </c>
      <c r="BN528">
        <v>0</v>
      </c>
      <c r="BO528">
        <v>0</v>
      </c>
      <c r="BP528">
        <v>0</v>
      </c>
      <c r="BQ528">
        <v>0</v>
      </c>
      <c r="BR528">
        <v>0</v>
      </c>
      <c r="BS528">
        <v>0</v>
      </c>
    </row>
    <row r="529" spans="1:71" x14ac:dyDescent="0.3">
      <c r="A529" t="s">
        <v>2372</v>
      </c>
      <c r="B529" t="s">
        <v>2373</v>
      </c>
      <c r="C529" t="s">
        <v>29</v>
      </c>
      <c r="D529" t="s">
        <v>29</v>
      </c>
      <c r="E529" t="s">
        <v>29</v>
      </c>
      <c r="F529" t="s">
        <v>2374</v>
      </c>
      <c r="G529">
        <v>2022</v>
      </c>
      <c r="H529">
        <v>2022</v>
      </c>
      <c r="I529">
        <v>28</v>
      </c>
      <c r="J529">
        <v>57</v>
      </c>
      <c r="K529" t="s">
        <v>29</v>
      </c>
      <c r="L529" t="s">
        <v>29</v>
      </c>
      <c r="M529" t="s">
        <v>29</v>
      </c>
      <c r="N529" t="s">
        <v>29</v>
      </c>
      <c r="O529" t="s">
        <v>29</v>
      </c>
      <c r="P529" t="s">
        <v>29</v>
      </c>
      <c r="Q529" t="s">
        <v>2375</v>
      </c>
      <c r="R529" t="s">
        <v>29</v>
      </c>
      <c r="S529" t="s">
        <v>29</v>
      </c>
      <c r="T529">
        <v>0</v>
      </c>
      <c r="U529">
        <v>0</v>
      </c>
      <c r="V529">
        <v>0</v>
      </c>
      <c r="W529">
        <v>0</v>
      </c>
      <c r="X529">
        <v>0</v>
      </c>
      <c r="Y529">
        <v>0</v>
      </c>
      <c r="Z529">
        <v>0</v>
      </c>
      <c r="AA529">
        <v>0</v>
      </c>
      <c r="AB529">
        <v>0</v>
      </c>
      <c r="AC529">
        <v>0</v>
      </c>
      <c r="AD529">
        <v>0</v>
      </c>
      <c r="AE529">
        <v>0</v>
      </c>
      <c r="AF529">
        <v>0</v>
      </c>
      <c r="AG529">
        <v>0</v>
      </c>
      <c r="AH529">
        <v>0</v>
      </c>
      <c r="AI529">
        <v>0</v>
      </c>
      <c r="AJ529">
        <v>0</v>
      </c>
      <c r="AK529">
        <v>0</v>
      </c>
      <c r="AL529">
        <v>0</v>
      </c>
      <c r="AM529">
        <v>0</v>
      </c>
      <c r="AN529">
        <v>0</v>
      </c>
      <c r="AO529">
        <v>0</v>
      </c>
      <c r="AP529">
        <v>0</v>
      </c>
      <c r="AQ529">
        <v>0</v>
      </c>
      <c r="AR529">
        <v>0</v>
      </c>
      <c r="AS529">
        <v>0</v>
      </c>
      <c r="AT529">
        <v>0</v>
      </c>
      <c r="AU529">
        <v>0</v>
      </c>
      <c r="AV529">
        <v>0</v>
      </c>
      <c r="AW529">
        <v>0</v>
      </c>
      <c r="AX529">
        <v>0</v>
      </c>
      <c r="AY529">
        <v>0</v>
      </c>
      <c r="AZ529">
        <v>0</v>
      </c>
      <c r="BA529">
        <v>0</v>
      </c>
      <c r="BB529">
        <v>0</v>
      </c>
      <c r="BC529">
        <v>0</v>
      </c>
      <c r="BD529">
        <v>0</v>
      </c>
      <c r="BE529">
        <v>0</v>
      </c>
      <c r="BF529">
        <v>0</v>
      </c>
      <c r="BG529">
        <v>0</v>
      </c>
      <c r="BH529">
        <v>0</v>
      </c>
      <c r="BI529">
        <v>0</v>
      </c>
      <c r="BJ529">
        <v>0</v>
      </c>
      <c r="BK529">
        <v>0</v>
      </c>
      <c r="BL529">
        <v>0</v>
      </c>
      <c r="BM529">
        <v>0</v>
      </c>
      <c r="BN529">
        <v>0</v>
      </c>
      <c r="BO529">
        <v>0</v>
      </c>
      <c r="BP529">
        <v>0</v>
      </c>
      <c r="BQ529">
        <v>0</v>
      </c>
      <c r="BR529">
        <v>0</v>
      </c>
      <c r="BS529">
        <v>0</v>
      </c>
    </row>
    <row r="530" spans="1:71" x14ac:dyDescent="0.3">
      <c r="A530" t="s">
        <v>2376</v>
      </c>
      <c r="B530" t="s">
        <v>2377</v>
      </c>
      <c r="C530" t="s">
        <v>29</v>
      </c>
      <c r="D530" t="s">
        <v>29</v>
      </c>
      <c r="E530" t="s">
        <v>2378</v>
      </c>
      <c r="F530" t="s">
        <v>2379</v>
      </c>
      <c r="G530">
        <v>2022</v>
      </c>
      <c r="H530">
        <v>2022</v>
      </c>
      <c r="I530">
        <v>284</v>
      </c>
      <c r="J530" t="s">
        <v>29</v>
      </c>
      <c r="K530" t="s">
        <v>29</v>
      </c>
      <c r="L530" t="s">
        <v>29</v>
      </c>
      <c r="M530" t="s">
        <v>29</v>
      </c>
      <c r="N530">
        <v>203</v>
      </c>
      <c r="O530">
        <v>213</v>
      </c>
      <c r="P530" t="s">
        <v>29</v>
      </c>
      <c r="Q530" t="s">
        <v>2380</v>
      </c>
      <c r="R530" t="s">
        <v>2381</v>
      </c>
      <c r="S530" t="s">
        <v>2382</v>
      </c>
      <c r="T530">
        <v>0</v>
      </c>
      <c r="U530">
        <v>0</v>
      </c>
      <c r="V530">
        <v>0</v>
      </c>
      <c r="W530">
        <v>0</v>
      </c>
      <c r="X530">
        <v>0</v>
      </c>
      <c r="Y530">
        <v>0</v>
      </c>
      <c r="Z530">
        <v>0</v>
      </c>
      <c r="AA530">
        <v>0</v>
      </c>
      <c r="AB530">
        <v>0</v>
      </c>
      <c r="AC530">
        <v>0</v>
      </c>
      <c r="AD530">
        <v>0</v>
      </c>
      <c r="AE530">
        <v>0</v>
      </c>
      <c r="AF530">
        <v>0</v>
      </c>
      <c r="AG530">
        <v>0</v>
      </c>
      <c r="AH530">
        <v>0</v>
      </c>
      <c r="AI530">
        <v>0</v>
      </c>
      <c r="AJ530">
        <v>0</v>
      </c>
      <c r="AK530">
        <v>0</v>
      </c>
      <c r="AL530">
        <v>0</v>
      </c>
      <c r="AM530">
        <v>0</v>
      </c>
      <c r="AN530">
        <v>0</v>
      </c>
      <c r="AO530">
        <v>0</v>
      </c>
      <c r="AP530">
        <v>0</v>
      </c>
      <c r="AQ530">
        <v>0</v>
      </c>
      <c r="AR530">
        <v>0</v>
      </c>
      <c r="AS530">
        <v>0</v>
      </c>
      <c r="AT530">
        <v>0</v>
      </c>
      <c r="AU530">
        <v>0</v>
      </c>
      <c r="AV530">
        <v>0</v>
      </c>
      <c r="AW530">
        <v>0</v>
      </c>
      <c r="AX530">
        <v>0</v>
      </c>
      <c r="AY530">
        <v>0</v>
      </c>
      <c r="AZ530">
        <v>0</v>
      </c>
      <c r="BA530">
        <v>0</v>
      </c>
      <c r="BB530">
        <v>0</v>
      </c>
      <c r="BC530">
        <v>0</v>
      </c>
      <c r="BD530">
        <v>0</v>
      </c>
      <c r="BE530">
        <v>0</v>
      </c>
      <c r="BF530">
        <v>0</v>
      </c>
      <c r="BG530">
        <v>0</v>
      </c>
      <c r="BH530">
        <v>0</v>
      </c>
      <c r="BI530">
        <v>0</v>
      </c>
      <c r="BJ530">
        <v>0</v>
      </c>
      <c r="BK530">
        <v>0</v>
      </c>
      <c r="BL530">
        <v>0</v>
      </c>
      <c r="BM530">
        <v>0</v>
      </c>
      <c r="BN530">
        <v>0</v>
      </c>
      <c r="BO530">
        <v>0</v>
      </c>
      <c r="BP530">
        <v>0</v>
      </c>
      <c r="BQ530">
        <v>0</v>
      </c>
      <c r="BR530">
        <v>0</v>
      </c>
      <c r="BS530">
        <v>0</v>
      </c>
    </row>
    <row r="531" spans="1:71" x14ac:dyDescent="0.3">
      <c r="A531" t="s">
        <v>2383</v>
      </c>
      <c r="B531" t="s">
        <v>2384</v>
      </c>
      <c r="C531" t="s">
        <v>29</v>
      </c>
      <c r="D531" t="s">
        <v>29</v>
      </c>
      <c r="E531" t="s">
        <v>29</v>
      </c>
      <c r="F531" t="s">
        <v>2385</v>
      </c>
      <c r="G531">
        <v>2022</v>
      </c>
      <c r="H531">
        <v>2022</v>
      </c>
      <c r="I531">
        <v>13</v>
      </c>
      <c r="J531">
        <v>2</v>
      </c>
      <c r="K531" t="s">
        <v>29</v>
      </c>
      <c r="L531" t="s">
        <v>29</v>
      </c>
      <c r="M531" t="s">
        <v>29</v>
      </c>
      <c r="N531">
        <v>135</v>
      </c>
      <c r="O531">
        <v>149</v>
      </c>
      <c r="P531" t="s">
        <v>29</v>
      </c>
      <c r="Q531" t="s">
        <v>2386</v>
      </c>
      <c r="R531" t="s">
        <v>29</v>
      </c>
      <c r="S531" t="s">
        <v>29</v>
      </c>
      <c r="T531">
        <v>0</v>
      </c>
      <c r="U531">
        <v>0</v>
      </c>
      <c r="V531">
        <v>0</v>
      </c>
      <c r="W531">
        <v>0</v>
      </c>
      <c r="X531">
        <v>0</v>
      </c>
      <c r="Y531">
        <v>0</v>
      </c>
      <c r="Z531">
        <v>0</v>
      </c>
      <c r="AA531">
        <v>0</v>
      </c>
      <c r="AB531">
        <v>0</v>
      </c>
      <c r="AC531">
        <v>0</v>
      </c>
      <c r="AD531">
        <v>0</v>
      </c>
      <c r="AE531">
        <v>0</v>
      </c>
      <c r="AF531">
        <v>0</v>
      </c>
      <c r="AG531">
        <v>0</v>
      </c>
      <c r="AH531">
        <v>0</v>
      </c>
      <c r="AI531">
        <v>0</v>
      </c>
      <c r="AJ531">
        <v>0</v>
      </c>
      <c r="AK531">
        <v>0</v>
      </c>
      <c r="AL531">
        <v>0</v>
      </c>
      <c r="AM531">
        <v>0</v>
      </c>
      <c r="AN531">
        <v>0</v>
      </c>
      <c r="AO531">
        <v>0</v>
      </c>
      <c r="AP531">
        <v>0</v>
      </c>
      <c r="AQ531">
        <v>0</v>
      </c>
      <c r="AR531">
        <v>0</v>
      </c>
      <c r="AS531">
        <v>0</v>
      </c>
      <c r="AT531">
        <v>0</v>
      </c>
      <c r="AU531">
        <v>0</v>
      </c>
      <c r="AV531">
        <v>0</v>
      </c>
      <c r="AW531">
        <v>0</v>
      </c>
      <c r="AX531">
        <v>0</v>
      </c>
      <c r="AY531">
        <v>0</v>
      </c>
      <c r="AZ531">
        <v>0</v>
      </c>
      <c r="BA531">
        <v>0</v>
      </c>
      <c r="BB531">
        <v>0</v>
      </c>
      <c r="BC531">
        <v>0</v>
      </c>
      <c r="BD531">
        <v>0</v>
      </c>
      <c r="BE531">
        <v>0</v>
      </c>
      <c r="BF531">
        <v>0</v>
      </c>
      <c r="BG531">
        <v>0</v>
      </c>
      <c r="BH531">
        <v>0</v>
      </c>
      <c r="BI531">
        <v>0</v>
      </c>
      <c r="BJ531">
        <v>0</v>
      </c>
      <c r="BK531">
        <v>0</v>
      </c>
      <c r="BL531">
        <v>0</v>
      </c>
      <c r="BM531">
        <v>0</v>
      </c>
      <c r="BN531">
        <v>0</v>
      </c>
      <c r="BO531">
        <v>0</v>
      </c>
      <c r="BP531">
        <v>0</v>
      </c>
      <c r="BQ531">
        <v>0</v>
      </c>
      <c r="BR531">
        <v>0</v>
      </c>
      <c r="BS531">
        <v>0</v>
      </c>
    </row>
    <row r="532" spans="1:71" x14ac:dyDescent="0.3">
      <c r="A532" t="s">
        <v>2387</v>
      </c>
      <c r="B532" t="s">
        <v>2388</v>
      </c>
      <c r="C532" t="s">
        <v>29</v>
      </c>
      <c r="D532" t="s">
        <v>29</v>
      </c>
      <c r="E532" t="s">
        <v>2389</v>
      </c>
      <c r="F532" t="s">
        <v>2390</v>
      </c>
      <c r="G532">
        <v>2022</v>
      </c>
      <c r="H532">
        <v>2022</v>
      </c>
      <c r="I532">
        <v>13286</v>
      </c>
      <c r="J532" t="s">
        <v>29</v>
      </c>
      <c r="K532" t="s">
        <v>29</v>
      </c>
      <c r="L532" t="s">
        <v>29</v>
      </c>
      <c r="M532" t="s">
        <v>29</v>
      </c>
      <c r="N532">
        <v>279</v>
      </c>
      <c r="O532">
        <v>290</v>
      </c>
      <c r="P532" t="s">
        <v>29</v>
      </c>
      <c r="Q532" t="s">
        <v>2391</v>
      </c>
      <c r="R532" t="s">
        <v>2392</v>
      </c>
      <c r="S532" t="s">
        <v>2393</v>
      </c>
      <c r="T532">
        <v>0</v>
      </c>
      <c r="U532">
        <v>0</v>
      </c>
      <c r="V532">
        <v>0</v>
      </c>
      <c r="W532">
        <v>0</v>
      </c>
      <c r="X532">
        <v>0</v>
      </c>
      <c r="Y532">
        <v>0</v>
      </c>
      <c r="Z532">
        <v>0</v>
      </c>
      <c r="AA532">
        <v>0</v>
      </c>
      <c r="AB532">
        <v>0</v>
      </c>
      <c r="AC532">
        <v>0</v>
      </c>
      <c r="AD532">
        <v>0</v>
      </c>
      <c r="AE532">
        <v>0</v>
      </c>
      <c r="AF532">
        <v>0</v>
      </c>
      <c r="AG532">
        <v>0</v>
      </c>
      <c r="AH532">
        <v>0</v>
      </c>
      <c r="AI532">
        <v>0</v>
      </c>
      <c r="AJ532">
        <v>0</v>
      </c>
      <c r="AK532">
        <v>0</v>
      </c>
      <c r="AL532">
        <v>0</v>
      </c>
      <c r="AM532">
        <v>0</v>
      </c>
      <c r="AN532">
        <v>0</v>
      </c>
      <c r="AO532">
        <v>0</v>
      </c>
      <c r="AP532">
        <v>0</v>
      </c>
      <c r="AQ532">
        <v>0</v>
      </c>
      <c r="AR532">
        <v>0</v>
      </c>
      <c r="AS532">
        <v>0</v>
      </c>
      <c r="AT532">
        <v>0</v>
      </c>
      <c r="AU532">
        <v>0</v>
      </c>
      <c r="AV532">
        <v>0</v>
      </c>
      <c r="AW532">
        <v>0</v>
      </c>
      <c r="AX532">
        <v>0</v>
      </c>
      <c r="AY532">
        <v>0</v>
      </c>
      <c r="AZ532">
        <v>0</v>
      </c>
      <c r="BA532">
        <v>0</v>
      </c>
      <c r="BB532">
        <v>0</v>
      </c>
      <c r="BC532">
        <v>0</v>
      </c>
      <c r="BD532">
        <v>0</v>
      </c>
      <c r="BE532">
        <v>0</v>
      </c>
      <c r="BF532">
        <v>0</v>
      </c>
      <c r="BG532">
        <v>0</v>
      </c>
      <c r="BH532">
        <v>0</v>
      </c>
      <c r="BI532">
        <v>0</v>
      </c>
      <c r="BJ532">
        <v>0</v>
      </c>
      <c r="BK532">
        <v>0</v>
      </c>
      <c r="BL532">
        <v>0</v>
      </c>
      <c r="BM532">
        <v>0</v>
      </c>
      <c r="BN532">
        <v>0</v>
      </c>
      <c r="BO532">
        <v>0</v>
      </c>
      <c r="BP532">
        <v>0</v>
      </c>
      <c r="BQ532">
        <v>0</v>
      </c>
      <c r="BR532">
        <v>0</v>
      </c>
      <c r="BS532">
        <v>0</v>
      </c>
    </row>
    <row r="533" spans="1:71" x14ac:dyDescent="0.3">
      <c r="A533" t="s">
        <v>2394</v>
      </c>
      <c r="B533" t="s">
        <v>2395</v>
      </c>
      <c r="C533" t="s">
        <v>29</v>
      </c>
      <c r="D533" t="s">
        <v>29</v>
      </c>
      <c r="E533" t="s">
        <v>29</v>
      </c>
      <c r="F533" t="s">
        <v>2396</v>
      </c>
      <c r="G533" t="s">
        <v>884</v>
      </c>
      <c r="H533">
        <v>2021</v>
      </c>
      <c r="I533">
        <v>1</v>
      </c>
      <c r="J533">
        <v>15</v>
      </c>
      <c r="K533" t="s">
        <v>29</v>
      </c>
      <c r="L533" t="s">
        <v>29</v>
      </c>
      <c r="M533" t="s">
        <v>32</v>
      </c>
      <c r="N533">
        <v>250</v>
      </c>
      <c r="O533">
        <v>256</v>
      </c>
      <c r="P533" t="s">
        <v>29</v>
      </c>
      <c r="Q533" t="s">
        <v>29</v>
      </c>
      <c r="R533" t="s">
        <v>29</v>
      </c>
      <c r="S533" t="s">
        <v>29</v>
      </c>
      <c r="T533">
        <v>0</v>
      </c>
      <c r="U533">
        <v>0</v>
      </c>
      <c r="V533">
        <v>0</v>
      </c>
      <c r="W533">
        <v>0</v>
      </c>
      <c r="X533">
        <v>0</v>
      </c>
      <c r="Y533">
        <v>0</v>
      </c>
      <c r="Z533">
        <v>0</v>
      </c>
      <c r="AA533">
        <v>0</v>
      </c>
      <c r="AB533">
        <v>0</v>
      </c>
      <c r="AC533">
        <v>0</v>
      </c>
      <c r="AD533">
        <v>0</v>
      </c>
      <c r="AE533">
        <v>0</v>
      </c>
      <c r="AF533">
        <v>0</v>
      </c>
      <c r="AG533">
        <v>0</v>
      </c>
      <c r="AH533">
        <v>0</v>
      </c>
      <c r="AI533">
        <v>0</v>
      </c>
      <c r="AJ533">
        <v>0</v>
      </c>
      <c r="AK533">
        <v>0</v>
      </c>
      <c r="AL533">
        <v>0</v>
      </c>
      <c r="AM533">
        <v>0</v>
      </c>
      <c r="AN533">
        <v>0</v>
      </c>
      <c r="AO533">
        <v>0</v>
      </c>
      <c r="AP533">
        <v>0</v>
      </c>
      <c r="AQ533">
        <v>0</v>
      </c>
      <c r="AR533">
        <v>0</v>
      </c>
      <c r="AS533">
        <v>0</v>
      </c>
      <c r="AT533">
        <v>0</v>
      </c>
      <c r="AU533">
        <v>0</v>
      </c>
      <c r="AV533">
        <v>0</v>
      </c>
      <c r="AW533">
        <v>0</v>
      </c>
      <c r="AX533">
        <v>0</v>
      </c>
      <c r="AY533">
        <v>0</v>
      </c>
      <c r="AZ533">
        <v>0</v>
      </c>
      <c r="BA533">
        <v>0</v>
      </c>
      <c r="BB533">
        <v>0</v>
      </c>
      <c r="BC533">
        <v>0</v>
      </c>
      <c r="BD533">
        <v>0</v>
      </c>
      <c r="BE533">
        <v>0</v>
      </c>
      <c r="BF533">
        <v>0</v>
      </c>
      <c r="BG533">
        <v>0</v>
      </c>
      <c r="BH533">
        <v>0</v>
      </c>
      <c r="BI533">
        <v>0</v>
      </c>
      <c r="BJ533">
        <v>0</v>
      </c>
      <c r="BK533">
        <v>0</v>
      </c>
      <c r="BL533">
        <v>0</v>
      </c>
      <c r="BM533">
        <v>0</v>
      </c>
      <c r="BN533">
        <v>0</v>
      </c>
      <c r="BO533">
        <v>0</v>
      </c>
      <c r="BP533">
        <v>0</v>
      </c>
      <c r="BQ533">
        <v>0</v>
      </c>
      <c r="BR533">
        <v>0</v>
      </c>
      <c r="BS533">
        <v>0</v>
      </c>
    </row>
    <row r="534" spans="1:71" x14ac:dyDescent="0.3">
      <c r="A534" t="s">
        <v>2397</v>
      </c>
      <c r="B534" t="s">
        <v>2398</v>
      </c>
      <c r="C534" t="s">
        <v>29</v>
      </c>
      <c r="D534" t="s">
        <v>29</v>
      </c>
      <c r="E534" t="s">
        <v>29</v>
      </c>
      <c r="F534" t="s">
        <v>1206</v>
      </c>
      <c r="G534" t="s">
        <v>2399</v>
      </c>
      <c r="H534">
        <v>2021</v>
      </c>
      <c r="I534">
        <v>15</v>
      </c>
      <c r="J534">
        <v>1</v>
      </c>
      <c r="K534" t="s">
        <v>29</v>
      </c>
      <c r="L534" t="s">
        <v>29</v>
      </c>
      <c r="M534" t="s">
        <v>29</v>
      </c>
      <c r="N534">
        <v>185</v>
      </c>
      <c r="O534">
        <v>195</v>
      </c>
      <c r="P534" t="s">
        <v>29</v>
      </c>
      <c r="Q534" t="s">
        <v>2400</v>
      </c>
      <c r="R534" t="s">
        <v>2401</v>
      </c>
      <c r="S534" t="s">
        <v>2402</v>
      </c>
      <c r="T534">
        <v>0</v>
      </c>
      <c r="U534">
        <v>0</v>
      </c>
      <c r="V534">
        <v>0</v>
      </c>
      <c r="W534">
        <v>0</v>
      </c>
      <c r="X534">
        <v>0</v>
      </c>
      <c r="Y534">
        <v>0</v>
      </c>
      <c r="Z534">
        <v>0</v>
      </c>
      <c r="AA534">
        <v>0</v>
      </c>
      <c r="AB534">
        <v>0</v>
      </c>
      <c r="AC534">
        <v>0</v>
      </c>
      <c r="AD534">
        <v>0</v>
      </c>
      <c r="AE534">
        <v>0</v>
      </c>
      <c r="AF534">
        <v>0</v>
      </c>
      <c r="AG534">
        <v>0</v>
      </c>
      <c r="AH534">
        <v>0</v>
      </c>
      <c r="AI534">
        <v>0</v>
      </c>
      <c r="AJ534">
        <v>0</v>
      </c>
      <c r="AK534">
        <v>0</v>
      </c>
      <c r="AL534">
        <v>0</v>
      </c>
      <c r="AM534">
        <v>0</v>
      </c>
      <c r="AN534">
        <v>0</v>
      </c>
      <c r="AO534">
        <v>0</v>
      </c>
      <c r="AP534">
        <v>0</v>
      </c>
      <c r="AQ534">
        <v>0</v>
      </c>
      <c r="AR534">
        <v>0</v>
      </c>
      <c r="AS534">
        <v>0</v>
      </c>
      <c r="AT534">
        <v>0</v>
      </c>
      <c r="AU534">
        <v>0</v>
      </c>
      <c r="AV534">
        <v>0</v>
      </c>
      <c r="AW534">
        <v>0</v>
      </c>
      <c r="AX534">
        <v>0</v>
      </c>
      <c r="AY534">
        <v>0</v>
      </c>
      <c r="AZ534">
        <v>0</v>
      </c>
      <c r="BA534">
        <v>0</v>
      </c>
      <c r="BB534">
        <v>0</v>
      </c>
      <c r="BC534">
        <v>0</v>
      </c>
      <c r="BD534">
        <v>0</v>
      </c>
      <c r="BE534">
        <v>0</v>
      </c>
      <c r="BF534">
        <v>0</v>
      </c>
      <c r="BG534">
        <v>0</v>
      </c>
      <c r="BH534">
        <v>0</v>
      </c>
      <c r="BI534">
        <v>0</v>
      </c>
      <c r="BJ534">
        <v>0</v>
      </c>
      <c r="BK534">
        <v>0</v>
      </c>
      <c r="BL534">
        <v>0</v>
      </c>
      <c r="BM534">
        <v>0</v>
      </c>
      <c r="BN534">
        <v>0</v>
      </c>
      <c r="BO534">
        <v>0</v>
      </c>
      <c r="BP534">
        <v>0</v>
      </c>
      <c r="BQ534">
        <v>0</v>
      </c>
      <c r="BR534">
        <v>0</v>
      </c>
      <c r="BS534">
        <v>0</v>
      </c>
    </row>
    <row r="535" spans="1:71" x14ac:dyDescent="0.3">
      <c r="A535" t="s">
        <v>2403</v>
      </c>
      <c r="B535" t="s">
        <v>2404</v>
      </c>
      <c r="C535" t="s">
        <v>29</v>
      </c>
      <c r="D535" t="s">
        <v>29</v>
      </c>
      <c r="E535" t="s">
        <v>29</v>
      </c>
      <c r="F535" t="s">
        <v>2405</v>
      </c>
      <c r="G535" t="s">
        <v>357</v>
      </c>
      <c r="H535">
        <v>2022</v>
      </c>
      <c r="I535">
        <v>38</v>
      </c>
      <c r="J535">
        <v>3</v>
      </c>
      <c r="K535" t="s">
        <v>29</v>
      </c>
      <c r="L535" t="s">
        <v>29</v>
      </c>
      <c r="M535" t="s">
        <v>29</v>
      </c>
      <c r="N535">
        <v>380</v>
      </c>
      <c r="O535">
        <v>390</v>
      </c>
      <c r="P535">
        <v>2666669211049135</v>
      </c>
      <c r="Q535" t="s">
        <v>2406</v>
      </c>
      <c r="R535" t="s">
        <v>29</v>
      </c>
      <c r="S535" t="s">
        <v>29</v>
      </c>
      <c r="T535">
        <v>0</v>
      </c>
      <c r="U535">
        <v>0</v>
      </c>
      <c r="V535">
        <v>0</v>
      </c>
      <c r="W535">
        <v>0</v>
      </c>
      <c r="X535">
        <v>0</v>
      </c>
      <c r="Y535">
        <v>0</v>
      </c>
      <c r="Z535">
        <v>0</v>
      </c>
      <c r="AA535">
        <v>0</v>
      </c>
      <c r="AB535">
        <v>0</v>
      </c>
      <c r="AC535">
        <v>0</v>
      </c>
      <c r="AD535">
        <v>0</v>
      </c>
      <c r="AE535">
        <v>0</v>
      </c>
      <c r="AF535">
        <v>0</v>
      </c>
      <c r="AG535">
        <v>0</v>
      </c>
      <c r="AH535">
        <v>0</v>
      </c>
      <c r="AI535">
        <v>0</v>
      </c>
      <c r="AJ535">
        <v>0</v>
      </c>
      <c r="AK535">
        <v>0</v>
      </c>
      <c r="AL535">
        <v>0</v>
      </c>
      <c r="AM535">
        <v>0</v>
      </c>
      <c r="AN535">
        <v>0</v>
      </c>
      <c r="AO535">
        <v>0</v>
      </c>
      <c r="AP535">
        <v>0</v>
      </c>
      <c r="AQ535">
        <v>0</v>
      </c>
      <c r="AR535">
        <v>0</v>
      </c>
      <c r="AS535">
        <v>0</v>
      </c>
      <c r="AT535">
        <v>0</v>
      </c>
      <c r="AU535">
        <v>0</v>
      </c>
      <c r="AV535">
        <v>0</v>
      </c>
      <c r="AW535">
        <v>0</v>
      </c>
      <c r="AX535">
        <v>0</v>
      </c>
      <c r="AY535">
        <v>0</v>
      </c>
      <c r="AZ535">
        <v>0</v>
      </c>
      <c r="BA535">
        <v>0</v>
      </c>
      <c r="BB535">
        <v>0</v>
      </c>
      <c r="BC535">
        <v>0</v>
      </c>
      <c r="BD535">
        <v>0</v>
      </c>
      <c r="BE535">
        <v>0</v>
      </c>
      <c r="BF535">
        <v>0</v>
      </c>
      <c r="BG535">
        <v>0</v>
      </c>
      <c r="BH535">
        <v>0</v>
      </c>
      <c r="BI535">
        <v>0</v>
      </c>
      <c r="BJ535">
        <v>0</v>
      </c>
      <c r="BK535">
        <v>0</v>
      </c>
      <c r="BL535">
        <v>0</v>
      </c>
      <c r="BM535">
        <v>0</v>
      </c>
      <c r="BN535">
        <v>0</v>
      </c>
      <c r="BO535">
        <v>0</v>
      </c>
      <c r="BP535">
        <v>0</v>
      </c>
      <c r="BQ535">
        <v>0</v>
      </c>
      <c r="BR535">
        <v>0</v>
      </c>
      <c r="BS535">
        <v>0</v>
      </c>
    </row>
    <row r="536" spans="1:71" x14ac:dyDescent="0.3">
      <c r="A536" t="s">
        <v>2407</v>
      </c>
      <c r="B536" t="s">
        <v>2408</v>
      </c>
      <c r="C536" t="s">
        <v>29</v>
      </c>
      <c r="D536" t="s">
        <v>29</v>
      </c>
      <c r="E536" t="s">
        <v>29</v>
      </c>
      <c r="F536" t="s">
        <v>2218</v>
      </c>
      <c r="G536" t="s">
        <v>978</v>
      </c>
      <c r="H536">
        <v>2021</v>
      </c>
      <c r="I536">
        <v>52</v>
      </c>
      <c r="J536">
        <v>1</v>
      </c>
      <c r="K536" t="s">
        <v>29</v>
      </c>
      <c r="L536" t="s">
        <v>29</v>
      </c>
      <c r="M536" t="s">
        <v>32</v>
      </c>
      <c r="N536">
        <v>91</v>
      </c>
      <c r="O536">
        <v>104</v>
      </c>
      <c r="P536" t="s">
        <v>29</v>
      </c>
      <c r="Q536" t="s">
        <v>2409</v>
      </c>
      <c r="R536" t="s">
        <v>29</v>
      </c>
      <c r="S536" t="s">
        <v>29</v>
      </c>
      <c r="T536">
        <v>0</v>
      </c>
      <c r="U536">
        <v>0</v>
      </c>
      <c r="V536">
        <v>0</v>
      </c>
      <c r="W536">
        <v>0</v>
      </c>
      <c r="X536">
        <v>0</v>
      </c>
      <c r="Y536">
        <v>0</v>
      </c>
      <c r="Z536">
        <v>0</v>
      </c>
      <c r="AA536">
        <v>0</v>
      </c>
      <c r="AB536">
        <v>0</v>
      </c>
      <c r="AC536">
        <v>0</v>
      </c>
      <c r="AD536">
        <v>0</v>
      </c>
      <c r="AE536">
        <v>0</v>
      </c>
      <c r="AF536">
        <v>0</v>
      </c>
      <c r="AG536">
        <v>0</v>
      </c>
      <c r="AH536">
        <v>0</v>
      </c>
      <c r="AI536">
        <v>0</v>
      </c>
      <c r="AJ536">
        <v>0</v>
      </c>
      <c r="AK536">
        <v>0</v>
      </c>
      <c r="AL536">
        <v>0</v>
      </c>
      <c r="AM536">
        <v>0</v>
      </c>
      <c r="AN536">
        <v>0</v>
      </c>
      <c r="AO536">
        <v>0</v>
      </c>
      <c r="AP536">
        <v>0</v>
      </c>
      <c r="AQ536">
        <v>0</v>
      </c>
      <c r="AR536">
        <v>0</v>
      </c>
      <c r="AS536">
        <v>0</v>
      </c>
      <c r="AT536">
        <v>0</v>
      </c>
      <c r="AU536">
        <v>0</v>
      </c>
      <c r="AV536">
        <v>0</v>
      </c>
      <c r="AW536">
        <v>0</v>
      </c>
      <c r="AX536">
        <v>0</v>
      </c>
      <c r="AY536">
        <v>0</v>
      </c>
      <c r="AZ536">
        <v>0</v>
      </c>
      <c r="BA536">
        <v>0</v>
      </c>
      <c r="BB536">
        <v>0</v>
      </c>
      <c r="BC536">
        <v>0</v>
      </c>
      <c r="BD536">
        <v>0</v>
      </c>
      <c r="BE536">
        <v>0</v>
      </c>
      <c r="BF536">
        <v>0</v>
      </c>
      <c r="BG536">
        <v>0</v>
      </c>
      <c r="BH536">
        <v>0</v>
      </c>
      <c r="BI536">
        <v>0</v>
      </c>
      <c r="BJ536">
        <v>0</v>
      </c>
      <c r="BK536">
        <v>0</v>
      </c>
      <c r="BL536">
        <v>0</v>
      </c>
      <c r="BM536">
        <v>0</v>
      </c>
      <c r="BN536">
        <v>0</v>
      </c>
      <c r="BO536">
        <v>0</v>
      </c>
      <c r="BP536">
        <v>0</v>
      </c>
      <c r="BQ536">
        <v>0</v>
      </c>
      <c r="BR536">
        <v>0</v>
      </c>
      <c r="BS536">
        <v>0</v>
      </c>
    </row>
    <row r="537" spans="1:71" x14ac:dyDescent="0.3">
      <c r="A537" t="s">
        <v>2410</v>
      </c>
      <c r="B537" t="s">
        <v>2411</v>
      </c>
      <c r="C537" t="s">
        <v>29</v>
      </c>
      <c r="D537" t="s">
        <v>29</v>
      </c>
      <c r="E537" t="s">
        <v>2412</v>
      </c>
      <c r="F537" t="s">
        <v>2413</v>
      </c>
      <c r="G537">
        <v>2021</v>
      </c>
      <c r="H537">
        <v>2021</v>
      </c>
      <c r="I537">
        <v>1192</v>
      </c>
      <c r="J537" t="s">
        <v>29</v>
      </c>
      <c r="K537" t="s">
        <v>29</v>
      </c>
      <c r="L537" t="s">
        <v>29</v>
      </c>
      <c r="M537" t="s">
        <v>29</v>
      </c>
      <c r="N537">
        <v>765</v>
      </c>
      <c r="O537">
        <v>772</v>
      </c>
      <c r="P537" t="s">
        <v>29</v>
      </c>
      <c r="Q537" t="s">
        <v>2414</v>
      </c>
      <c r="R537" t="s">
        <v>2415</v>
      </c>
      <c r="S537" t="s">
        <v>2416</v>
      </c>
      <c r="T537">
        <v>0</v>
      </c>
      <c r="U537">
        <v>0</v>
      </c>
      <c r="V537">
        <v>0</v>
      </c>
      <c r="W537">
        <v>0</v>
      </c>
      <c r="X537">
        <v>0</v>
      </c>
      <c r="Y537">
        <v>0</v>
      </c>
      <c r="Z537">
        <v>0</v>
      </c>
      <c r="AA537">
        <v>0</v>
      </c>
      <c r="AB537">
        <v>0</v>
      </c>
      <c r="AC537">
        <v>0</v>
      </c>
      <c r="AD537">
        <v>0</v>
      </c>
      <c r="AE537">
        <v>0</v>
      </c>
      <c r="AF537">
        <v>0</v>
      </c>
      <c r="AG537">
        <v>0</v>
      </c>
      <c r="AH537">
        <v>0</v>
      </c>
      <c r="AI537">
        <v>0</v>
      </c>
      <c r="AJ537">
        <v>0</v>
      </c>
      <c r="AK537">
        <v>0</v>
      </c>
      <c r="AL537">
        <v>0</v>
      </c>
      <c r="AM537">
        <v>0</v>
      </c>
      <c r="AN537">
        <v>0</v>
      </c>
      <c r="AO537">
        <v>0</v>
      </c>
      <c r="AP537">
        <v>0</v>
      </c>
      <c r="AQ537">
        <v>0</v>
      </c>
      <c r="AR537">
        <v>0</v>
      </c>
      <c r="AS537">
        <v>0</v>
      </c>
      <c r="AT537">
        <v>0</v>
      </c>
      <c r="AU537">
        <v>0</v>
      </c>
      <c r="AV537">
        <v>0</v>
      </c>
      <c r="AW537">
        <v>0</v>
      </c>
      <c r="AX537">
        <v>0</v>
      </c>
      <c r="AY537">
        <v>0</v>
      </c>
      <c r="AZ537">
        <v>0</v>
      </c>
      <c r="BA537">
        <v>0</v>
      </c>
      <c r="BB537">
        <v>0</v>
      </c>
      <c r="BC537">
        <v>0</v>
      </c>
      <c r="BD537">
        <v>0</v>
      </c>
      <c r="BE537">
        <v>0</v>
      </c>
      <c r="BF537">
        <v>0</v>
      </c>
      <c r="BG537">
        <v>0</v>
      </c>
      <c r="BH537">
        <v>0</v>
      </c>
      <c r="BI537">
        <v>0</v>
      </c>
      <c r="BJ537">
        <v>0</v>
      </c>
      <c r="BK537">
        <v>0</v>
      </c>
      <c r="BL537">
        <v>0</v>
      </c>
      <c r="BM537">
        <v>0</v>
      </c>
      <c r="BN537">
        <v>0</v>
      </c>
      <c r="BO537">
        <v>0</v>
      </c>
      <c r="BP537">
        <v>0</v>
      </c>
      <c r="BQ537">
        <v>0</v>
      </c>
      <c r="BR537">
        <v>0</v>
      </c>
      <c r="BS537">
        <v>0</v>
      </c>
    </row>
    <row r="538" spans="1:71" x14ac:dyDescent="0.3">
      <c r="A538" t="s">
        <v>2417</v>
      </c>
      <c r="B538" t="s">
        <v>2418</v>
      </c>
      <c r="C538" t="s">
        <v>29</v>
      </c>
      <c r="D538" t="s">
        <v>29</v>
      </c>
      <c r="E538" t="s">
        <v>29</v>
      </c>
      <c r="F538" t="s">
        <v>2079</v>
      </c>
      <c r="G538">
        <v>2021</v>
      </c>
      <c r="H538">
        <v>2021</v>
      </c>
      <c r="I538">
        <v>11</v>
      </c>
      <c r="J538">
        <v>2</v>
      </c>
      <c r="K538" t="s">
        <v>29</v>
      </c>
      <c r="L538" t="s">
        <v>29</v>
      </c>
      <c r="M538">
        <v>22</v>
      </c>
      <c r="N538">
        <v>53</v>
      </c>
      <c r="O538">
        <v>59</v>
      </c>
      <c r="P538" t="s">
        <v>29</v>
      </c>
      <c r="Q538" t="s">
        <v>29</v>
      </c>
      <c r="R538" t="s">
        <v>29</v>
      </c>
      <c r="S538" t="s">
        <v>29</v>
      </c>
      <c r="T538">
        <v>0</v>
      </c>
      <c r="U538">
        <v>0</v>
      </c>
      <c r="V538">
        <v>0</v>
      </c>
      <c r="W538">
        <v>0</v>
      </c>
      <c r="X538">
        <v>0</v>
      </c>
      <c r="Y538">
        <v>0</v>
      </c>
      <c r="Z538">
        <v>0</v>
      </c>
      <c r="AA538">
        <v>0</v>
      </c>
      <c r="AB538">
        <v>0</v>
      </c>
      <c r="AC538">
        <v>0</v>
      </c>
      <c r="AD538">
        <v>0</v>
      </c>
      <c r="AE538">
        <v>0</v>
      </c>
      <c r="AF538">
        <v>0</v>
      </c>
      <c r="AG538">
        <v>0</v>
      </c>
      <c r="AH538">
        <v>0</v>
      </c>
      <c r="AI538">
        <v>0</v>
      </c>
      <c r="AJ538">
        <v>0</v>
      </c>
      <c r="AK538">
        <v>0</v>
      </c>
      <c r="AL538">
        <v>0</v>
      </c>
      <c r="AM538">
        <v>0</v>
      </c>
      <c r="AN538">
        <v>0</v>
      </c>
      <c r="AO538">
        <v>0</v>
      </c>
      <c r="AP538">
        <v>0</v>
      </c>
      <c r="AQ538">
        <v>0</v>
      </c>
      <c r="AR538">
        <v>0</v>
      </c>
      <c r="AS538">
        <v>0</v>
      </c>
      <c r="AT538">
        <v>0</v>
      </c>
      <c r="AU538">
        <v>0</v>
      </c>
      <c r="AV538">
        <v>0</v>
      </c>
      <c r="AW538">
        <v>0</v>
      </c>
      <c r="AX538">
        <v>0</v>
      </c>
      <c r="AY538">
        <v>0</v>
      </c>
      <c r="AZ538">
        <v>0</v>
      </c>
      <c r="BA538">
        <v>0</v>
      </c>
      <c r="BB538">
        <v>0</v>
      </c>
      <c r="BC538">
        <v>0</v>
      </c>
      <c r="BD538">
        <v>0</v>
      </c>
      <c r="BE538">
        <v>0</v>
      </c>
      <c r="BF538">
        <v>0</v>
      </c>
      <c r="BG538">
        <v>0</v>
      </c>
      <c r="BH538">
        <v>0</v>
      </c>
      <c r="BI538">
        <v>0</v>
      </c>
      <c r="BJ538">
        <v>0</v>
      </c>
      <c r="BK538">
        <v>0</v>
      </c>
      <c r="BL538">
        <v>0</v>
      </c>
      <c r="BM538">
        <v>0</v>
      </c>
      <c r="BN538">
        <v>0</v>
      </c>
      <c r="BO538">
        <v>0</v>
      </c>
      <c r="BP538">
        <v>0</v>
      </c>
      <c r="BQ538">
        <v>0</v>
      </c>
      <c r="BR538">
        <v>0</v>
      </c>
      <c r="BS538">
        <v>0</v>
      </c>
    </row>
    <row r="539" spans="1:71" x14ac:dyDescent="0.3">
      <c r="A539" t="s">
        <v>2419</v>
      </c>
      <c r="B539" t="s">
        <v>2420</v>
      </c>
      <c r="C539" t="s">
        <v>29</v>
      </c>
      <c r="D539" t="s">
        <v>29</v>
      </c>
      <c r="E539" t="s">
        <v>2421</v>
      </c>
      <c r="F539" t="s">
        <v>2422</v>
      </c>
      <c r="G539">
        <v>2021</v>
      </c>
      <c r="H539">
        <v>2021</v>
      </c>
      <c r="I539" t="s">
        <v>29</v>
      </c>
      <c r="J539" t="s">
        <v>29</v>
      </c>
      <c r="K539" t="s">
        <v>29</v>
      </c>
      <c r="L539" t="s">
        <v>29</v>
      </c>
      <c r="M539" t="s">
        <v>29</v>
      </c>
      <c r="N539" t="s">
        <v>29</v>
      </c>
      <c r="O539" t="s">
        <v>29</v>
      </c>
      <c r="P539" t="s">
        <v>29</v>
      </c>
      <c r="Q539" t="s">
        <v>2423</v>
      </c>
      <c r="R539" t="s">
        <v>2424</v>
      </c>
      <c r="S539" t="s">
        <v>2425</v>
      </c>
      <c r="T539">
        <v>0</v>
      </c>
      <c r="U539">
        <v>0</v>
      </c>
      <c r="V539">
        <v>0</v>
      </c>
      <c r="W539">
        <v>0</v>
      </c>
      <c r="X539">
        <v>0</v>
      </c>
      <c r="Y539">
        <v>0</v>
      </c>
      <c r="Z539">
        <v>0</v>
      </c>
      <c r="AA539">
        <v>0</v>
      </c>
      <c r="AB539">
        <v>0</v>
      </c>
      <c r="AC539">
        <v>0</v>
      </c>
      <c r="AD539">
        <v>0</v>
      </c>
      <c r="AE539">
        <v>0</v>
      </c>
      <c r="AF539">
        <v>0</v>
      </c>
      <c r="AG539">
        <v>0</v>
      </c>
      <c r="AH539">
        <v>0</v>
      </c>
      <c r="AI539">
        <v>0</v>
      </c>
      <c r="AJ539">
        <v>0</v>
      </c>
      <c r="AK539">
        <v>0</v>
      </c>
      <c r="AL539">
        <v>0</v>
      </c>
      <c r="AM539">
        <v>0</v>
      </c>
      <c r="AN539">
        <v>0</v>
      </c>
      <c r="AO539">
        <v>0</v>
      </c>
      <c r="AP539">
        <v>0</v>
      </c>
      <c r="AQ539">
        <v>0</v>
      </c>
      <c r="AR539">
        <v>0</v>
      </c>
      <c r="AS539">
        <v>0</v>
      </c>
      <c r="AT539">
        <v>0</v>
      </c>
      <c r="AU539">
        <v>0</v>
      </c>
      <c r="AV539">
        <v>0</v>
      </c>
      <c r="AW539">
        <v>0</v>
      </c>
      <c r="AX539">
        <v>0</v>
      </c>
      <c r="AY539">
        <v>0</v>
      </c>
      <c r="AZ539">
        <v>0</v>
      </c>
      <c r="BA539">
        <v>0</v>
      </c>
      <c r="BB539">
        <v>0</v>
      </c>
      <c r="BC539">
        <v>0</v>
      </c>
      <c r="BD539">
        <v>0</v>
      </c>
      <c r="BE539">
        <v>0</v>
      </c>
      <c r="BF539">
        <v>0</v>
      </c>
      <c r="BG539">
        <v>0</v>
      </c>
      <c r="BH539">
        <v>0</v>
      </c>
      <c r="BI539">
        <v>0</v>
      </c>
      <c r="BJ539">
        <v>0</v>
      </c>
      <c r="BK539">
        <v>0</v>
      </c>
      <c r="BL539">
        <v>0</v>
      </c>
      <c r="BM539">
        <v>0</v>
      </c>
      <c r="BN539">
        <v>0</v>
      </c>
      <c r="BO539">
        <v>0</v>
      </c>
      <c r="BP539">
        <v>0</v>
      </c>
      <c r="BQ539">
        <v>0</v>
      </c>
      <c r="BR539">
        <v>0</v>
      </c>
      <c r="BS539">
        <v>0</v>
      </c>
    </row>
    <row r="540" spans="1:71" x14ac:dyDescent="0.3">
      <c r="A540" t="s">
        <v>2426</v>
      </c>
      <c r="B540" t="s">
        <v>2427</v>
      </c>
      <c r="C540" t="s">
        <v>29</v>
      </c>
      <c r="D540" t="s">
        <v>29</v>
      </c>
      <c r="E540" t="s">
        <v>2428</v>
      </c>
      <c r="F540" t="s">
        <v>2429</v>
      </c>
      <c r="G540">
        <v>2021</v>
      </c>
      <c r="H540">
        <v>2021</v>
      </c>
      <c r="I540">
        <v>613</v>
      </c>
      <c r="J540" t="s">
        <v>29</v>
      </c>
      <c r="K540" t="s">
        <v>29</v>
      </c>
      <c r="L540" t="s">
        <v>29</v>
      </c>
      <c r="M540" t="s">
        <v>29</v>
      </c>
      <c r="N540">
        <v>46</v>
      </c>
      <c r="O540">
        <v>62</v>
      </c>
      <c r="P540" t="s">
        <v>29</v>
      </c>
      <c r="Q540" t="s">
        <v>2430</v>
      </c>
      <c r="R540" t="s">
        <v>2431</v>
      </c>
      <c r="S540" t="s">
        <v>2432</v>
      </c>
      <c r="T540">
        <v>0</v>
      </c>
      <c r="U540">
        <v>0</v>
      </c>
      <c r="V540">
        <v>0</v>
      </c>
      <c r="W540">
        <v>0</v>
      </c>
      <c r="X540">
        <v>0</v>
      </c>
      <c r="Y540">
        <v>0</v>
      </c>
      <c r="Z540">
        <v>0</v>
      </c>
      <c r="AA540">
        <v>0</v>
      </c>
      <c r="AB540">
        <v>0</v>
      </c>
      <c r="AC540">
        <v>0</v>
      </c>
      <c r="AD540">
        <v>0</v>
      </c>
      <c r="AE540">
        <v>0</v>
      </c>
      <c r="AF540">
        <v>0</v>
      </c>
      <c r="AG540">
        <v>0</v>
      </c>
      <c r="AH540">
        <v>0</v>
      </c>
      <c r="AI540">
        <v>0</v>
      </c>
      <c r="AJ540">
        <v>0</v>
      </c>
      <c r="AK540">
        <v>0</v>
      </c>
      <c r="AL540">
        <v>0</v>
      </c>
      <c r="AM540">
        <v>0</v>
      </c>
      <c r="AN540">
        <v>0</v>
      </c>
      <c r="AO540">
        <v>0</v>
      </c>
      <c r="AP540">
        <v>0</v>
      </c>
      <c r="AQ540">
        <v>0</v>
      </c>
      <c r="AR540">
        <v>0</v>
      </c>
      <c r="AS540">
        <v>0</v>
      </c>
      <c r="AT540">
        <v>0</v>
      </c>
      <c r="AU540">
        <v>0</v>
      </c>
      <c r="AV540">
        <v>0</v>
      </c>
      <c r="AW540">
        <v>0</v>
      </c>
      <c r="AX540">
        <v>0</v>
      </c>
      <c r="AY540">
        <v>0</v>
      </c>
      <c r="AZ540">
        <v>0</v>
      </c>
      <c r="BA540">
        <v>0</v>
      </c>
      <c r="BB540">
        <v>0</v>
      </c>
      <c r="BC540">
        <v>0</v>
      </c>
      <c r="BD540">
        <v>0</v>
      </c>
      <c r="BE540">
        <v>0</v>
      </c>
      <c r="BF540">
        <v>0</v>
      </c>
      <c r="BG540">
        <v>0</v>
      </c>
      <c r="BH540">
        <v>0</v>
      </c>
      <c r="BI540">
        <v>0</v>
      </c>
      <c r="BJ540">
        <v>0</v>
      </c>
      <c r="BK540">
        <v>0</v>
      </c>
      <c r="BL540">
        <v>0</v>
      </c>
      <c r="BM540">
        <v>0</v>
      </c>
      <c r="BN540">
        <v>0</v>
      </c>
      <c r="BO540">
        <v>0</v>
      </c>
      <c r="BP540">
        <v>0</v>
      </c>
      <c r="BQ540">
        <v>0</v>
      </c>
      <c r="BR540">
        <v>0</v>
      </c>
      <c r="BS540">
        <v>0</v>
      </c>
    </row>
    <row r="541" spans="1:71" x14ac:dyDescent="0.3">
      <c r="A541" t="s">
        <v>2433</v>
      </c>
      <c r="B541" t="s">
        <v>2434</v>
      </c>
      <c r="C541" t="s">
        <v>29</v>
      </c>
      <c r="D541" t="s">
        <v>29</v>
      </c>
      <c r="E541" t="s">
        <v>2435</v>
      </c>
      <c r="F541" t="s">
        <v>2436</v>
      </c>
      <c r="G541">
        <v>2021</v>
      </c>
      <c r="H541">
        <v>2021</v>
      </c>
      <c r="I541" t="s">
        <v>29</v>
      </c>
      <c r="J541" t="s">
        <v>29</v>
      </c>
      <c r="K541" t="s">
        <v>29</v>
      </c>
      <c r="L541" t="s">
        <v>29</v>
      </c>
      <c r="M541" t="s">
        <v>29</v>
      </c>
      <c r="N541">
        <v>664</v>
      </c>
      <c r="O541">
        <v>676</v>
      </c>
      <c r="P541" t="s">
        <v>29</v>
      </c>
      <c r="Q541" t="s">
        <v>29</v>
      </c>
      <c r="R541" t="s">
        <v>2437</v>
      </c>
      <c r="S541" t="s">
        <v>2438</v>
      </c>
      <c r="T541">
        <v>0</v>
      </c>
      <c r="U541">
        <v>0</v>
      </c>
      <c r="V541">
        <v>0</v>
      </c>
      <c r="W541">
        <v>0</v>
      </c>
      <c r="X541">
        <v>0</v>
      </c>
      <c r="Y541">
        <v>0</v>
      </c>
      <c r="Z541">
        <v>0</v>
      </c>
      <c r="AA541">
        <v>0</v>
      </c>
      <c r="AB541">
        <v>0</v>
      </c>
      <c r="AC541">
        <v>0</v>
      </c>
      <c r="AD541">
        <v>0</v>
      </c>
      <c r="AE541">
        <v>0</v>
      </c>
      <c r="AF541">
        <v>0</v>
      </c>
      <c r="AG541">
        <v>0</v>
      </c>
      <c r="AH541">
        <v>0</v>
      </c>
      <c r="AI541">
        <v>0</v>
      </c>
      <c r="AJ541">
        <v>0</v>
      </c>
      <c r="AK541">
        <v>0</v>
      </c>
      <c r="AL541">
        <v>0</v>
      </c>
      <c r="AM541">
        <v>0</v>
      </c>
      <c r="AN541">
        <v>0</v>
      </c>
      <c r="AO541">
        <v>0</v>
      </c>
      <c r="AP541">
        <v>0</v>
      </c>
      <c r="AQ541">
        <v>0</v>
      </c>
      <c r="AR541">
        <v>0</v>
      </c>
      <c r="AS541">
        <v>0</v>
      </c>
      <c r="AT541">
        <v>0</v>
      </c>
      <c r="AU541">
        <v>0</v>
      </c>
      <c r="AV541">
        <v>0</v>
      </c>
      <c r="AW541">
        <v>0</v>
      </c>
      <c r="AX541">
        <v>0</v>
      </c>
      <c r="AY541">
        <v>0</v>
      </c>
      <c r="AZ541">
        <v>0</v>
      </c>
      <c r="BA541">
        <v>0</v>
      </c>
      <c r="BB541">
        <v>0</v>
      </c>
      <c r="BC541">
        <v>0</v>
      </c>
      <c r="BD541">
        <v>0</v>
      </c>
      <c r="BE541">
        <v>0</v>
      </c>
      <c r="BF541">
        <v>0</v>
      </c>
      <c r="BG541">
        <v>0</v>
      </c>
      <c r="BH541">
        <v>0</v>
      </c>
      <c r="BI541">
        <v>0</v>
      </c>
      <c r="BJ541">
        <v>0</v>
      </c>
      <c r="BK541">
        <v>0</v>
      </c>
      <c r="BL541">
        <v>0</v>
      </c>
      <c r="BM541">
        <v>0</v>
      </c>
      <c r="BN541">
        <v>0</v>
      </c>
      <c r="BO541">
        <v>0</v>
      </c>
      <c r="BP541">
        <v>0</v>
      </c>
      <c r="BQ541">
        <v>0</v>
      </c>
      <c r="BR541">
        <v>0</v>
      </c>
      <c r="BS541">
        <v>0</v>
      </c>
    </row>
    <row r="542" spans="1:71" x14ac:dyDescent="0.3">
      <c r="A542" t="s">
        <v>2439</v>
      </c>
      <c r="B542" t="s">
        <v>2440</v>
      </c>
      <c r="C542" t="s">
        <v>29</v>
      </c>
      <c r="D542" t="s">
        <v>29</v>
      </c>
      <c r="E542" t="s">
        <v>29</v>
      </c>
      <c r="F542" t="s">
        <v>2441</v>
      </c>
      <c r="G542">
        <v>2021</v>
      </c>
      <c r="H542">
        <v>2021</v>
      </c>
      <c r="I542">
        <v>16</v>
      </c>
      <c r="J542">
        <v>32</v>
      </c>
      <c r="K542" t="s">
        <v>29</v>
      </c>
      <c r="L542" t="s">
        <v>29</v>
      </c>
      <c r="M542" t="s">
        <v>29</v>
      </c>
      <c r="N542">
        <v>91</v>
      </c>
      <c r="O542">
        <v>109</v>
      </c>
      <c r="P542" t="s">
        <v>29</v>
      </c>
      <c r="Q542" t="s">
        <v>2442</v>
      </c>
      <c r="R542" t="s">
        <v>29</v>
      </c>
      <c r="S542" t="s">
        <v>29</v>
      </c>
      <c r="T542">
        <v>0</v>
      </c>
      <c r="U542">
        <v>0</v>
      </c>
      <c r="V542">
        <v>0</v>
      </c>
      <c r="W542">
        <v>0</v>
      </c>
      <c r="X542">
        <v>0</v>
      </c>
      <c r="Y542">
        <v>0</v>
      </c>
      <c r="Z542">
        <v>0</v>
      </c>
      <c r="AA542">
        <v>0</v>
      </c>
      <c r="AB542">
        <v>0</v>
      </c>
      <c r="AC542">
        <v>0</v>
      </c>
      <c r="AD542">
        <v>0</v>
      </c>
      <c r="AE542">
        <v>0</v>
      </c>
      <c r="AF542">
        <v>0</v>
      </c>
      <c r="AG542">
        <v>0</v>
      </c>
      <c r="AH542">
        <v>0</v>
      </c>
      <c r="AI542">
        <v>0</v>
      </c>
      <c r="AJ542">
        <v>0</v>
      </c>
      <c r="AK542">
        <v>0</v>
      </c>
      <c r="AL542">
        <v>0</v>
      </c>
      <c r="AM542">
        <v>0</v>
      </c>
      <c r="AN542">
        <v>0</v>
      </c>
      <c r="AO542">
        <v>0</v>
      </c>
      <c r="AP542">
        <v>0</v>
      </c>
      <c r="AQ542">
        <v>0</v>
      </c>
      <c r="AR542">
        <v>0</v>
      </c>
      <c r="AS542">
        <v>0</v>
      </c>
      <c r="AT542">
        <v>0</v>
      </c>
      <c r="AU542">
        <v>0</v>
      </c>
      <c r="AV542">
        <v>0</v>
      </c>
      <c r="AW542">
        <v>0</v>
      </c>
      <c r="AX542">
        <v>0</v>
      </c>
      <c r="AY542">
        <v>0</v>
      </c>
      <c r="AZ542">
        <v>0</v>
      </c>
      <c r="BA542">
        <v>0</v>
      </c>
      <c r="BB542">
        <v>0</v>
      </c>
      <c r="BC542">
        <v>0</v>
      </c>
      <c r="BD542">
        <v>0</v>
      </c>
      <c r="BE542">
        <v>0</v>
      </c>
      <c r="BF542">
        <v>0</v>
      </c>
      <c r="BG542">
        <v>0</v>
      </c>
      <c r="BH542">
        <v>0</v>
      </c>
      <c r="BI542">
        <v>0</v>
      </c>
      <c r="BJ542">
        <v>0</v>
      </c>
      <c r="BK542">
        <v>0</v>
      </c>
      <c r="BL542">
        <v>0</v>
      </c>
      <c r="BM542">
        <v>0</v>
      </c>
      <c r="BN542">
        <v>0</v>
      </c>
      <c r="BO542">
        <v>0</v>
      </c>
      <c r="BP542">
        <v>0</v>
      </c>
      <c r="BQ542">
        <v>0</v>
      </c>
      <c r="BR542">
        <v>0</v>
      </c>
      <c r="BS542">
        <v>0</v>
      </c>
    </row>
    <row r="543" spans="1:71" x14ac:dyDescent="0.3">
      <c r="A543" t="s">
        <v>2443</v>
      </c>
      <c r="B543" t="s">
        <v>2444</v>
      </c>
      <c r="C543" t="s">
        <v>29</v>
      </c>
      <c r="D543" t="s">
        <v>29</v>
      </c>
      <c r="E543" t="s">
        <v>2445</v>
      </c>
      <c r="F543" t="s">
        <v>2446</v>
      </c>
      <c r="G543">
        <v>2021</v>
      </c>
      <c r="H543">
        <v>2021</v>
      </c>
      <c r="I543" t="s">
        <v>29</v>
      </c>
      <c r="J543" t="s">
        <v>29</v>
      </c>
      <c r="K543" t="s">
        <v>29</v>
      </c>
      <c r="L543" t="s">
        <v>29</v>
      </c>
      <c r="M543" t="s">
        <v>29</v>
      </c>
      <c r="N543">
        <v>406</v>
      </c>
      <c r="O543">
        <v>419</v>
      </c>
      <c r="P543" t="s">
        <v>29</v>
      </c>
      <c r="Q543" t="s">
        <v>2447</v>
      </c>
      <c r="R543" t="s">
        <v>2448</v>
      </c>
      <c r="S543" t="s">
        <v>2449</v>
      </c>
      <c r="T543">
        <v>0</v>
      </c>
      <c r="U543">
        <v>0</v>
      </c>
      <c r="V543">
        <v>0</v>
      </c>
      <c r="W543">
        <v>0</v>
      </c>
      <c r="X543">
        <v>0</v>
      </c>
      <c r="Y543">
        <v>0</v>
      </c>
      <c r="Z543">
        <v>0</v>
      </c>
      <c r="AA543">
        <v>0</v>
      </c>
      <c r="AB543">
        <v>0</v>
      </c>
      <c r="AC543">
        <v>0</v>
      </c>
      <c r="AD543">
        <v>0</v>
      </c>
      <c r="AE543">
        <v>0</v>
      </c>
      <c r="AF543">
        <v>0</v>
      </c>
      <c r="AG543">
        <v>0</v>
      </c>
      <c r="AH543">
        <v>0</v>
      </c>
      <c r="AI543">
        <v>0</v>
      </c>
      <c r="AJ543">
        <v>0</v>
      </c>
      <c r="AK543">
        <v>0</v>
      </c>
      <c r="AL543">
        <v>0</v>
      </c>
      <c r="AM543">
        <v>0</v>
      </c>
      <c r="AN543">
        <v>0</v>
      </c>
      <c r="AO543">
        <v>0</v>
      </c>
      <c r="AP543">
        <v>0</v>
      </c>
      <c r="AQ543">
        <v>0</v>
      </c>
      <c r="AR543">
        <v>0</v>
      </c>
      <c r="AS543">
        <v>0</v>
      </c>
      <c r="AT543">
        <v>0</v>
      </c>
      <c r="AU543">
        <v>0</v>
      </c>
      <c r="AV543">
        <v>0</v>
      </c>
      <c r="AW543">
        <v>0</v>
      </c>
      <c r="AX543">
        <v>0</v>
      </c>
      <c r="AY543">
        <v>0</v>
      </c>
      <c r="AZ543">
        <v>0</v>
      </c>
      <c r="BA543">
        <v>0</v>
      </c>
      <c r="BB543">
        <v>0</v>
      </c>
      <c r="BC543">
        <v>0</v>
      </c>
      <c r="BD543">
        <v>0</v>
      </c>
      <c r="BE543">
        <v>0</v>
      </c>
      <c r="BF543">
        <v>0</v>
      </c>
      <c r="BG543">
        <v>0</v>
      </c>
      <c r="BH543">
        <v>0</v>
      </c>
      <c r="BI543">
        <v>0</v>
      </c>
      <c r="BJ543">
        <v>0</v>
      </c>
      <c r="BK543">
        <v>0</v>
      </c>
      <c r="BL543">
        <v>0</v>
      </c>
      <c r="BM543">
        <v>0</v>
      </c>
      <c r="BN543">
        <v>0</v>
      </c>
      <c r="BO543">
        <v>0</v>
      </c>
      <c r="BP543">
        <v>0</v>
      </c>
      <c r="BQ543">
        <v>0</v>
      </c>
      <c r="BR543">
        <v>0</v>
      </c>
      <c r="BS543">
        <v>0</v>
      </c>
    </row>
    <row r="544" spans="1:71" x14ac:dyDescent="0.3">
      <c r="A544" t="s">
        <v>2450</v>
      </c>
      <c r="B544" t="s">
        <v>2451</v>
      </c>
      <c r="C544" t="s">
        <v>29</v>
      </c>
      <c r="D544" t="s">
        <v>29</v>
      </c>
      <c r="E544" t="s">
        <v>29</v>
      </c>
      <c r="F544" t="s">
        <v>2452</v>
      </c>
      <c r="G544">
        <v>2021</v>
      </c>
      <c r="H544">
        <v>2021</v>
      </c>
      <c r="I544" t="s">
        <v>29</v>
      </c>
      <c r="J544" t="s">
        <v>29</v>
      </c>
      <c r="K544" t="s">
        <v>29</v>
      </c>
      <c r="L544" t="s">
        <v>29</v>
      </c>
      <c r="M544" t="s">
        <v>29</v>
      </c>
      <c r="N544">
        <v>33</v>
      </c>
      <c r="O544">
        <v>57</v>
      </c>
      <c r="P544" t="s">
        <v>29</v>
      </c>
      <c r="Q544" t="s">
        <v>29</v>
      </c>
      <c r="R544" t="s">
        <v>29</v>
      </c>
      <c r="S544" t="s">
        <v>29</v>
      </c>
      <c r="T544">
        <v>0</v>
      </c>
      <c r="U544">
        <v>0</v>
      </c>
      <c r="V544">
        <v>0</v>
      </c>
      <c r="W544">
        <v>0</v>
      </c>
      <c r="X544">
        <v>0</v>
      </c>
      <c r="Y544">
        <v>0</v>
      </c>
      <c r="Z544">
        <v>0</v>
      </c>
      <c r="AA544">
        <v>0</v>
      </c>
      <c r="AB544">
        <v>0</v>
      </c>
      <c r="AC544">
        <v>0</v>
      </c>
      <c r="AD544">
        <v>0</v>
      </c>
      <c r="AE544">
        <v>0</v>
      </c>
      <c r="AF544">
        <v>0</v>
      </c>
      <c r="AG544">
        <v>0</v>
      </c>
      <c r="AH544">
        <v>0</v>
      </c>
      <c r="AI544">
        <v>0</v>
      </c>
      <c r="AJ544">
        <v>0</v>
      </c>
      <c r="AK544">
        <v>0</v>
      </c>
      <c r="AL544">
        <v>0</v>
      </c>
      <c r="AM544">
        <v>0</v>
      </c>
      <c r="AN544">
        <v>0</v>
      </c>
      <c r="AO544">
        <v>0</v>
      </c>
      <c r="AP544">
        <v>0</v>
      </c>
      <c r="AQ544">
        <v>0</v>
      </c>
      <c r="AR544">
        <v>0</v>
      </c>
      <c r="AS544">
        <v>0</v>
      </c>
      <c r="AT544">
        <v>0</v>
      </c>
      <c r="AU544">
        <v>0</v>
      </c>
      <c r="AV544">
        <v>0</v>
      </c>
      <c r="AW544">
        <v>0</v>
      </c>
      <c r="AX544">
        <v>0</v>
      </c>
      <c r="AY544">
        <v>0</v>
      </c>
      <c r="AZ544">
        <v>0</v>
      </c>
      <c r="BA544">
        <v>0</v>
      </c>
      <c r="BB544">
        <v>0</v>
      </c>
      <c r="BC544">
        <v>0</v>
      </c>
      <c r="BD544">
        <v>0</v>
      </c>
      <c r="BE544">
        <v>0</v>
      </c>
      <c r="BF544">
        <v>0</v>
      </c>
      <c r="BG544">
        <v>0</v>
      </c>
      <c r="BH544">
        <v>0</v>
      </c>
      <c r="BI544">
        <v>0</v>
      </c>
      <c r="BJ544">
        <v>0</v>
      </c>
      <c r="BK544">
        <v>0</v>
      </c>
      <c r="BL544">
        <v>0</v>
      </c>
      <c r="BM544">
        <v>0</v>
      </c>
      <c r="BN544">
        <v>0</v>
      </c>
      <c r="BO544">
        <v>0</v>
      </c>
      <c r="BP544">
        <v>0</v>
      </c>
      <c r="BQ544">
        <v>0</v>
      </c>
      <c r="BR544">
        <v>0</v>
      </c>
      <c r="BS544">
        <v>0</v>
      </c>
    </row>
    <row r="545" spans="1:71" x14ac:dyDescent="0.3">
      <c r="A545" t="s">
        <v>2453</v>
      </c>
      <c r="B545" t="s">
        <v>2454</v>
      </c>
      <c r="C545" t="s">
        <v>29</v>
      </c>
      <c r="D545" t="s">
        <v>29</v>
      </c>
      <c r="E545" t="s">
        <v>2455</v>
      </c>
      <c r="F545" t="s">
        <v>2456</v>
      </c>
      <c r="G545">
        <v>2021</v>
      </c>
      <c r="H545">
        <v>2021</v>
      </c>
      <c r="I545" t="s">
        <v>29</v>
      </c>
      <c r="J545" t="s">
        <v>29</v>
      </c>
      <c r="K545" t="s">
        <v>29</v>
      </c>
      <c r="L545" t="s">
        <v>29</v>
      </c>
      <c r="M545" t="s">
        <v>29</v>
      </c>
      <c r="N545">
        <v>73</v>
      </c>
      <c r="O545">
        <v>78</v>
      </c>
      <c r="P545" t="s">
        <v>29</v>
      </c>
      <c r="Q545" t="s">
        <v>2457</v>
      </c>
      <c r="R545" t="s">
        <v>2458</v>
      </c>
      <c r="S545" t="s">
        <v>2459</v>
      </c>
      <c r="T545">
        <v>0</v>
      </c>
      <c r="U545">
        <v>0</v>
      </c>
      <c r="V545">
        <v>0</v>
      </c>
      <c r="W545">
        <v>0</v>
      </c>
      <c r="X545">
        <v>0</v>
      </c>
      <c r="Y545">
        <v>0</v>
      </c>
      <c r="Z545">
        <v>0</v>
      </c>
      <c r="AA545">
        <v>0</v>
      </c>
      <c r="AB545">
        <v>0</v>
      </c>
      <c r="AC545">
        <v>0</v>
      </c>
      <c r="AD545">
        <v>0</v>
      </c>
      <c r="AE545">
        <v>0</v>
      </c>
      <c r="AF545">
        <v>0</v>
      </c>
      <c r="AG545">
        <v>0</v>
      </c>
      <c r="AH545">
        <v>0</v>
      </c>
      <c r="AI545">
        <v>0</v>
      </c>
      <c r="AJ545">
        <v>0</v>
      </c>
      <c r="AK545">
        <v>0</v>
      </c>
      <c r="AL545">
        <v>0</v>
      </c>
      <c r="AM545">
        <v>0</v>
      </c>
      <c r="AN545">
        <v>0</v>
      </c>
      <c r="AO545">
        <v>0</v>
      </c>
      <c r="AP545">
        <v>0</v>
      </c>
      <c r="AQ545">
        <v>0</v>
      </c>
      <c r="AR545">
        <v>0</v>
      </c>
      <c r="AS545">
        <v>0</v>
      </c>
      <c r="AT545">
        <v>0</v>
      </c>
      <c r="AU545">
        <v>0</v>
      </c>
      <c r="AV545">
        <v>0</v>
      </c>
      <c r="AW545">
        <v>0</v>
      </c>
      <c r="AX545">
        <v>0</v>
      </c>
      <c r="AY545">
        <v>0</v>
      </c>
      <c r="AZ545">
        <v>0</v>
      </c>
      <c r="BA545">
        <v>0</v>
      </c>
      <c r="BB545">
        <v>0</v>
      </c>
      <c r="BC545">
        <v>0</v>
      </c>
      <c r="BD545">
        <v>0</v>
      </c>
      <c r="BE545">
        <v>0</v>
      </c>
      <c r="BF545">
        <v>0</v>
      </c>
      <c r="BG545">
        <v>0</v>
      </c>
      <c r="BH545">
        <v>0</v>
      </c>
      <c r="BI545">
        <v>0</v>
      </c>
      <c r="BJ545">
        <v>0</v>
      </c>
      <c r="BK545">
        <v>0</v>
      </c>
      <c r="BL545">
        <v>0</v>
      </c>
      <c r="BM545">
        <v>0</v>
      </c>
      <c r="BN545">
        <v>0</v>
      </c>
      <c r="BO545">
        <v>0</v>
      </c>
      <c r="BP545">
        <v>0</v>
      </c>
      <c r="BQ545">
        <v>0</v>
      </c>
      <c r="BR545">
        <v>0</v>
      </c>
      <c r="BS545">
        <v>0</v>
      </c>
    </row>
    <row r="546" spans="1:71" x14ac:dyDescent="0.3">
      <c r="A546" t="s">
        <v>2460</v>
      </c>
      <c r="B546" t="s">
        <v>2461</v>
      </c>
      <c r="C546" t="s">
        <v>29</v>
      </c>
      <c r="D546" t="s">
        <v>29</v>
      </c>
      <c r="E546" t="s">
        <v>2462</v>
      </c>
      <c r="F546" t="s">
        <v>2463</v>
      </c>
      <c r="G546">
        <v>2021</v>
      </c>
      <c r="H546">
        <v>2021</v>
      </c>
      <c r="I546" t="s">
        <v>29</v>
      </c>
      <c r="J546" t="s">
        <v>29</v>
      </c>
      <c r="K546" t="s">
        <v>29</v>
      </c>
      <c r="L546" t="s">
        <v>29</v>
      </c>
      <c r="M546" t="s">
        <v>29</v>
      </c>
      <c r="N546">
        <v>874</v>
      </c>
      <c r="O546">
        <v>882</v>
      </c>
      <c r="P546" t="s">
        <v>29</v>
      </c>
      <c r="Q546" t="s">
        <v>2464</v>
      </c>
      <c r="R546" t="s">
        <v>2465</v>
      </c>
      <c r="S546" t="s">
        <v>2466</v>
      </c>
      <c r="T546">
        <v>0</v>
      </c>
      <c r="U546">
        <v>0</v>
      </c>
      <c r="V546">
        <v>0</v>
      </c>
      <c r="W546">
        <v>0</v>
      </c>
      <c r="X546">
        <v>0</v>
      </c>
      <c r="Y546">
        <v>0</v>
      </c>
      <c r="Z546">
        <v>0</v>
      </c>
      <c r="AA546">
        <v>0</v>
      </c>
      <c r="AB546">
        <v>0</v>
      </c>
      <c r="AC546">
        <v>0</v>
      </c>
      <c r="AD546">
        <v>0</v>
      </c>
      <c r="AE546">
        <v>0</v>
      </c>
      <c r="AF546">
        <v>0</v>
      </c>
      <c r="AG546">
        <v>0</v>
      </c>
      <c r="AH546">
        <v>0</v>
      </c>
      <c r="AI546">
        <v>0</v>
      </c>
      <c r="AJ546">
        <v>0</v>
      </c>
      <c r="AK546">
        <v>0</v>
      </c>
      <c r="AL546">
        <v>0</v>
      </c>
      <c r="AM546">
        <v>0</v>
      </c>
      <c r="AN546">
        <v>0</v>
      </c>
      <c r="AO546">
        <v>0</v>
      </c>
      <c r="AP546">
        <v>0</v>
      </c>
      <c r="AQ546">
        <v>0</v>
      </c>
      <c r="AR546">
        <v>0</v>
      </c>
      <c r="AS546">
        <v>0</v>
      </c>
      <c r="AT546">
        <v>0</v>
      </c>
      <c r="AU546">
        <v>0</v>
      </c>
      <c r="AV546">
        <v>0</v>
      </c>
      <c r="AW546">
        <v>0</v>
      </c>
      <c r="AX546">
        <v>0</v>
      </c>
      <c r="AY546">
        <v>0</v>
      </c>
      <c r="AZ546">
        <v>0</v>
      </c>
      <c r="BA546">
        <v>0</v>
      </c>
      <c r="BB546">
        <v>0</v>
      </c>
      <c r="BC546">
        <v>0</v>
      </c>
      <c r="BD546">
        <v>0</v>
      </c>
      <c r="BE546">
        <v>0</v>
      </c>
      <c r="BF546">
        <v>0</v>
      </c>
      <c r="BG546">
        <v>0</v>
      </c>
      <c r="BH546">
        <v>0</v>
      </c>
      <c r="BI546">
        <v>0</v>
      </c>
      <c r="BJ546">
        <v>0</v>
      </c>
      <c r="BK546">
        <v>0</v>
      </c>
      <c r="BL546">
        <v>0</v>
      </c>
      <c r="BM546">
        <v>0</v>
      </c>
      <c r="BN546">
        <v>0</v>
      </c>
      <c r="BO546">
        <v>0</v>
      </c>
      <c r="BP546">
        <v>0</v>
      </c>
      <c r="BQ546">
        <v>0</v>
      </c>
      <c r="BR546">
        <v>0</v>
      </c>
      <c r="BS546">
        <v>0</v>
      </c>
    </row>
    <row r="547" spans="1:71" x14ac:dyDescent="0.3">
      <c r="A547" t="s">
        <v>2467</v>
      </c>
      <c r="B547" t="s">
        <v>2468</v>
      </c>
      <c r="C547" t="s">
        <v>29</v>
      </c>
      <c r="D547" t="s">
        <v>29</v>
      </c>
      <c r="E547" t="s">
        <v>2445</v>
      </c>
      <c r="F547" t="s">
        <v>2446</v>
      </c>
      <c r="G547">
        <v>2021</v>
      </c>
      <c r="H547">
        <v>2021</v>
      </c>
      <c r="I547" t="s">
        <v>29</v>
      </c>
      <c r="J547" t="s">
        <v>29</v>
      </c>
      <c r="K547" t="s">
        <v>29</v>
      </c>
      <c r="L547" t="s">
        <v>29</v>
      </c>
      <c r="M547" t="s">
        <v>29</v>
      </c>
      <c r="N547">
        <v>777</v>
      </c>
      <c r="O547">
        <v>786</v>
      </c>
      <c r="P547" t="s">
        <v>29</v>
      </c>
      <c r="Q547" t="s">
        <v>2469</v>
      </c>
      <c r="R547" t="s">
        <v>2448</v>
      </c>
      <c r="S547" t="s">
        <v>2449</v>
      </c>
      <c r="T547">
        <v>0</v>
      </c>
      <c r="U547">
        <v>0</v>
      </c>
      <c r="V547">
        <v>0</v>
      </c>
      <c r="W547">
        <v>0</v>
      </c>
      <c r="X547">
        <v>0</v>
      </c>
      <c r="Y547">
        <v>0</v>
      </c>
      <c r="Z547">
        <v>0</v>
      </c>
      <c r="AA547">
        <v>0</v>
      </c>
      <c r="AB547">
        <v>0</v>
      </c>
      <c r="AC547">
        <v>0</v>
      </c>
      <c r="AD547">
        <v>0</v>
      </c>
      <c r="AE547">
        <v>0</v>
      </c>
      <c r="AF547">
        <v>0</v>
      </c>
      <c r="AG547">
        <v>0</v>
      </c>
      <c r="AH547">
        <v>0</v>
      </c>
      <c r="AI547">
        <v>0</v>
      </c>
      <c r="AJ547">
        <v>0</v>
      </c>
      <c r="AK547">
        <v>0</v>
      </c>
      <c r="AL547">
        <v>0</v>
      </c>
      <c r="AM547">
        <v>0</v>
      </c>
      <c r="AN547">
        <v>0</v>
      </c>
      <c r="AO547">
        <v>0</v>
      </c>
      <c r="AP547">
        <v>0</v>
      </c>
      <c r="AQ547">
        <v>0</v>
      </c>
      <c r="AR547">
        <v>0</v>
      </c>
      <c r="AS547">
        <v>0</v>
      </c>
      <c r="AT547">
        <v>0</v>
      </c>
      <c r="AU547">
        <v>0</v>
      </c>
      <c r="AV547">
        <v>0</v>
      </c>
      <c r="AW547">
        <v>0</v>
      </c>
      <c r="AX547">
        <v>0</v>
      </c>
      <c r="AY547">
        <v>0</v>
      </c>
      <c r="AZ547">
        <v>0</v>
      </c>
      <c r="BA547">
        <v>0</v>
      </c>
      <c r="BB547">
        <v>0</v>
      </c>
      <c r="BC547">
        <v>0</v>
      </c>
      <c r="BD547">
        <v>0</v>
      </c>
      <c r="BE547">
        <v>0</v>
      </c>
      <c r="BF547">
        <v>0</v>
      </c>
      <c r="BG547">
        <v>0</v>
      </c>
      <c r="BH547">
        <v>0</v>
      </c>
      <c r="BI547">
        <v>0</v>
      </c>
      <c r="BJ547">
        <v>0</v>
      </c>
      <c r="BK547">
        <v>0</v>
      </c>
      <c r="BL547">
        <v>0</v>
      </c>
      <c r="BM547">
        <v>0</v>
      </c>
      <c r="BN547">
        <v>0</v>
      </c>
      <c r="BO547">
        <v>0</v>
      </c>
      <c r="BP547">
        <v>0</v>
      </c>
      <c r="BQ547">
        <v>0</v>
      </c>
      <c r="BR547">
        <v>0</v>
      </c>
      <c r="BS547">
        <v>0</v>
      </c>
    </row>
    <row r="548" spans="1:71" x14ac:dyDescent="0.3">
      <c r="A548" t="s">
        <v>2470</v>
      </c>
      <c r="B548" t="s">
        <v>2471</v>
      </c>
      <c r="C548" t="s">
        <v>29</v>
      </c>
      <c r="D548" t="s">
        <v>29</v>
      </c>
      <c r="E548" t="s">
        <v>29</v>
      </c>
      <c r="F548" t="s">
        <v>2472</v>
      </c>
      <c r="G548" t="s">
        <v>2473</v>
      </c>
      <c r="H548">
        <v>2020</v>
      </c>
      <c r="I548">
        <v>7</v>
      </c>
      <c r="J548" t="s">
        <v>29</v>
      </c>
      <c r="K548" t="s">
        <v>29</v>
      </c>
      <c r="L548" t="s">
        <v>29</v>
      </c>
      <c r="M548" t="s">
        <v>32</v>
      </c>
      <c r="N548">
        <v>65</v>
      </c>
      <c r="O548">
        <v>73</v>
      </c>
      <c r="P548" t="s">
        <v>29</v>
      </c>
      <c r="Q548" t="s">
        <v>29</v>
      </c>
      <c r="R548" t="s">
        <v>29</v>
      </c>
      <c r="S548" t="s">
        <v>29</v>
      </c>
      <c r="T548">
        <v>0</v>
      </c>
      <c r="U548">
        <v>0</v>
      </c>
      <c r="V548">
        <v>0</v>
      </c>
      <c r="W548">
        <v>0</v>
      </c>
      <c r="X548">
        <v>0</v>
      </c>
      <c r="Y548">
        <v>0</v>
      </c>
      <c r="Z548">
        <v>0</v>
      </c>
      <c r="AA548">
        <v>0</v>
      </c>
      <c r="AB548">
        <v>0</v>
      </c>
      <c r="AC548">
        <v>0</v>
      </c>
      <c r="AD548">
        <v>0</v>
      </c>
      <c r="AE548">
        <v>0</v>
      </c>
      <c r="AF548">
        <v>0</v>
      </c>
      <c r="AG548">
        <v>0</v>
      </c>
      <c r="AH548">
        <v>0</v>
      </c>
      <c r="AI548">
        <v>0</v>
      </c>
      <c r="AJ548">
        <v>0</v>
      </c>
      <c r="AK548">
        <v>0</v>
      </c>
      <c r="AL548">
        <v>0</v>
      </c>
      <c r="AM548">
        <v>0</v>
      </c>
      <c r="AN548">
        <v>0</v>
      </c>
      <c r="AO548">
        <v>0</v>
      </c>
      <c r="AP548">
        <v>0</v>
      </c>
      <c r="AQ548">
        <v>0</v>
      </c>
      <c r="AR548">
        <v>0</v>
      </c>
      <c r="AS548">
        <v>0</v>
      </c>
      <c r="AT548">
        <v>0</v>
      </c>
      <c r="AU548">
        <v>0</v>
      </c>
      <c r="AV548">
        <v>0</v>
      </c>
      <c r="AW548">
        <v>0</v>
      </c>
      <c r="AX548">
        <v>0</v>
      </c>
      <c r="AY548">
        <v>0</v>
      </c>
      <c r="AZ548">
        <v>0</v>
      </c>
      <c r="BA548">
        <v>0</v>
      </c>
      <c r="BB548">
        <v>0</v>
      </c>
      <c r="BC548">
        <v>0</v>
      </c>
      <c r="BD548">
        <v>0</v>
      </c>
      <c r="BE548">
        <v>0</v>
      </c>
      <c r="BF548">
        <v>0</v>
      </c>
      <c r="BG548">
        <v>0</v>
      </c>
      <c r="BH548">
        <v>0</v>
      </c>
      <c r="BI548">
        <v>0</v>
      </c>
      <c r="BJ548">
        <v>0</v>
      </c>
      <c r="BK548">
        <v>0</v>
      </c>
      <c r="BL548">
        <v>0</v>
      </c>
      <c r="BM548">
        <v>0</v>
      </c>
      <c r="BN548">
        <v>0</v>
      </c>
      <c r="BO548">
        <v>0</v>
      </c>
      <c r="BP548">
        <v>0</v>
      </c>
      <c r="BQ548">
        <v>0</v>
      </c>
      <c r="BR548">
        <v>0</v>
      </c>
      <c r="BS548">
        <v>0</v>
      </c>
    </row>
    <row r="549" spans="1:71" x14ac:dyDescent="0.3">
      <c r="A549" t="s">
        <v>2474</v>
      </c>
      <c r="B549" t="s">
        <v>2475</v>
      </c>
      <c r="C549" t="s">
        <v>29</v>
      </c>
      <c r="D549" t="s">
        <v>29</v>
      </c>
      <c r="E549" t="s">
        <v>2476</v>
      </c>
      <c r="F549" t="s">
        <v>2477</v>
      </c>
      <c r="G549">
        <v>2020</v>
      </c>
      <c r="H549">
        <v>2020</v>
      </c>
      <c r="I549" t="s">
        <v>29</v>
      </c>
      <c r="J549" t="s">
        <v>29</v>
      </c>
      <c r="K549" t="s">
        <v>29</v>
      </c>
      <c r="L549" t="s">
        <v>29</v>
      </c>
      <c r="M549" t="s">
        <v>29</v>
      </c>
      <c r="N549">
        <v>87</v>
      </c>
      <c r="O549">
        <v>93</v>
      </c>
      <c r="P549" t="s">
        <v>29</v>
      </c>
      <c r="Q549" t="s">
        <v>29</v>
      </c>
      <c r="R549" t="s">
        <v>2478</v>
      </c>
      <c r="S549" t="s">
        <v>2479</v>
      </c>
      <c r="T549">
        <v>0</v>
      </c>
      <c r="U549">
        <v>0</v>
      </c>
      <c r="V549">
        <v>0</v>
      </c>
      <c r="W549">
        <v>0</v>
      </c>
      <c r="X549">
        <v>0</v>
      </c>
      <c r="Y549">
        <v>0</v>
      </c>
      <c r="Z549">
        <v>0</v>
      </c>
      <c r="AA549">
        <v>0</v>
      </c>
      <c r="AB549">
        <v>0</v>
      </c>
      <c r="AC549">
        <v>0</v>
      </c>
      <c r="AD549">
        <v>0</v>
      </c>
      <c r="AE549">
        <v>0</v>
      </c>
      <c r="AF549">
        <v>0</v>
      </c>
      <c r="AG549">
        <v>0</v>
      </c>
      <c r="AH549">
        <v>0</v>
      </c>
      <c r="AI549">
        <v>0</v>
      </c>
      <c r="AJ549">
        <v>0</v>
      </c>
      <c r="AK549">
        <v>0</v>
      </c>
      <c r="AL549">
        <v>0</v>
      </c>
      <c r="AM549">
        <v>0</v>
      </c>
      <c r="AN549">
        <v>0</v>
      </c>
      <c r="AO549">
        <v>0</v>
      </c>
      <c r="AP549">
        <v>0</v>
      </c>
      <c r="AQ549">
        <v>0</v>
      </c>
      <c r="AR549">
        <v>0</v>
      </c>
      <c r="AS549">
        <v>0</v>
      </c>
      <c r="AT549">
        <v>0</v>
      </c>
      <c r="AU549">
        <v>0</v>
      </c>
      <c r="AV549">
        <v>0</v>
      </c>
      <c r="AW549">
        <v>0</v>
      </c>
      <c r="AX549">
        <v>0</v>
      </c>
      <c r="AY549">
        <v>0</v>
      </c>
      <c r="AZ549">
        <v>0</v>
      </c>
      <c r="BA549">
        <v>0</v>
      </c>
      <c r="BB549">
        <v>0</v>
      </c>
      <c r="BC549">
        <v>0</v>
      </c>
      <c r="BD549">
        <v>0</v>
      </c>
      <c r="BE549">
        <v>0</v>
      </c>
      <c r="BF549">
        <v>0</v>
      </c>
      <c r="BG549">
        <v>0</v>
      </c>
      <c r="BH549">
        <v>0</v>
      </c>
      <c r="BI549">
        <v>0</v>
      </c>
      <c r="BJ549">
        <v>0</v>
      </c>
      <c r="BK549">
        <v>0</v>
      </c>
      <c r="BL549">
        <v>0</v>
      </c>
      <c r="BM549">
        <v>0</v>
      </c>
      <c r="BN549">
        <v>0</v>
      </c>
      <c r="BO549">
        <v>0</v>
      </c>
      <c r="BP549">
        <v>0</v>
      </c>
      <c r="BQ549">
        <v>0</v>
      </c>
      <c r="BR549">
        <v>0</v>
      </c>
      <c r="BS549">
        <v>0</v>
      </c>
    </row>
    <row r="550" spans="1:71" x14ac:dyDescent="0.3">
      <c r="A550" t="s">
        <v>2480</v>
      </c>
      <c r="B550" t="s">
        <v>2481</v>
      </c>
      <c r="C550" t="s">
        <v>29</v>
      </c>
      <c r="D550" t="s">
        <v>29</v>
      </c>
      <c r="E550" t="s">
        <v>29</v>
      </c>
      <c r="F550" t="s">
        <v>2482</v>
      </c>
      <c r="G550" t="s">
        <v>2483</v>
      </c>
      <c r="H550">
        <v>2020</v>
      </c>
      <c r="I550">
        <v>13</v>
      </c>
      <c r="J550">
        <v>1</v>
      </c>
      <c r="K550" t="s">
        <v>29</v>
      </c>
      <c r="L550" t="s">
        <v>29</v>
      </c>
      <c r="M550" t="s">
        <v>29</v>
      </c>
      <c r="N550">
        <v>107</v>
      </c>
      <c r="O550">
        <v>129</v>
      </c>
      <c r="P550" t="s">
        <v>29</v>
      </c>
      <c r="Q550" t="s">
        <v>2484</v>
      </c>
      <c r="R550" t="s">
        <v>29</v>
      </c>
      <c r="S550" t="s">
        <v>29</v>
      </c>
      <c r="T550">
        <v>0</v>
      </c>
      <c r="U550">
        <v>0</v>
      </c>
      <c r="V550">
        <v>0</v>
      </c>
      <c r="W550">
        <v>0</v>
      </c>
      <c r="X550">
        <v>0</v>
      </c>
      <c r="Y550">
        <v>0</v>
      </c>
      <c r="Z550">
        <v>0</v>
      </c>
      <c r="AA550">
        <v>0</v>
      </c>
      <c r="AB550">
        <v>0</v>
      </c>
      <c r="AC550">
        <v>0</v>
      </c>
      <c r="AD550">
        <v>0</v>
      </c>
      <c r="AE550">
        <v>0</v>
      </c>
      <c r="AF550">
        <v>0</v>
      </c>
      <c r="AG550">
        <v>0</v>
      </c>
      <c r="AH550">
        <v>0</v>
      </c>
      <c r="AI550">
        <v>0</v>
      </c>
      <c r="AJ550">
        <v>0</v>
      </c>
      <c r="AK550">
        <v>0</v>
      </c>
      <c r="AL550">
        <v>0</v>
      </c>
      <c r="AM550">
        <v>0</v>
      </c>
      <c r="AN550">
        <v>0</v>
      </c>
      <c r="AO550">
        <v>0</v>
      </c>
      <c r="AP550">
        <v>0</v>
      </c>
      <c r="AQ550">
        <v>0</v>
      </c>
      <c r="AR550">
        <v>0</v>
      </c>
      <c r="AS550">
        <v>0</v>
      </c>
      <c r="AT550">
        <v>0</v>
      </c>
      <c r="AU550">
        <v>0</v>
      </c>
      <c r="AV550">
        <v>0</v>
      </c>
      <c r="AW550">
        <v>0</v>
      </c>
      <c r="AX550">
        <v>0</v>
      </c>
      <c r="AY550">
        <v>0</v>
      </c>
      <c r="AZ550">
        <v>0</v>
      </c>
      <c r="BA550">
        <v>0</v>
      </c>
      <c r="BB550">
        <v>0</v>
      </c>
      <c r="BC550">
        <v>0</v>
      </c>
      <c r="BD550">
        <v>0</v>
      </c>
      <c r="BE550">
        <v>0</v>
      </c>
      <c r="BF550">
        <v>0</v>
      </c>
      <c r="BG550">
        <v>0</v>
      </c>
      <c r="BH550">
        <v>0</v>
      </c>
      <c r="BI550">
        <v>0</v>
      </c>
      <c r="BJ550">
        <v>0</v>
      </c>
      <c r="BK550">
        <v>0</v>
      </c>
      <c r="BL550">
        <v>0</v>
      </c>
      <c r="BM550">
        <v>0</v>
      </c>
      <c r="BN550">
        <v>0</v>
      </c>
      <c r="BO550">
        <v>0</v>
      </c>
      <c r="BP550">
        <v>0</v>
      </c>
      <c r="BQ550">
        <v>0</v>
      </c>
      <c r="BR550">
        <v>0</v>
      </c>
      <c r="BS550">
        <v>0</v>
      </c>
    </row>
    <row r="551" spans="1:71" x14ac:dyDescent="0.3">
      <c r="A551" t="s">
        <v>2485</v>
      </c>
      <c r="B551" t="s">
        <v>2486</v>
      </c>
      <c r="C551" t="s">
        <v>29</v>
      </c>
      <c r="D551" t="s">
        <v>29</v>
      </c>
      <c r="E551" t="s">
        <v>29</v>
      </c>
      <c r="F551" t="s">
        <v>2487</v>
      </c>
      <c r="G551">
        <v>2020</v>
      </c>
      <c r="H551">
        <v>2020</v>
      </c>
      <c r="I551" t="s">
        <v>29</v>
      </c>
      <c r="J551" t="s">
        <v>29</v>
      </c>
      <c r="K551" t="s">
        <v>29</v>
      </c>
      <c r="L551" t="s">
        <v>29</v>
      </c>
      <c r="M551" t="s">
        <v>29</v>
      </c>
      <c r="N551" t="s">
        <v>29</v>
      </c>
      <c r="O551" t="s">
        <v>29</v>
      </c>
      <c r="P551" t="s">
        <v>29</v>
      </c>
      <c r="Q551" t="s">
        <v>29</v>
      </c>
      <c r="R551" t="s">
        <v>2488</v>
      </c>
      <c r="S551" t="s">
        <v>2489</v>
      </c>
      <c r="T551">
        <v>0</v>
      </c>
      <c r="U551">
        <v>0</v>
      </c>
      <c r="V551">
        <v>0</v>
      </c>
      <c r="W551">
        <v>0</v>
      </c>
      <c r="X551">
        <v>0</v>
      </c>
      <c r="Y551">
        <v>0</v>
      </c>
      <c r="Z551">
        <v>0</v>
      </c>
      <c r="AA551">
        <v>0</v>
      </c>
      <c r="AB551">
        <v>0</v>
      </c>
      <c r="AC551">
        <v>0</v>
      </c>
      <c r="AD551">
        <v>0</v>
      </c>
      <c r="AE551">
        <v>0</v>
      </c>
      <c r="AF551">
        <v>0</v>
      </c>
      <c r="AG551">
        <v>0</v>
      </c>
      <c r="AH551">
        <v>0</v>
      </c>
      <c r="AI551">
        <v>0</v>
      </c>
      <c r="AJ551">
        <v>0</v>
      </c>
      <c r="AK551">
        <v>0</v>
      </c>
      <c r="AL551">
        <v>0</v>
      </c>
      <c r="AM551">
        <v>0</v>
      </c>
      <c r="AN551">
        <v>0</v>
      </c>
      <c r="AO551">
        <v>0</v>
      </c>
      <c r="AP551">
        <v>0</v>
      </c>
      <c r="AQ551">
        <v>0</v>
      </c>
      <c r="AR551">
        <v>0</v>
      </c>
      <c r="AS551">
        <v>0</v>
      </c>
      <c r="AT551">
        <v>0</v>
      </c>
      <c r="AU551">
        <v>0</v>
      </c>
      <c r="AV551">
        <v>0</v>
      </c>
      <c r="AW551">
        <v>0</v>
      </c>
      <c r="AX551">
        <v>0</v>
      </c>
      <c r="AY551">
        <v>0</v>
      </c>
      <c r="AZ551">
        <v>0</v>
      </c>
      <c r="BA551">
        <v>0</v>
      </c>
      <c r="BB551">
        <v>0</v>
      </c>
      <c r="BC551">
        <v>0</v>
      </c>
      <c r="BD551">
        <v>0</v>
      </c>
      <c r="BE551">
        <v>0</v>
      </c>
      <c r="BF551">
        <v>0</v>
      </c>
      <c r="BG551">
        <v>0</v>
      </c>
      <c r="BH551">
        <v>0</v>
      </c>
      <c r="BI551">
        <v>0</v>
      </c>
      <c r="BJ551">
        <v>0</v>
      </c>
      <c r="BK551">
        <v>0</v>
      </c>
      <c r="BL551">
        <v>0</v>
      </c>
      <c r="BM551">
        <v>0</v>
      </c>
      <c r="BN551">
        <v>0</v>
      </c>
      <c r="BO551">
        <v>0</v>
      </c>
      <c r="BP551">
        <v>0</v>
      </c>
      <c r="BQ551">
        <v>0</v>
      </c>
      <c r="BR551">
        <v>0</v>
      </c>
      <c r="BS551">
        <v>0</v>
      </c>
    </row>
    <row r="552" spans="1:71" x14ac:dyDescent="0.3">
      <c r="A552" t="s">
        <v>2490</v>
      </c>
      <c r="B552" t="s">
        <v>2491</v>
      </c>
      <c r="C552" t="s">
        <v>29</v>
      </c>
      <c r="D552" t="s">
        <v>29</v>
      </c>
      <c r="E552" t="s">
        <v>1228</v>
      </c>
      <c r="F552" t="s">
        <v>1380</v>
      </c>
      <c r="G552">
        <v>2020</v>
      </c>
      <c r="H552">
        <v>2020</v>
      </c>
      <c r="I552" t="s">
        <v>29</v>
      </c>
      <c r="J552" t="s">
        <v>29</v>
      </c>
      <c r="K552" t="s">
        <v>29</v>
      </c>
      <c r="L552" t="s">
        <v>29</v>
      </c>
      <c r="M552" t="s">
        <v>29</v>
      </c>
      <c r="N552">
        <v>2220</v>
      </c>
      <c r="O552">
        <v>2226</v>
      </c>
      <c r="P552" t="s">
        <v>29</v>
      </c>
      <c r="Q552" t="s">
        <v>29</v>
      </c>
      <c r="R552" t="s">
        <v>1381</v>
      </c>
      <c r="S552" t="s">
        <v>1382</v>
      </c>
      <c r="T552">
        <v>0</v>
      </c>
      <c r="U552">
        <v>0</v>
      </c>
      <c r="V552">
        <v>0</v>
      </c>
      <c r="W552">
        <v>0</v>
      </c>
      <c r="X552">
        <v>0</v>
      </c>
      <c r="Y552">
        <v>0</v>
      </c>
      <c r="Z552">
        <v>0</v>
      </c>
      <c r="AA552">
        <v>0</v>
      </c>
      <c r="AB552">
        <v>0</v>
      </c>
      <c r="AC552">
        <v>0</v>
      </c>
      <c r="AD552">
        <v>0</v>
      </c>
      <c r="AE552">
        <v>0</v>
      </c>
      <c r="AF552">
        <v>0</v>
      </c>
      <c r="AG552">
        <v>0</v>
      </c>
      <c r="AH552">
        <v>0</v>
      </c>
      <c r="AI552">
        <v>0</v>
      </c>
      <c r="AJ552">
        <v>0</v>
      </c>
      <c r="AK552">
        <v>0</v>
      </c>
      <c r="AL552">
        <v>0</v>
      </c>
      <c r="AM552">
        <v>0</v>
      </c>
      <c r="AN552">
        <v>0</v>
      </c>
      <c r="AO552">
        <v>0</v>
      </c>
      <c r="AP552">
        <v>0</v>
      </c>
      <c r="AQ552">
        <v>0</v>
      </c>
      <c r="AR552">
        <v>0</v>
      </c>
      <c r="AS552">
        <v>0</v>
      </c>
      <c r="AT552">
        <v>0</v>
      </c>
      <c r="AU552">
        <v>0</v>
      </c>
      <c r="AV552">
        <v>0</v>
      </c>
      <c r="AW552">
        <v>0</v>
      </c>
      <c r="AX552">
        <v>0</v>
      </c>
      <c r="AY552">
        <v>0</v>
      </c>
      <c r="AZ552">
        <v>0</v>
      </c>
      <c r="BA552">
        <v>0</v>
      </c>
      <c r="BB552">
        <v>0</v>
      </c>
      <c r="BC552">
        <v>0</v>
      </c>
      <c r="BD552">
        <v>0</v>
      </c>
      <c r="BE552">
        <v>0</v>
      </c>
      <c r="BF552">
        <v>0</v>
      </c>
      <c r="BG552">
        <v>0</v>
      </c>
      <c r="BH552">
        <v>0</v>
      </c>
      <c r="BI552">
        <v>0</v>
      </c>
      <c r="BJ552">
        <v>0</v>
      </c>
      <c r="BK552">
        <v>0</v>
      </c>
      <c r="BL552">
        <v>0</v>
      </c>
      <c r="BM552">
        <v>0</v>
      </c>
      <c r="BN552">
        <v>0</v>
      </c>
      <c r="BO552">
        <v>0</v>
      </c>
      <c r="BP552">
        <v>0</v>
      </c>
      <c r="BQ552">
        <v>0</v>
      </c>
      <c r="BR552">
        <v>0</v>
      </c>
      <c r="BS552">
        <v>0</v>
      </c>
    </row>
    <row r="553" spans="1:71" x14ac:dyDescent="0.3">
      <c r="A553" t="s">
        <v>2492</v>
      </c>
      <c r="B553" t="s">
        <v>2493</v>
      </c>
      <c r="C553" t="s">
        <v>29</v>
      </c>
      <c r="D553" t="s">
        <v>29</v>
      </c>
      <c r="E553" t="s">
        <v>29</v>
      </c>
      <c r="F553" t="s">
        <v>2494</v>
      </c>
      <c r="G553">
        <v>2020</v>
      </c>
      <c r="H553">
        <v>2020</v>
      </c>
      <c r="I553">
        <v>20</v>
      </c>
      <c r="J553">
        <v>2</v>
      </c>
      <c r="K553" t="s">
        <v>29</v>
      </c>
      <c r="L553" t="s">
        <v>29</v>
      </c>
      <c r="M553" t="s">
        <v>29</v>
      </c>
      <c r="N553">
        <v>19</v>
      </c>
      <c r="O553">
        <v>32</v>
      </c>
      <c r="P553" t="s">
        <v>29</v>
      </c>
      <c r="Q553" t="s">
        <v>2495</v>
      </c>
      <c r="R553" t="s">
        <v>29</v>
      </c>
      <c r="S553" t="s">
        <v>29</v>
      </c>
      <c r="T553">
        <v>0</v>
      </c>
      <c r="U553">
        <v>0</v>
      </c>
      <c r="V553">
        <v>0</v>
      </c>
      <c r="W553">
        <v>0</v>
      </c>
      <c r="X553">
        <v>0</v>
      </c>
      <c r="Y553">
        <v>0</v>
      </c>
      <c r="Z553">
        <v>0</v>
      </c>
      <c r="AA553">
        <v>0</v>
      </c>
      <c r="AB553">
        <v>0</v>
      </c>
      <c r="AC553">
        <v>0</v>
      </c>
      <c r="AD553">
        <v>0</v>
      </c>
      <c r="AE553">
        <v>0</v>
      </c>
      <c r="AF553">
        <v>0</v>
      </c>
      <c r="AG553">
        <v>0</v>
      </c>
      <c r="AH553">
        <v>0</v>
      </c>
      <c r="AI553">
        <v>0</v>
      </c>
      <c r="AJ553">
        <v>0</v>
      </c>
      <c r="AK553">
        <v>0</v>
      </c>
      <c r="AL553">
        <v>0</v>
      </c>
      <c r="AM553">
        <v>0</v>
      </c>
      <c r="AN553">
        <v>0</v>
      </c>
      <c r="AO553">
        <v>0</v>
      </c>
      <c r="AP553">
        <v>0</v>
      </c>
      <c r="AQ553">
        <v>0</v>
      </c>
      <c r="AR553">
        <v>0</v>
      </c>
      <c r="AS553">
        <v>0</v>
      </c>
      <c r="AT553">
        <v>0</v>
      </c>
      <c r="AU553">
        <v>0</v>
      </c>
      <c r="AV553">
        <v>0</v>
      </c>
      <c r="AW553">
        <v>0</v>
      </c>
      <c r="AX553">
        <v>0</v>
      </c>
      <c r="AY553">
        <v>0</v>
      </c>
      <c r="AZ553">
        <v>0</v>
      </c>
      <c r="BA553">
        <v>0</v>
      </c>
      <c r="BB553">
        <v>0</v>
      </c>
      <c r="BC553">
        <v>0</v>
      </c>
      <c r="BD553">
        <v>0</v>
      </c>
      <c r="BE553">
        <v>0</v>
      </c>
      <c r="BF553">
        <v>0</v>
      </c>
      <c r="BG553">
        <v>0</v>
      </c>
      <c r="BH553">
        <v>0</v>
      </c>
      <c r="BI553">
        <v>0</v>
      </c>
      <c r="BJ553">
        <v>0</v>
      </c>
      <c r="BK553">
        <v>0</v>
      </c>
      <c r="BL553">
        <v>0</v>
      </c>
      <c r="BM553">
        <v>0</v>
      </c>
      <c r="BN553">
        <v>0</v>
      </c>
      <c r="BO553">
        <v>0</v>
      </c>
      <c r="BP553">
        <v>0</v>
      </c>
      <c r="BQ553">
        <v>0</v>
      </c>
      <c r="BR553">
        <v>0</v>
      </c>
      <c r="BS553">
        <v>0</v>
      </c>
    </row>
    <row r="554" spans="1:71" x14ac:dyDescent="0.3">
      <c r="A554" t="s">
        <v>2496</v>
      </c>
      <c r="B554" t="s">
        <v>2497</v>
      </c>
      <c r="C554" t="s">
        <v>29</v>
      </c>
      <c r="D554" t="s">
        <v>29</v>
      </c>
      <c r="E554" t="s">
        <v>29</v>
      </c>
      <c r="F554" t="s">
        <v>1670</v>
      </c>
      <c r="G554">
        <v>2020</v>
      </c>
      <c r="H554">
        <v>2020</v>
      </c>
      <c r="I554">
        <v>19</v>
      </c>
      <c r="J554">
        <v>2</v>
      </c>
      <c r="K554" t="s">
        <v>29</v>
      </c>
      <c r="L554" t="s">
        <v>29</v>
      </c>
      <c r="M554" t="s">
        <v>29</v>
      </c>
      <c r="N554">
        <v>21</v>
      </c>
      <c r="O554">
        <v>31</v>
      </c>
      <c r="P554" t="s">
        <v>29</v>
      </c>
      <c r="Q554" t="s">
        <v>29</v>
      </c>
      <c r="R554" t="s">
        <v>29</v>
      </c>
      <c r="S554" t="s">
        <v>29</v>
      </c>
      <c r="T554">
        <v>0</v>
      </c>
      <c r="U554">
        <v>0</v>
      </c>
      <c r="V554">
        <v>0</v>
      </c>
      <c r="W554">
        <v>0</v>
      </c>
      <c r="X554">
        <v>0</v>
      </c>
      <c r="Y554">
        <v>0</v>
      </c>
      <c r="Z554">
        <v>0</v>
      </c>
      <c r="AA554">
        <v>0</v>
      </c>
      <c r="AB554">
        <v>0</v>
      </c>
      <c r="AC554">
        <v>0</v>
      </c>
      <c r="AD554">
        <v>0</v>
      </c>
      <c r="AE554">
        <v>0</v>
      </c>
      <c r="AF554">
        <v>0</v>
      </c>
      <c r="AG554">
        <v>0</v>
      </c>
      <c r="AH554">
        <v>0</v>
      </c>
      <c r="AI554">
        <v>0</v>
      </c>
      <c r="AJ554">
        <v>0</v>
      </c>
      <c r="AK554">
        <v>0</v>
      </c>
      <c r="AL554">
        <v>0</v>
      </c>
      <c r="AM554">
        <v>0</v>
      </c>
      <c r="AN554">
        <v>0</v>
      </c>
      <c r="AO554">
        <v>0</v>
      </c>
      <c r="AP554">
        <v>0</v>
      </c>
      <c r="AQ554">
        <v>0</v>
      </c>
      <c r="AR554">
        <v>0</v>
      </c>
      <c r="AS554">
        <v>0</v>
      </c>
      <c r="AT554">
        <v>0</v>
      </c>
      <c r="AU554">
        <v>0</v>
      </c>
      <c r="AV554">
        <v>0</v>
      </c>
      <c r="AW554">
        <v>0</v>
      </c>
      <c r="AX554">
        <v>0</v>
      </c>
      <c r="AY554">
        <v>0</v>
      </c>
      <c r="AZ554">
        <v>0</v>
      </c>
      <c r="BA554">
        <v>0</v>
      </c>
      <c r="BB554">
        <v>0</v>
      </c>
      <c r="BC554">
        <v>0</v>
      </c>
      <c r="BD554">
        <v>0</v>
      </c>
      <c r="BE554">
        <v>0</v>
      </c>
      <c r="BF554">
        <v>0</v>
      </c>
      <c r="BG554">
        <v>0</v>
      </c>
      <c r="BH554">
        <v>0</v>
      </c>
      <c r="BI554">
        <v>0</v>
      </c>
      <c r="BJ554">
        <v>0</v>
      </c>
      <c r="BK554">
        <v>0</v>
      </c>
      <c r="BL554">
        <v>0</v>
      </c>
      <c r="BM554">
        <v>0</v>
      </c>
      <c r="BN554">
        <v>0</v>
      </c>
      <c r="BO554">
        <v>0</v>
      </c>
      <c r="BP554">
        <v>0</v>
      </c>
      <c r="BQ554">
        <v>0</v>
      </c>
      <c r="BR554">
        <v>0</v>
      </c>
      <c r="BS554">
        <v>0</v>
      </c>
    </row>
    <row r="555" spans="1:71" x14ac:dyDescent="0.3">
      <c r="A555" t="s">
        <v>2498</v>
      </c>
      <c r="B555" t="s">
        <v>2499</v>
      </c>
      <c r="C555" t="s">
        <v>29</v>
      </c>
      <c r="D555" t="s">
        <v>29</v>
      </c>
      <c r="E555" t="s">
        <v>1453</v>
      </c>
      <c r="F555" t="s">
        <v>2500</v>
      </c>
      <c r="G555">
        <v>2020</v>
      </c>
      <c r="H555">
        <v>2020</v>
      </c>
      <c r="I555" t="s">
        <v>29</v>
      </c>
      <c r="J555" t="s">
        <v>29</v>
      </c>
      <c r="K555" t="s">
        <v>29</v>
      </c>
      <c r="L555" t="s">
        <v>29</v>
      </c>
      <c r="M555" t="s">
        <v>29</v>
      </c>
      <c r="N555">
        <v>2596</v>
      </c>
      <c r="O555">
        <v>2603</v>
      </c>
      <c r="P555" t="s">
        <v>29</v>
      </c>
      <c r="Q555" t="s">
        <v>29</v>
      </c>
      <c r="R555" t="s">
        <v>2501</v>
      </c>
      <c r="S555" t="s">
        <v>2502</v>
      </c>
      <c r="T555">
        <v>0</v>
      </c>
      <c r="U555">
        <v>0</v>
      </c>
      <c r="V555">
        <v>0</v>
      </c>
      <c r="W555">
        <v>0</v>
      </c>
      <c r="X555">
        <v>0</v>
      </c>
      <c r="Y555">
        <v>0</v>
      </c>
      <c r="Z555">
        <v>0</v>
      </c>
      <c r="AA555">
        <v>0</v>
      </c>
      <c r="AB555">
        <v>0</v>
      </c>
      <c r="AC555">
        <v>0</v>
      </c>
      <c r="AD555">
        <v>0</v>
      </c>
      <c r="AE555">
        <v>0</v>
      </c>
      <c r="AF555">
        <v>0</v>
      </c>
      <c r="AG555">
        <v>0</v>
      </c>
      <c r="AH555">
        <v>0</v>
      </c>
      <c r="AI555">
        <v>0</v>
      </c>
      <c r="AJ555">
        <v>0</v>
      </c>
      <c r="AK555">
        <v>0</v>
      </c>
      <c r="AL555">
        <v>0</v>
      </c>
      <c r="AM555">
        <v>0</v>
      </c>
      <c r="AN555">
        <v>0</v>
      </c>
      <c r="AO555">
        <v>0</v>
      </c>
      <c r="AP555">
        <v>0</v>
      </c>
      <c r="AQ555">
        <v>0</v>
      </c>
      <c r="AR555">
        <v>0</v>
      </c>
      <c r="AS555">
        <v>0</v>
      </c>
      <c r="AT555">
        <v>0</v>
      </c>
      <c r="AU555">
        <v>0</v>
      </c>
      <c r="AV555">
        <v>0</v>
      </c>
      <c r="AW555">
        <v>0</v>
      </c>
      <c r="AX555">
        <v>0</v>
      </c>
      <c r="AY555">
        <v>0</v>
      </c>
      <c r="AZ555">
        <v>0</v>
      </c>
      <c r="BA555">
        <v>0</v>
      </c>
      <c r="BB555">
        <v>0</v>
      </c>
      <c r="BC555">
        <v>0</v>
      </c>
      <c r="BD555">
        <v>0</v>
      </c>
      <c r="BE555">
        <v>0</v>
      </c>
      <c r="BF555">
        <v>0</v>
      </c>
      <c r="BG555">
        <v>0</v>
      </c>
      <c r="BH555">
        <v>0</v>
      </c>
      <c r="BI555">
        <v>0</v>
      </c>
      <c r="BJ555">
        <v>0</v>
      </c>
      <c r="BK555">
        <v>0</v>
      </c>
      <c r="BL555">
        <v>0</v>
      </c>
      <c r="BM555">
        <v>0</v>
      </c>
      <c r="BN555">
        <v>0</v>
      </c>
      <c r="BO555">
        <v>0</v>
      </c>
      <c r="BP555">
        <v>0</v>
      </c>
      <c r="BQ555">
        <v>0</v>
      </c>
      <c r="BR555">
        <v>0</v>
      </c>
      <c r="BS555">
        <v>0</v>
      </c>
    </row>
    <row r="556" spans="1:71" x14ac:dyDescent="0.3">
      <c r="A556" t="s">
        <v>2503</v>
      </c>
      <c r="B556" t="s">
        <v>2504</v>
      </c>
      <c r="C556" t="s">
        <v>29</v>
      </c>
      <c r="D556" t="s">
        <v>29</v>
      </c>
      <c r="E556" t="s">
        <v>2505</v>
      </c>
      <c r="F556" t="s">
        <v>2506</v>
      </c>
      <c r="G556">
        <v>2020</v>
      </c>
      <c r="H556">
        <v>2020</v>
      </c>
      <c r="I556" t="s">
        <v>29</v>
      </c>
      <c r="J556">
        <v>13</v>
      </c>
      <c r="K556" t="s">
        <v>29</v>
      </c>
      <c r="L556" t="s">
        <v>29</v>
      </c>
      <c r="M556" t="s">
        <v>29</v>
      </c>
      <c r="N556">
        <v>93</v>
      </c>
      <c r="O556">
        <v>100</v>
      </c>
      <c r="P556" t="s">
        <v>29</v>
      </c>
      <c r="Q556" t="s">
        <v>2507</v>
      </c>
      <c r="R556" t="s">
        <v>2508</v>
      </c>
      <c r="S556">
        <v>2020</v>
      </c>
      <c r="T556">
        <v>0</v>
      </c>
      <c r="U556">
        <v>0</v>
      </c>
      <c r="V556">
        <v>0</v>
      </c>
      <c r="W556">
        <v>0</v>
      </c>
      <c r="X556">
        <v>0</v>
      </c>
      <c r="Y556">
        <v>0</v>
      </c>
      <c r="Z556">
        <v>0</v>
      </c>
      <c r="AA556">
        <v>0</v>
      </c>
      <c r="AB556">
        <v>0</v>
      </c>
      <c r="AC556">
        <v>0</v>
      </c>
      <c r="AD556">
        <v>0</v>
      </c>
      <c r="AE556">
        <v>0</v>
      </c>
      <c r="AF556">
        <v>0</v>
      </c>
      <c r="AG556">
        <v>0</v>
      </c>
      <c r="AH556">
        <v>0</v>
      </c>
      <c r="AI556">
        <v>0</v>
      </c>
      <c r="AJ556">
        <v>0</v>
      </c>
      <c r="AK556">
        <v>0</v>
      </c>
      <c r="AL556">
        <v>0</v>
      </c>
      <c r="AM556">
        <v>0</v>
      </c>
      <c r="AN556">
        <v>0</v>
      </c>
      <c r="AO556">
        <v>0</v>
      </c>
      <c r="AP556">
        <v>0</v>
      </c>
      <c r="AQ556">
        <v>0</v>
      </c>
      <c r="AR556">
        <v>0</v>
      </c>
      <c r="AS556">
        <v>0</v>
      </c>
      <c r="AT556">
        <v>0</v>
      </c>
      <c r="AU556">
        <v>0</v>
      </c>
      <c r="AV556">
        <v>0</v>
      </c>
      <c r="AW556">
        <v>0</v>
      </c>
      <c r="AX556">
        <v>0</v>
      </c>
      <c r="AY556">
        <v>0</v>
      </c>
      <c r="AZ556">
        <v>0</v>
      </c>
      <c r="BA556">
        <v>0</v>
      </c>
      <c r="BB556">
        <v>0</v>
      </c>
      <c r="BC556">
        <v>0</v>
      </c>
      <c r="BD556">
        <v>0</v>
      </c>
      <c r="BE556">
        <v>0</v>
      </c>
      <c r="BF556">
        <v>0</v>
      </c>
      <c r="BG556">
        <v>0</v>
      </c>
      <c r="BH556">
        <v>0</v>
      </c>
      <c r="BI556">
        <v>0</v>
      </c>
      <c r="BJ556">
        <v>0</v>
      </c>
      <c r="BK556">
        <v>0</v>
      </c>
      <c r="BL556">
        <v>0</v>
      </c>
      <c r="BM556">
        <v>0</v>
      </c>
      <c r="BN556">
        <v>0</v>
      </c>
      <c r="BO556">
        <v>0</v>
      </c>
      <c r="BP556">
        <v>0</v>
      </c>
      <c r="BQ556">
        <v>0</v>
      </c>
      <c r="BR556">
        <v>0</v>
      </c>
      <c r="BS556">
        <v>0</v>
      </c>
    </row>
    <row r="557" spans="1:71" x14ac:dyDescent="0.3">
      <c r="A557" t="s">
        <v>2509</v>
      </c>
      <c r="B557" t="s">
        <v>2510</v>
      </c>
      <c r="C557" t="s">
        <v>29</v>
      </c>
      <c r="D557" t="s">
        <v>29</v>
      </c>
      <c r="E557" t="s">
        <v>1228</v>
      </c>
      <c r="F557" t="s">
        <v>1380</v>
      </c>
      <c r="G557">
        <v>2020</v>
      </c>
      <c r="H557">
        <v>2020</v>
      </c>
      <c r="I557" t="s">
        <v>29</v>
      </c>
      <c r="J557" t="s">
        <v>29</v>
      </c>
      <c r="K557" t="s">
        <v>29</v>
      </c>
      <c r="L557" t="s">
        <v>29</v>
      </c>
      <c r="M557" t="s">
        <v>29</v>
      </c>
      <c r="N557">
        <v>1595</v>
      </c>
      <c r="O557">
        <v>1602</v>
      </c>
      <c r="P557" t="s">
        <v>29</v>
      </c>
      <c r="Q557" t="s">
        <v>29</v>
      </c>
      <c r="R557" t="s">
        <v>1381</v>
      </c>
      <c r="S557" t="s">
        <v>1382</v>
      </c>
      <c r="T557">
        <v>0</v>
      </c>
      <c r="U557">
        <v>0</v>
      </c>
      <c r="V557">
        <v>0</v>
      </c>
      <c r="W557">
        <v>0</v>
      </c>
      <c r="X557">
        <v>0</v>
      </c>
      <c r="Y557">
        <v>0</v>
      </c>
      <c r="Z557">
        <v>0</v>
      </c>
      <c r="AA557">
        <v>0</v>
      </c>
      <c r="AB557">
        <v>0</v>
      </c>
      <c r="AC557">
        <v>0</v>
      </c>
      <c r="AD557">
        <v>0</v>
      </c>
      <c r="AE557">
        <v>0</v>
      </c>
      <c r="AF557">
        <v>0</v>
      </c>
      <c r="AG557">
        <v>0</v>
      </c>
      <c r="AH557">
        <v>0</v>
      </c>
      <c r="AI557">
        <v>0</v>
      </c>
      <c r="AJ557">
        <v>0</v>
      </c>
      <c r="AK557">
        <v>0</v>
      </c>
      <c r="AL557">
        <v>0</v>
      </c>
      <c r="AM557">
        <v>0</v>
      </c>
      <c r="AN557">
        <v>0</v>
      </c>
      <c r="AO557">
        <v>0</v>
      </c>
      <c r="AP557">
        <v>0</v>
      </c>
      <c r="AQ557">
        <v>0</v>
      </c>
      <c r="AR557">
        <v>0</v>
      </c>
      <c r="AS557">
        <v>0</v>
      </c>
      <c r="AT557">
        <v>0</v>
      </c>
      <c r="AU557">
        <v>0</v>
      </c>
      <c r="AV557">
        <v>0</v>
      </c>
      <c r="AW557">
        <v>0</v>
      </c>
      <c r="AX557">
        <v>0</v>
      </c>
      <c r="AY557">
        <v>0</v>
      </c>
      <c r="AZ557">
        <v>0</v>
      </c>
      <c r="BA557">
        <v>0</v>
      </c>
      <c r="BB557">
        <v>0</v>
      </c>
      <c r="BC557">
        <v>0</v>
      </c>
      <c r="BD557">
        <v>0</v>
      </c>
      <c r="BE557">
        <v>0</v>
      </c>
      <c r="BF557">
        <v>0</v>
      </c>
      <c r="BG557">
        <v>0</v>
      </c>
      <c r="BH557">
        <v>0</v>
      </c>
      <c r="BI557">
        <v>0</v>
      </c>
      <c r="BJ557">
        <v>0</v>
      </c>
      <c r="BK557">
        <v>0</v>
      </c>
      <c r="BL557">
        <v>0</v>
      </c>
      <c r="BM557">
        <v>0</v>
      </c>
      <c r="BN557">
        <v>0</v>
      </c>
      <c r="BO557">
        <v>0</v>
      </c>
      <c r="BP557">
        <v>0</v>
      </c>
      <c r="BQ557">
        <v>0</v>
      </c>
      <c r="BR557">
        <v>0</v>
      </c>
      <c r="BS557">
        <v>0</v>
      </c>
    </row>
    <row r="558" spans="1:71" x14ac:dyDescent="0.3">
      <c r="A558" t="s">
        <v>2511</v>
      </c>
      <c r="B558" t="s">
        <v>2512</v>
      </c>
      <c r="C558" t="s">
        <v>29</v>
      </c>
      <c r="D558" t="s">
        <v>29</v>
      </c>
      <c r="E558" t="s">
        <v>29</v>
      </c>
      <c r="F558" t="s">
        <v>2513</v>
      </c>
      <c r="G558">
        <v>2020</v>
      </c>
      <c r="H558">
        <v>2020</v>
      </c>
      <c r="I558" t="s">
        <v>29</v>
      </c>
      <c r="J558" t="s">
        <v>29</v>
      </c>
      <c r="K558" t="s">
        <v>29</v>
      </c>
      <c r="L558" t="s">
        <v>29</v>
      </c>
      <c r="M558" t="s">
        <v>29</v>
      </c>
      <c r="N558" t="s">
        <v>29</v>
      </c>
      <c r="O558" t="s">
        <v>29</v>
      </c>
      <c r="P558" t="s">
        <v>29</v>
      </c>
      <c r="Q558" t="s">
        <v>29</v>
      </c>
      <c r="R558" t="s">
        <v>1465</v>
      </c>
      <c r="S558" t="s">
        <v>2514</v>
      </c>
      <c r="T558">
        <v>0</v>
      </c>
      <c r="U558">
        <v>0</v>
      </c>
      <c r="V558">
        <v>0</v>
      </c>
      <c r="W558">
        <v>0</v>
      </c>
      <c r="X558">
        <v>0</v>
      </c>
      <c r="Y558">
        <v>0</v>
      </c>
      <c r="Z558">
        <v>0</v>
      </c>
      <c r="AA558">
        <v>0</v>
      </c>
      <c r="AB558">
        <v>0</v>
      </c>
      <c r="AC558">
        <v>0</v>
      </c>
      <c r="AD558">
        <v>0</v>
      </c>
      <c r="AE558">
        <v>0</v>
      </c>
      <c r="AF558">
        <v>0</v>
      </c>
      <c r="AG558">
        <v>0</v>
      </c>
      <c r="AH558">
        <v>0</v>
      </c>
      <c r="AI558">
        <v>0</v>
      </c>
      <c r="AJ558">
        <v>0</v>
      </c>
      <c r="AK558">
        <v>0</v>
      </c>
      <c r="AL558">
        <v>0</v>
      </c>
      <c r="AM558">
        <v>0</v>
      </c>
      <c r="AN558">
        <v>0</v>
      </c>
      <c r="AO558">
        <v>0</v>
      </c>
      <c r="AP558">
        <v>0</v>
      </c>
      <c r="AQ558">
        <v>0</v>
      </c>
      <c r="AR558">
        <v>0</v>
      </c>
      <c r="AS558">
        <v>0</v>
      </c>
      <c r="AT558">
        <v>0</v>
      </c>
      <c r="AU558">
        <v>0</v>
      </c>
      <c r="AV558">
        <v>0</v>
      </c>
      <c r="AW558">
        <v>0</v>
      </c>
      <c r="AX558">
        <v>0</v>
      </c>
      <c r="AY558">
        <v>0</v>
      </c>
      <c r="AZ558">
        <v>0</v>
      </c>
      <c r="BA558">
        <v>0</v>
      </c>
      <c r="BB558">
        <v>0</v>
      </c>
      <c r="BC558">
        <v>0</v>
      </c>
      <c r="BD558">
        <v>0</v>
      </c>
      <c r="BE558">
        <v>0</v>
      </c>
      <c r="BF558">
        <v>0</v>
      </c>
      <c r="BG558">
        <v>0</v>
      </c>
      <c r="BH558">
        <v>0</v>
      </c>
      <c r="BI558">
        <v>0</v>
      </c>
      <c r="BJ558">
        <v>0</v>
      </c>
      <c r="BK558">
        <v>0</v>
      </c>
      <c r="BL558">
        <v>0</v>
      </c>
      <c r="BM558">
        <v>0</v>
      </c>
      <c r="BN558">
        <v>0</v>
      </c>
      <c r="BO558">
        <v>0</v>
      </c>
      <c r="BP558">
        <v>0</v>
      </c>
      <c r="BQ558">
        <v>0</v>
      </c>
      <c r="BR558">
        <v>0</v>
      </c>
      <c r="BS558">
        <v>0</v>
      </c>
    </row>
    <row r="559" spans="1:71" x14ac:dyDescent="0.3">
      <c r="A559" t="s">
        <v>2515</v>
      </c>
      <c r="B559" t="s">
        <v>2516</v>
      </c>
      <c r="C559" t="s">
        <v>29</v>
      </c>
      <c r="D559" t="s">
        <v>29</v>
      </c>
      <c r="E559" t="s">
        <v>29</v>
      </c>
      <c r="F559" t="s">
        <v>977</v>
      </c>
      <c r="G559" t="s">
        <v>64</v>
      </c>
      <c r="H559">
        <v>2019</v>
      </c>
      <c r="I559">
        <v>20</v>
      </c>
      <c r="J559">
        <v>4</v>
      </c>
      <c r="K559" t="s">
        <v>29</v>
      </c>
      <c r="L559" t="s">
        <v>29</v>
      </c>
      <c r="M559" t="s">
        <v>29</v>
      </c>
      <c r="N559">
        <v>114</v>
      </c>
      <c r="O559">
        <v>125</v>
      </c>
      <c r="P559" t="s">
        <v>29</v>
      </c>
      <c r="Q559" t="s">
        <v>2517</v>
      </c>
      <c r="R559" t="s">
        <v>29</v>
      </c>
      <c r="S559" t="s">
        <v>29</v>
      </c>
      <c r="T559">
        <v>0</v>
      </c>
      <c r="U559">
        <v>0</v>
      </c>
      <c r="V559">
        <v>0</v>
      </c>
      <c r="W559">
        <v>0</v>
      </c>
      <c r="X559">
        <v>0</v>
      </c>
      <c r="Y559">
        <v>0</v>
      </c>
      <c r="Z559">
        <v>0</v>
      </c>
      <c r="AA559">
        <v>0</v>
      </c>
      <c r="AB559">
        <v>0</v>
      </c>
      <c r="AC559">
        <v>0</v>
      </c>
      <c r="AD559">
        <v>0</v>
      </c>
      <c r="AE559">
        <v>0</v>
      </c>
      <c r="AF559">
        <v>0</v>
      </c>
      <c r="AG559">
        <v>0</v>
      </c>
      <c r="AH559">
        <v>0</v>
      </c>
      <c r="AI559">
        <v>0</v>
      </c>
      <c r="AJ559">
        <v>0</v>
      </c>
      <c r="AK559">
        <v>0</v>
      </c>
      <c r="AL559">
        <v>0</v>
      </c>
      <c r="AM559">
        <v>0</v>
      </c>
      <c r="AN559">
        <v>0</v>
      </c>
      <c r="AO559">
        <v>0</v>
      </c>
      <c r="AP559">
        <v>0</v>
      </c>
      <c r="AQ559">
        <v>0</v>
      </c>
      <c r="AR559">
        <v>0</v>
      </c>
      <c r="AS559">
        <v>0</v>
      </c>
      <c r="AT559">
        <v>0</v>
      </c>
      <c r="AU559">
        <v>0</v>
      </c>
      <c r="AV559">
        <v>0</v>
      </c>
      <c r="AW559">
        <v>0</v>
      </c>
      <c r="AX559">
        <v>0</v>
      </c>
      <c r="AY559">
        <v>0</v>
      </c>
      <c r="AZ559">
        <v>0</v>
      </c>
      <c r="BA559">
        <v>0</v>
      </c>
      <c r="BB559">
        <v>0</v>
      </c>
      <c r="BC559">
        <v>0</v>
      </c>
      <c r="BD559">
        <v>0</v>
      </c>
      <c r="BE559">
        <v>0</v>
      </c>
      <c r="BF559">
        <v>0</v>
      </c>
      <c r="BG559">
        <v>0</v>
      </c>
      <c r="BH559">
        <v>0</v>
      </c>
      <c r="BI559">
        <v>0</v>
      </c>
      <c r="BJ559">
        <v>0</v>
      </c>
      <c r="BK559">
        <v>0</v>
      </c>
      <c r="BL559">
        <v>0</v>
      </c>
      <c r="BM559">
        <v>0</v>
      </c>
      <c r="BN559">
        <v>0</v>
      </c>
      <c r="BO559">
        <v>0</v>
      </c>
      <c r="BP559">
        <v>0</v>
      </c>
      <c r="BQ559">
        <v>0</v>
      </c>
      <c r="BR559">
        <v>0</v>
      </c>
      <c r="BS559">
        <v>0</v>
      </c>
    </row>
    <row r="560" spans="1:71" x14ac:dyDescent="0.3">
      <c r="A560" t="s">
        <v>2518</v>
      </c>
      <c r="B560" t="s">
        <v>2519</v>
      </c>
      <c r="C560" t="s">
        <v>29</v>
      </c>
      <c r="D560" t="s">
        <v>29</v>
      </c>
      <c r="E560" t="s">
        <v>29</v>
      </c>
      <c r="F560" t="s">
        <v>2520</v>
      </c>
      <c r="G560" t="s">
        <v>2521</v>
      </c>
      <c r="H560">
        <v>2019</v>
      </c>
      <c r="I560">
        <v>43</v>
      </c>
      <c r="J560">
        <v>2</v>
      </c>
      <c r="K560" t="s">
        <v>29</v>
      </c>
      <c r="L560" t="s">
        <v>29</v>
      </c>
      <c r="M560" t="s">
        <v>29</v>
      </c>
      <c r="N560">
        <v>97</v>
      </c>
      <c r="O560">
        <v>111</v>
      </c>
      <c r="P560" t="s">
        <v>29</v>
      </c>
      <c r="Q560" t="s">
        <v>2522</v>
      </c>
      <c r="R560" t="s">
        <v>29</v>
      </c>
      <c r="S560" t="s">
        <v>29</v>
      </c>
      <c r="T560">
        <v>0</v>
      </c>
      <c r="U560">
        <v>0</v>
      </c>
      <c r="V560">
        <v>0</v>
      </c>
      <c r="W560">
        <v>0</v>
      </c>
      <c r="X560">
        <v>0</v>
      </c>
      <c r="Y560">
        <v>0</v>
      </c>
      <c r="Z560">
        <v>0</v>
      </c>
      <c r="AA560">
        <v>0</v>
      </c>
      <c r="AB560">
        <v>0</v>
      </c>
      <c r="AC560">
        <v>0</v>
      </c>
      <c r="AD560">
        <v>0</v>
      </c>
      <c r="AE560">
        <v>0</v>
      </c>
      <c r="AF560">
        <v>0</v>
      </c>
      <c r="AG560">
        <v>0</v>
      </c>
      <c r="AH560">
        <v>0</v>
      </c>
      <c r="AI560">
        <v>0</v>
      </c>
      <c r="AJ560">
        <v>0</v>
      </c>
      <c r="AK560">
        <v>0</v>
      </c>
      <c r="AL560">
        <v>0</v>
      </c>
      <c r="AM560">
        <v>0</v>
      </c>
      <c r="AN560">
        <v>0</v>
      </c>
      <c r="AO560">
        <v>0</v>
      </c>
      <c r="AP560">
        <v>0</v>
      </c>
      <c r="AQ560">
        <v>0</v>
      </c>
      <c r="AR560">
        <v>0</v>
      </c>
      <c r="AS560">
        <v>0</v>
      </c>
      <c r="AT560">
        <v>0</v>
      </c>
      <c r="AU560">
        <v>0</v>
      </c>
      <c r="AV560">
        <v>0</v>
      </c>
      <c r="AW560">
        <v>0</v>
      </c>
      <c r="AX560">
        <v>0</v>
      </c>
      <c r="AY560">
        <v>0</v>
      </c>
      <c r="AZ560">
        <v>0</v>
      </c>
      <c r="BA560">
        <v>0</v>
      </c>
      <c r="BB560">
        <v>0</v>
      </c>
      <c r="BC560">
        <v>0</v>
      </c>
      <c r="BD560">
        <v>0</v>
      </c>
      <c r="BE560">
        <v>0</v>
      </c>
      <c r="BF560">
        <v>0</v>
      </c>
      <c r="BG560">
        <v>0</v>
      </c>
      <c r="BH560">
        <v>0</v>
      </c>
      <c r="BI560">
        <v>0</v>
      </c>
      <c r="BJ560">
        <v>0</v>
      </c>
      <c r="BK560">
        <v>0</v>
      </c>
      <c r="BL560">
        <v>0</v>
      </c>
      <c r="BM560">
        <v>0</v>
      </c>
      <c r="BN560">
        <v>0</v>
      </c>
      <c r="BO560">
        <v>0</v>
      </c>
      <c r="BP560">
        <v>0</v>
      </c>
      <c r="BQ560">
        <v>0</v>
      </c>
      <c r="BR560">
        <v>0</v>
      </c>
      <c r="BS560">
        <v>0</v>
      </c>
    </row>
    <row r="561" spans="1:71" x14ac:dyDescent="0.3">
      <c r="A561" t="s">
        <v>2523</v>
      </c>
      <c r="B561" t="s">
        <v>2524</v>
      </c>
      <c r="C561" t="s">
        <v>29</v>
      </c>
      <c r="D561" t="s">
        <v>29</v>
      </c>
      <c r="E561" t="s">
        <v>29</v>
      </c>
      <c r="F561" t="s">
        <v>2525</v>
      </c>
      <c r="G561" t="s">
        <v>127</v>
      </c>
      <c r="H561">
        <v>2019</v>
      </c>
      <c r="I561">
        <v>6</v>
      </c>
      <c r="J561">
        <v>9</v>
      </c>
      <c r="K561" t="s">
        <v>29</v>
      </c>
      <c r="L561" t="s">
        <v>29</v>
      </c>
      <c r="M561" t="s">
        <v>29</v>
      </c>
      <c r="N561">
        <v>64</v>
      </c>
      <c r="O561">
        <v>76</v>
      </c>
      <c r="P561" t="s">
        <v>29</v>
      </c>
      <c r="Q561" t="s">
        <v>29</v>
      </c>
      <c r="R561" t="s">
        <v>29</v>
      </c>
      <c r="S561" t="s">
        <v>29</v>
      </c>
      <c r="T561">
        <v>0</v>
      </c>
      <c r="U561">
        <v>0</v>
      </c>
      <c r="V561">
        <v>0</v>
      </c>
      <c r="W561">
        <v>0</v>
      </c>
      <c r="X561">
        <v>0</v>
      </c>
      <c r="Y561">
        <v>0</v>
      </c>
      <c r="Z561">
        <v>0</v>
      </c>
      <c r="AA561">
        <v>0</v>
      </c>
      <c r="AB561">
        <v>0</v>
      </c>
      <c r="AC561">
        <v>0</v>
      </c>
      <c r="AD561">
        <v>0</v>
      </c>
      <c r="AE561">
        <v>0</v>
      </c>
      <c r="AF561">
        <v>0</v>
      </c>
      <c r="AG561">
        <v>0</v>
      </c>
      <c r="AH561">
        <v>0</v>
      </c>
      <c r="AI561">
        <v>0</v>
      </c>
      <c r="AJ561">
        <v>0</v>
      </c>
      <c r="AK561">
        <v>0</v>
      </c>
      <c r="AL561">
        <v>0</v>
      </c>
      <c r="AM561">
        <v>0</v>
      </c>
      <c r="AN561">
        <v>0</v>
      </c>
      <c r="AO561">
        <v>0</v>
      </c>
      <c r="AP561">
        <v>0</v>
      </c>
      <c r="AQ561">
        <v>0</v>
      </c>
      <c r="AR561">
        <v>0</v>
      </c>
      <c r="AS561">
        <v>0</v>
      </c>
      <c r="AT561">
        <v>0</v>
      </c>
      <c r="AU561">
        <v>0</v>
      </c>
      <c r="AV561">
        <v>0</v>
      </c>
      <c r="AW561">
        <v>0</v>
      </c>
      <c r="AX561">
        <v>0</v>
      </c>
      <c r="AY561">
        <v>0</v>
      </c>
      <c r="AZ561">
        <v>0</v>
      </c>
      <c r="BA561">
        <v>0</v>
      </c>
      <c r="BB561">
        <v>0</v>
      </c>
      <c r="BC561">
        <v>0</v>
      </c>
      <c r="BD561">
        <v>0</v>
      </c>
      <c r="BE561">
        <v>0</v>
      </c>
      <c r="BF561">
        <v>0</v>
      </c>
      <c r="BG561">
        <v>0</v>
      </c>
      <c r="BH561">
        <v>0</v>
      </c>
      <c r="BI561">
        <v>0</v>
      </c>
      <c r="BJ561">
        <v>0</v>
      </c>
      <c r="BK561">
        <v>0</v>
      </c>
      <c r="BL561">
        <v>0</v>
      </c>
      <c r="BM561">
        <v>0</v>
      </c>
      <c r="BN561">
        <v>0</v>
      </c>
      <c r="BO561">
        <v>0</v>
      </c>
      <c r="BP561">
        <v>0</v>
      </c>
      <c r="BQ561">
        <v>0</v>
      </c>
      <c r="BR561">
        <v>0</v>
      </c>
      <c r="BS561">
        <v>0</v>
      </c>
    </row>
    <row r="562" spans="1:71" x14ac:dyDescent="0.3">
      <c r="A562" t="s">
        <v>2526</v>
      </c>
      <c r="B562" t="s">
        <v>2527</v>
      </c>
      <c r="C562" t="s">
        <v>29</v>
      </c>
      <c r="D562" t="s">
        <v>29</v>
      </c>
      <c r="E562" t="s">
        <v>29</v>
      </c>
      <c r="F562" t="s">
        <v>2528</v>
      </c>
      <c r="G562">
        <v>2019</v>
      </c>
      <c r="H562">
        <v>2019</v>
      </c>
      <c r="I562">
        <v>17</v>
      </c>
      <c r="J562">
        <v>1</v>
      </c>
      <c r="K562" t="s">
        <v>29</v>
      </c>
      <c r="L562" t="s">
        <v>29</v>
      </c>
      <c r="M562" t="s">
        <v>32</v>
      </c>
      <c r="N562">
        <v>261</v>
      </c>
      <c r="O562">
        <v>274</v>
      </c>
      <c r="P562" t="s">
        <v>29</v>
      </c>
      <c r="Q562" t="s">
        <v>29</v>
      </c>
      <c r="R562" t="s">
        <v>29</v>
      </c>
      <c r="S562" t="s">
        <v>29</v>
      </c>
      <c r="T562">
        <v>0</v>
      </c>
      <c r="U562">
        <v>0</v>
      </c>
      <c r="V562">
        <v>0</v>
      </c>
      <c r="W562">
        <v>0</v>
      </c>
      <c r="X562">
        <v>0</v>
      </c>
      <c r="Y562">
        <v>0</v>
      </c>
      <c r="Z562">
        <v>0</v>
      </c>
      <c r="AA562">
        <v>0</v>
      </c>
      <c r="AB562">
        <v>0</v>
      </c>
      <c r="AC562">
        <v>0</v>
      </c>
      <c r="AD562">
        <v>0</v>
      </c>
      <c r="AE562">
        <v>0</v>
      </c>
      <c r="AF562">
        <v>0</v>
      </c>
      <c r="AG562">
        <v>0</v>
      </c>
      <c r="AH562">
        <v>0</v>
      </c>
      <c r="AI562">
        <v>0</v>
      </c>
      <c r="AJ562">
        <v>0</v>
      </c>
      <c r="AK562">
        <v>0</v>
      </c>
      <c r="AL562">
        <v>0</v>
      </c>
      <c r="AM562">
        <v>0</v>
      </c>
      <c r="AN562">
        <v>0</v>
      </c>
      <c r="AO562">
        <v>0</v>
      </c>
      <c r="AP562">
        <v>0</v>
      </c>
      <c r="AQ562">
        <v>0</v>
      </c>
      <c r="AR562">
        <v>0</v>
      </c>
      <c r="AS562">
        <v>0</v>
      </c>
      <c r="AT562">
        <v>0</v>
      </c>
      <c r="AU562">
        <v>0</v>
      </c>
      <c r="AV562">
        <v>0</v>
      </c>
      <c r="AW562">
        <v>0</v>
      </c>
      <c r="AX562">
        <v>0</v>
      </c>
      <c r="AY562">
        <v>0</v>
      </c>
      <c r="AZ562">
        <v>0</v>
      </c>
      <c r="BA562">
        <v>0</v>
      </c>
      <c r="BB562">
        <v>0</v>
      </c>
      <c r="BC562">
        <v>0</v>
      </c>
      <c r="BD562">
        <v>0</v>
      </c>
      <c r="BE562">
        <v>0</v>
      </c>
      <c r="BF562">
        <v>0</v>
      </c>
      <c r="BG562">
        <v>0</v>
      </c>
      <c r="BH562">
        <v>0</v>
      </c>
      <c r="BI562">
        <v>0</v>
      </c>
      <c r="BJ562">
        <v>0</v>
      </c>
      <c r="BK562">
        <v>0</v>
      </c>
      <c r="BL562">
        <v>0</v>
      </c>
      <c r="BM562">
        <v>0</v>
      </c>
      <c r="BN562">
        <v>0</v>
      </c>
      <c r="BO562">
        <v>0</v>
      </c>
      <c r="BP562">
        <v>0</v>
      </c>
      <c r="BQ562">
        <v>0</v>
      </c>
      <c r="BR562">
        <v>0</v>
      </c>
      <c r="BS562">
        <v>0</v>
      </c>
    </row>
    <row r="563" spans="1:71" x14ac:dyDescent="0.3">
      <c r="A563" t="s">
        <v>2529</v>
      </c>
      <c r="B563" t="s">
        <v>2530</v>
      </c>
      <c r="C563" t="s">
        <v>29</v>
      </c>
      <c r="D563" t="s">
        <v>29</v>
      </c>
      <c r="E563" t="s">
        <v>2531</v>
      </c>
      <c r="F563" t="s">
        <v>2532</v>
      </c>
      <c r="G563">
        <v>2019</v>
      </c>
      <c r="H563">
        <v>2019</v>
      </c>
      <c r="I563" t="s">
        <v>29</v>
      </c>
      <c r="J563" t="s">
        <v>29</v>
      </c>
      <c r="K563" t="s">
        <v>29</v>
      </c>
      <c r="L563" t="s">
        <v>29</v>
      </c>
      <c r="M563" t="s">
        <v>29</v>
      </c>
      <c r="N563">
        <v>665</v>
      </c>
      <c r="O563">
        <v>671</v>
      </c>
      <c r="P563" t="s">
        <v>29</v>
      </c>
      <c r="Q563" t="s">
        <v>29</v>
      </c>
      <c r="R563" t="s">
        <v>2533</v>
      </c>
      <c r="S563" t="s">
        <v>2534</v>
      </c>
      <c r="T563">
        <v>0</v>
      </c>
      <c r="U563">
        <v>0</v>
      </c>
      <c r="V563">
        <v>0</v>
      </c>
      <c r="W563">
        <v>0</v>
      </c>
      <c r="X563">
        <v>0</v>
      </c>
      <c r="Y563">
        <v>0</v>
      </c>
      <c r="Z563">
        <v>0</v>
      </c>
      <c r="AA563">
        <v>0</v>
      </c>
      <c r="AB563">
        <v>0</v>
      </c>
      <c r="AC563">
        <v>0</v>
      </c>
      <c r="AD563">
        <v>0</v>
      </c>
      <c r="AE563">
        <v>0</v>
      </c>
      <c r="AF563">
        <v>0</v>
      </c>
      <c r="AG563">
        <v>0</v>
      </c>
      <c r="AH563">
        <v>0</v>
      </c>
      <c r="AI563">
        <v>0</v>
      </c>
      <c r="AJ563">
        <v>0</v>
      </c>
      <c r="AK563">
        <v>0</v>
      </c>
      <c r="AL563">
        <v>0</v>
      </c>
      <c r="AM563">
        <v>0</v>
      </c>
      <c r="AN563">
        <v>0</v>
      </c>
      <c r="AO563">
        <v>0</v>
      </c>
      <c r="AP563">
        <v>0</v>
      </c>
      <c r="AQ563">
        <v>0</v>
      </c>
      <c r="AR563">
        <v>0</v>
      </c>
      <c r="AS563">
        <v>0</v>
      </c>
      <c r="AT563">
        <v>0</v>
      </c>
      <c r="AU563">
        <v>0</v>
      </c>
      <c r="AV563">
        <v>0</v>
      </c>
      <c r="AW563">
        <v>0</v>
      </c>
      <c r="AX563">
        <v>0</v>
      </c>
      <c r="AY563">
        <v>0</v>
      </c>
      <c r="AZ563">
        <v>0</v>
      </c>
      <c r="BA563">
        <v>0</v>
      </c>
      <c r="BB563">
        <v>0</v>
      </c>
      <c r="BC563">
        <v>0</v>
      </c>
      <c r="BD563">
        <v>0</v>
      </c>
      <c r="BE563">
        <v>0</v>
      </c>
      <c r="BF563">
        <v>0</v>
      </c>
      <c r="BG563">
        <v>0</v>
      </c>
      <c r="BH563">
        <v>0</v>
      </c>
      <c r="BI563">
        <v>0</v>
      </c>
      <c r="BJ563">
        <v>0</v>
      </c>
      <c r="BK563">
        <v>0</v>
      </c>
      <c r="BL563">
        <v>0</v>
      </c>
      <c r="BM563">
        <v>0</v>
      </c>
      <c r="BN563">
        <v>0</v>
      </c>
      <c r="BO563">
        <v>0</v>
      </c>
      <c r="BP563">
        <v>0</v>
      </c>
      <c r="BQ563">
        <v>0</v>
      </c>
      <c r="BR563">
        <v>0</v>
      </c>
      <c r="BS563">
        <v>0</v>
      </c>
    </row>
    <row r="564" spans="1:71" x14ac:dyDescent="0.3">
      <c r="A564" t="s">
        <v>2535</v>
      </c>
      <c r="B564" t="s">
        <v>2536</v>
      </c>
      <c r="C564" t="s">
        <v>29</v>
      </c>
      <c r="D564" t="s">
        <v>29</v>
      </c>
      <c r="E564" t="s">
        <v>1228</v>
      </c>
      <c r="F564" t="s">
        <v>1729</v>
      </c>
      <c r="G564">
        <v>2019</v>
      </c>
      <c r="H564">
        <v>2019</v>
      </c>
      <c r="I564" t="s">
        <v>29</v>
      </c>
      <c r="J564" t="s">
        <v>29</v>
      </c>
      <c r="K564" t="s">
        <v>29</v>
      </c>
      <c r="L564" t="s">
        <v>29</v>
      </c>
      <c r="M564" t="s">
        <v>29</v>
      </c>
      <c r="N564">
        <v>10035</v>
      </c>
      <c r="O564">
        <v>10044</v>
      </c>
      <c r="P564" t="s">
        <v>29</v>
      </c>
      <c r="Q564" t="s">
        <v>29</v>
      </c>
      <c r="R564" t="s">
        <v>1399</v>
      </c>
      <c r="S564" t="s">
        <v>1400</v>
      </c>
      <c r="T564">
        <v>0</v>
      </c>
      <c r="U564">
        <v>0</v>
      </c>
      <c r="V564">
        <v>0</v>
      </c>
      <c r="W564">
        <v>0</v>
      </c>
      <c r="X564">
        <v>0</v>
      </c>
      <c r="Y564">
        <v>0</v>
      </c>
      <c r="Z564">
        <v>0</v>
      </c>
      <c r="AA564">
        <v>0</v>
      </c>
      <c r="AB564">
        <v>0</v>
      </c>
      <c r="AC564">
        <v>0</v>
      </c>
      <c r="AD564">
        <v>0</v>
      </c>
      <c r="AE564">
        <v>0</v>
      </c>
      <c r="AF564">
        <v>0</v>
      </c>
      <c r="AG564">
        <v>0</v>
      </c>
      <c r="AH564">
        <v>0</v>
      </c>
      <c r="AI564">
        <v>0</v>
      </c>
      <c r="AJ564">
        <v>0</v>
      </c>
      <c r="AK564">
        <v>0</v>
      </c>
      <c r="AL564">
        <v>0</v>
      </c>
      <c r="AM564">
        <v>0</v>
      </c>
      <c r="AN564">
        <v>0</v>
      </c>
      <c r="AO564">
        <v>0</v>
      </c>
      <c r="AP564">
        <v>0</v>
      </c>
      <c r="AQ564">
        <v>0</v>
      </c>
      <c r="AR564">
        <v>0</v>
      </c>
      <c r="AS564">
        <v>0</v>
      </c>
      <c r="AT564">
        <v>0</v>
      </c>
      <c r="AU564">
        <v>0</v>
      </c>
      <c r="AV564">
        <v>0</v>
      </c>
      <c r="AW564">
        <v>0</v>
      </c>
      <c r="AX564">
        <v>0</v>
      </c>
      <c r="AY564">
        <v>0</v>
      </c>
      <c r="AZ564">
        <v>0</v>
      </c>
      <c r="BA564">
        <v>0</v>
      </c>
      <c r="BB564">
        <v>0</v>
      </c>
      <c r="BC564">
        <v>0</v>
      </c>
      <c r="BD564">
        <v>0</v>
      </c>
      <c r="BE564">
        <v>0</v>
      </c>
      <c r="BF564">
        <v>0</v>
      </c>
      <c r="BG564">
        <v>0</v>
      </c>
      <c r="BH564">
        <v>0</v>
      </c>
      <c r="BI564">
        <v>0</v>
      </c>
      <c r="BJ564">
        <v>0</v>
      </c>
      <c r="BK564">
        <v>0</v>
      </c>
      <c r="BL564">
        <v>0</v>
      </c>
      <c r="BM564">
        <v>0</v>
      </c>
      <c r="BN564">
        <v>0</v>
      </c>
      <c r="BO564">
        <v>0</v>
      </c>
      <c r="BP564">
        <v>0</v>
      </c>
      <c r="BQ564">
        <v>0</v>
      </c>
      <c r="BR564">
        <v>0</v>
      </c>
      <c r="BS564">
        <v>0</v>
      </c>
    </row>
    <row r="565" spans="1:71" x14ac:dyDescent="0.3">
      <c r="A565" t="s">
        <v>2537</v>
      </c>
      <c r="B565" t="s">
        <v>2538</v>
      </c>
      <c r="C565" t="s">
        <v>29</v>
      </c>
      <c r="D565" t="s">
        <v>29</v>
      </c>
      <c r="E565" t="s">
        <v>1228</v>
      </c>
      <c r="F565" t="s">
        <v>1393</v>
      </c>
      <c r="G565">
        <v>2019</v>
      </c>
      <c r="H565">
        <v>2019</v>
      </c>
      <c r="I565" t="s">
        <v>29</v>
      </c>
      <c r="J565" t="s">
        <v>29</v>
      </c>
      <c r="K565" t="s">
        <v>29</v>
      </c>
      <c r="L565" t="s">
        <v>29</v>
      </c>
      <c r="M565" t="s">
        <v>29</v>
      </c>
      <c r="N565">
        <v>5942</v>
      </c>
      <c r="O565">
        <v>5947</v>
      </c>
      <c r="P565" t="s">
        <v>29</v>
      </c>
      <c r="Q565" t="s">
        <v>2539</v>
      </c>
      <c r="R565" t="s">
        <v>1394</v>
      </c>
      <c r="S565" t="s">
        <v>1395</v>
      </c>
      <c r="T565">
        <v>0</v>
      </c>
      <c r="U565">
        <v>0</v>
      </c>
      <c r="V565">
        <v>0</v>
      </c>
      <c r="W565">
        <v>0</v>
      </c>
      <c r="X565">
        <v>0</v>
      </c>
      <c r="Y565">
        <v>0</v>
      </c>
      <c r="Z565">
        <v>0</v>
      </c>
      <c r="AA565">
        <v>0</v>
      </c>
      <c r="AB565">
        <v>0</v>
      </c>
      <c r="AC565">
        <v>0</v>
      </c>
      <c r="AD565">
        <v>0</v>
      </c>
      <c r="AE565">
        <v>0</v>
      </c>
      <c r="AF565">
        <v>0</v>
      </c>
      <c r="AG565">
        <v>0</v>
      </c>
      <c r="AH565">
        <v>0</v>
      </c>
      <c r="AI565">
        <v>0</v>
      </c>
      <c r="AJ565">
        <v>0</v>
      </c>
      <c r="AK565">
        <v>0</v>
      </c>
      <c r="AL565">
        <v>0</v>
      </c>
      <c r="AM565">
        <v>0</v>
      </c>
      <c r="AN565">
        <v>0</v>
      </c>
      <c r="AO565">
        <v>0</v>
      </c>
      <c r="AP565">
        <v>0</v>
      </c>
      <c r="AQ565">
        <v>0</v>
      </c>
      <c r="AR565">
        <v>0</v>
      </c>
      <c r="AS565">
        <v>0</v>
      </c>
      <c r="AT565">
        <v>0</v>
      </c>
      <c r="AU565">
        <v>0</v>
      </c>
      <c r="AV565">
        <v>0</v>
      </c>
      <c r="AW565">
        <v>0</v>
      </c>
      <c r="AX565">
        <v>0</v>
      </c>
      <c r="AY565">
        <v>0</v>
      </c>
      <c r="AZ565">
        <v>0</v>
      </c>
      <c r="BA565">
        <v>0</v>
      </c>
      <c r="BB565">
        <v>0</v>
      </c>
      <c r="BC565">
        <v>0</v>
      </c>
      <c r="BD565">
        <v>0</v>
      </c>
      <c r="BE565">
        <v>0</v>
      </c>
      <c r="BF565">
        <v>0</v>
      </c>
      <c r="BG565">
        <v>0</v>
      </c>
      <c r="BH565">
        <v>0</v>
      </c>
      <c r="BI565">
        <v>0</v>
      </c>
      <c r="BJ565">
        <v>0</v>
      </c>
      <c r="BK565">
        <v>0</v>
      </c>
      <c r="BL565">
        <v>0</v>
      </c>
      <c r="BM565">
        <v>0</v>
      </c>
      <c r="BN565">
        <v>0</v>
      </c>
      <c r="BO565">
        <v>0</v>
      </c>
      <c r="BP565">
        <v>0</v>
      </c>
      <c r="BQ565">
        <v>0</v>
      </c>
      <c r="BR565">
        <v>0</v>
      </c>
      <c r="BS565">
        <v>0</v>
      </c>
    </row>
    <row r="566" spans="1:71" x14ac:dyDescent="0.3">
      <c r="A566" t="s">
        <v>2540</v>
      </c>
      <c r="B566" t="s">
        <v>1810</v>
      </c>
      <c r="C566" t="s">
        <v>29</v>
      </c>
      <c r="D566" t="s">
        <v>29</v>
      </c>
      <c r="E566" t="s">
        <v>2541</v>
      </c>
      <c r="F566" t="s">
        <v>2542</v>
      </c>
      <c r="G566">
        <v>2019</v>
      </c>
      <c r="H566">
        <v>2019</v>
      </c>
      <c r="I566" t="s">
        <v>29</v>
      </c>
      <c r="J566" t="s">
        <v>29</v>
      </c>
      <c r="K566" t="s">
        <v>29</v>
      </c>
      <c r="L566" t="s">
        <v>29</v>
      </c>
      <c r="M566" t="s">
        <v>29</v>
      </c>
      <c r="N566">
        <v>39</v>
      </c>
      <c r="O566">
        <v>48</v>
      </c>
      <c r="P566" t="s">
        <v>29</v>
      </c>
      <c r="Q566" t="s">
        <v>2543</v>
      </c>
      <c r="R566" t="s">
        <v>2544</v>
      </c>
      <c r="S566" t="s">
        <v>2545</v>
      </c>
      <c r="T566">
        <v>0</v>
      </c>
      <c r="U566">
        <v>0</v>
      </c>
      <c r="V566">
        <v>0</v>
      </c>
      <c r="W566">
        <v>0</v>
      </c>
      <c r="X566">
        <v>0</v>
      </c>
      <c r="Y566">
        <v>0</v>
      </c>
      <c r="Z566">
        <v>0</v>
      </c>
      <c r="AA566">
        <v>0</v>
      </c>
      <c r="AB566">
        <v>0</v>
      </c>
      <c r="AC566">
        <v>0</v>
      </c>
      <c r="AD566">
        <v>0</v>
      </c>
      <c r="AE566">
        <v>0</v>
      </c>
      <c r="AF566">
        <v>0</v>
      </c>
      <c r="AG566">
        <v>0</v>
      </c>
      <c r="AH566">
        <v>0</v>
      </c>
      <c r="AI566">
        <v>0</v>
      </c>
      <c r="AJ566">
        <v>0</v>
      </c>
      <c r="AK566">
        <v>0</v>
      </c>
      <c r="AL566">
        <v>0</v>
      </c>
      <c r="AM566">
        <v>0</v>
      </c>
      <c r="AN566">
        <v>0</v>
      </c>
      <c r="AO566">
        <v>0</v>
      </c>
      <c r="AP566">
        <v>0</v>
      </c>
      <c r="AQ566">
        <v>0</v>
      </c>
      <c r="AR566">
        <v>0</v>
      </c>
      <c r="AS566">
        <v>0</v>
      </c>
      <c r="AT566">
        <v>0</v>
      </c>
      <c r="AU566">
        <v>0</v>
      </c>
      <c r="AV566">
        <v>0</v>
      </c>
      <c r="AW566">
        <v>0</v>
      </c>
      <c r="AX566">
        <v>0</v>
      </c>
      <c r="AY566">
        <v>0</v>
      </c>
      <c r="AZ566">
        <v>0</v>
      </c>
      <c r="BA566">
        <v>0</v>
      </c>
      <c r="BB566">
        <v>0</v>
      </c>
      <c r="BC566">
        <v>0</v>
      </c>
      <c r="BD566">
        <v>0</v>
      </c>
      <c r="BE566">
        <v>0</v>
      </c>
      <c r="BF566">
        <v>0</v>
      </c>
      <c r="BG566">
        <v>0</v>
      </c>
      <c r="BH566">
        <v>0</v>
      </c>
      <c r="BI566">
        <v>0</v>
      </c>
      <c r="BJ566">
        <v>0</v>
      </c>
      <c r="BK566">
        <v>0</v>
      </c>
      <c r="BL566">
        <v>0</v>
      </c>
      <c r="BM566">
        <v>0</v>
      </c>
      <c r="BN566">
        <v>0</v>
      </c>
      <c r="BO566">
        <v>0</v>
      </c>
      <c r="BP566">
        <v>0</v>
      </c>
      <c r="BQ566">
        <v>0</v>
      </c>
      <c r="BR566">
        <v>0</v>
      </c>
      <c r="BS566">
        <v>0</v>
      </c>
    </row>
    <row r="567" spans="1:71" x14ac:dyDescent="0.3">
      <c r="A567" t="s">
        <v>2546</v>
      </c>
      <c r="B567" t="s">
        <v>2547</v>
      </c>
      <c r="C567" t="s">
        <v>29</v>
      </c>
      <c r="D567" t="s">
        <v>29</v>
      </c>
      <c r="E567" t="s">
        <v>2548</v>
      </c>
      <c r="F567" t="s">
        <v>2549</v>
      </c>
      <c r="G567">
        <v>2019</v>
      </c>
      <c r="H567">
        <v>2019</v>
      </c>
      <c r="I567">
        <v>57</v>
      </c>
      <c r="J567" t="s">
        <v>29</v>
      </c>
      <c r="K567" t="s">
        <v>29</v>
      </c>
      <c r="L567" t="s">
        <v>29</v>
      </c>
      <c r="M567" t="s">
        <v>29</v>
      </c>
      <c r="N567">
        <v>177</v>
      </c>
      <c r="O567">
        <v>184</v>
      </c>
      <c r="P567" t="s">
        <v>29</v>
      </c>
      <c r="Q567" t="s">
        <v>2550</v>
      </c>
      <c r="R567" t="s">
        <v>2551</v>
      </c>
      <c r="S567" t="s">
        <v>2552</v>
      </c>
      <c r="T567">
        <v>0</v>
      </c>
      <c r="U567">
        <v>0</v>
      </c>
      <c r="V567">
        <v>0</v>
      </c>
      <c r="W567">
        <v>0</v>
      </c>
      <c r="X567">
        <v>0</v>
      </c>
      <c r="Y567">
        <v>0</v>
      </c>
      <c r="Z567">
        <v>0</v>
      </c>
      <c r="AA567">
        <v>0</v>
      </c>
      <c r="AB567">
        <v>0</v>
      </c>
      <c r="AC567">
        <v>0</v>
      </c>
      <c r="AD567">
        <v>0</v>
      </c>
      <c r="AE567">
        <v>0</v>
      </c>
      <c r="AF567">
        <v>0</v>
      </c>
      <c r="AG567">
        <v>0</v>
      </c>
      <c r="AH567">
        <v>0</v>
      </c>
      <c r="AI567">
        <v>0</v>
      </c>
      <c r="AJ567">
        <v>0</v>
      </c>
      <c r="AK567">
        <v>0</v>
      </c>
      <c r="AL567">
        <v>0</v>
      </c>
      <c r="AM567">
        <v>0</v>
      </c>
      <c r="AN567">
        <v>0</v>
      </c>
      <c r="AO567">
        <v>0</v>
      </c>
      <c r="AP567">
        <v>0</v>
      </c>
      <c r="AQ567">
        <v>0</v>
      </c>
      <c r="AR567">
        <v>0</v>
      </c>
      <c r="AS567">
        <v>0</v>
      </c>
      <c r="AT567">
        <v>0</v>
      </c>
      <c r="AU567">
        <v>0</v>
      </c>
      <c r="AV567">
        <v>0</v>
      </c>
      <c r="AW567">
        <v>0</v>
      </c>
      <c r="AX567">
        <v>0</v>
      </c>
      <c r="AY567">
        <v>0</v>
      </c>
      <c r="AZ567">
        <v>0</v>
      </c>
      <c r="BA567">
        <v>0</v>
      </c>
      <c r="BB567">
        <v>0</v>
      </c>
      <c r="BC567">
        <v>0</v>
      </c>
      <c r="BD567">
        <v>0</v>
      </c>
      <c r="BE567">
        <v>0</v>
      </c>
      <c r="BF567">
        <v>0</v>
      </c>
      <c r="BG567">
        <v>0</v>
      </c>
      <c r="BH567">
        <v>0</v>
      </c>
      <c r="BI567">
        <v>0</v>
      </c>
      <c r="BJ567">
        <v>0</v>
      </c>
      <c r="BK567">
        <v>0</v>
      </c>
      <c r="BL567">
        <v>0</v>
      </c>
      <c r="BM567">
        <v>0</v>
      </c>
      <c r="BN567">
        <v>0</v>
      </c>
      <c r="BO567">
        <v>0</v>
      </c>
      <c r="BP567">
        <v>0</v>
      </c>
      <c r="BQ567">
        <v>0</v>
      </c>
      <c r="BR567">
        <v>0</v>
      </c>
      <c r="BS567">
        <v>0</v>
      </c>
    </row>
    <row r="568" spans="1:71" x14ac:dyDescent="0.3">
      <c r="A568" t="s">
        <v>2553</v>
      </c>
      <c r="B568" t="s">
        <v>2554</v>
      </c>
      <c r="C568" t="s">
        <v>29</v>
      </c>
      <c r="D568" t="s">
        <v>29</v>
      </c>
      <c r="E568" t="s">
        <v>2555</v>
      </c>
      <c r="F568" t="s">
        <v>2556</v>
      </c>
      <c r="G568">
        <v>2019</v>
      </c>
      <c r="H568">
        <v>2019</v>
      </c>
      <c r="I568" t="s">
        <v>29</v>
      </c>
      <c r="J568" t="s">
        <v>29</v>
      </c>
      <c r="K568" t="s">
        <v>29</v>
      </c>
      <c r="L568" t="s">
        <v>29</v>
      </c>
      <c r="M568" t="s">
        <v>29</v>
      </c>
      <c r="N568">
        <v>489</v>
      </c>
      <c r="O568">
        <v>494</v>
      </c>
      <c r="P568" t="s">
        <v>29</v>
      </c>
      <c r="Q568" t="s">
        <v>2557</v>
      </c>
      <c r="R568" t="s">
        <v>2544</v>
      </c>
      <c r="S568" t="s">
        <v>2545</v>
      </c>
      <c r="T568">
        <v>0</v>
      </c>
      <c r="U568">
        <v>0</v>
      </c>
      <c r="V568">
        <v>0</v>
      </c>
      <c r="W568">
        <v>0</v>
      </c>
      <c r="X568">
        <v>0</v>
      </c>
      <c r="Y568">
        <v>0</v>
      </c>
      <c r="Z568">
        <v>0</v>
      </c>
      <c r="AA568">
        <v>0</v>
      </c>
      <c r="AB568">
        <v>0</v>
      </c>
      <c r="AC568">
        <v>0</v>
      </c>
      <c r="AD568">
        <v>0</v>
      </c>
      <c r="AE568">
        <v>0</v>
      </c>
      <c r="AF568">
        <v>0</v>
      </c>
      <c r="AG568">
        <v>0</v>
      </c>
      <c r="AH568">
        <v>0</v>
      </c>
      <c r="AI568">
        <v>0</v>
      </c>
      <c r="AJ568">
        <v>0</v>
      </c>
      <c r="AK568">
        <v>0</v>
      </c>
      <c r="AL568">
        <v>0</v>
      </c>
      <c r="AM568">
        <v>0</v>
      </c>
      <c r="AN568">
        <v>0</v>
      </c>
      <c r="AO568">
        <v>0</v>
      </c>
      <c r="AP568">
        <v>0</v>
      </c>
      <c r="AQ568">
        <v>0</v>
      </c>
      <c r="AR568">
        <v>0</v>
      </c>
      <c r="AS568">
        <v>0</v>
      </c>
      <c r="AT568">
        <v>0</v>
      </c>
      <c r="AU568">
        <v>0</v>
      </c>
      <c r="AV568">
        <v>0</v>
      </c>
      <c r="AW568">
        <v>0</v>
      </c>
      <c r="AX568">
        <v>0</v>
      </c>
      <c r="AY568">
        <v>0</v>
      </c>
      <c r="AZ568">
        <v>0</v>
      </c>
      <c r="BA568">
        <v>0</v>
      </c>
      <c r="BB568">
        <v>0</v>
      </c>
      <c r="BC568">
        <v>0</v>
      </c>
      <c r="BD568">
        <v>0</v>
      </c>
      <c r="BE568">
        <v>0</v>
      </c>
      <c r="BF568">
        <v>0</v>
      </c>
      <c r="BG568">
        <v>0</v>
      </c>
      <c r="BH568">
        <v>0</v>
      </c>
      <c r="BI568">
        <v>0</v>
      </c>
      <c r="BJ568">
        <v>0</v>
      </c>
      <c r="BK568">
        <v>0</v>
      </c>
      <c r="BL568">
        <v>0</v>
      </c>
      <c r="BM568">
        <v>0</v>
      </c>
      <c r="BN568">
        <v>0</v>
      </c>
      <c r="BO568">
        <v>0</v>
      </c>
      <c r="BP568">
        <v>0</v>
      </c>
      <c r="BQ568">
        <v>0</v>
      </c>
      <c r="BR568">
        <v>0</v>
      </c>
      <c r="BS568">
        <v>0</v>
      </c>
    </row>
    <row r="569" spans="1:71" x14ac:dyDescent="0.3">
      <c r="A569" t="s">
        <v>2558</v>
      </c>
      <c r="B569" t="s">
        <v>2559</v>
      </c>
      <c r="C569" t="s">
        <v>29</v>
      </c>
      <c r="D569" t="s">
        <v>29</v>
      </c>
      <c r="E569" t="s">
        <v>29</v>
      </c>
      <c r="F569" t="s">
        <v>2560</v>
      </c>
      <c r="G569">
        <v>2019</v>
      </c>
      <c r="H569">
        <v>2019</v>
      </c>
      <c r="I569" t="s">
        <v>29</v>
      </c>
      <c r="J569" t="s">
        <v>29</v>
      </c>
      <c r="K569" t="s">
        <v>29</v>
      </c>
      <c r="L569" t="s">
        <v>29</v>
      </c>
      <c r="M569" t="s">
        <v>29</v>
      </c>
      <c r="N569" t="s">
        <v>29</v>
      </c>
      <c r="O569" t="s">
        <v>29</v>
      </c>
      <c r="P569" t="s">
        <v>2561</v>
      </c>
      <c r="Q569" t="s">
        <v>29</v>
      </c>
      <c r="R569" t="s">
        <v>2562</v>
      </c>
      <c r="S569" t="s">
        <v>2563</v>
      </c>
      <c r="T569">
        <v>0</v>
      </c>
      <c r="U569">
        <v>0</v>
      </c>
      <c r="V569">
        <v>0</v>
      </c>
      <c r="W569">
        <v>0</v>
      </c>
      <c r="X569">
        <v>0</v>
      </c>
      <c r="Y569">
        <v>0</v>
      </c>
      <c r="Z569">
        <v>0</v>
      </c>
      <c r="AA569">
        <v>0</v>
      </c>
      <c r="AB569">
        <v>0</v>
      </c>
      <c r="AC569">
        <v>0</v>
      </c>
      <c r="AD569">
        <v>0</v>
      </c>
      <c r="AE569">
        <v>0</v>
      </c>
      <c r="AF569">
        <v>0</v>
      </c>
      <c r="AG569">
        <v>0</v>
      </c>
      <c r="AH569">
        <v>0</v>
      </c>
      <c r="AI569">
        <v>0</v>
      </c>
      <c r="AJ569">
        <v>0</v>
      </c>
      <c r="AK569">
        <v>0</v>
      </c>
      <c r="AL569">
        <v>0</v>
      </c>
      <c r="AM569">
        <v>0</v>
      </c>
      <c r="AN569">
        <v>0</v>
      </c>
      <c r="AO569">
        <v>0</v>
      </c>
      <c r="AP569">
        <v>0</v>
      </c>
      <c r="AQ569">
        <v>0</v>
      </c>
      <c r="AR569">
        <v>0</v>
      </c>
      <c r="AS569">
        <v>0</v>
      </c>
      <c r="AT569">
        <v>0</v>
      </c>
      <c r="AU569">
        <v>0</v>
      </c>
      <c r="AV569">
        <v>0</v>
      </c>
      <c r="AW569">
        <v>0</v>
      </c>
      <c r="AX569">
        <v>0</v>
      </c>
      <c r="AY569">
        <v>0</v>
      </c>
      <c r="AZ569">
        <v>0</v>
      </c>
      <c r="BA569">
        <v>0</v>
      </c>
      <c r="BB569">
        <v>0</v>
      </c>
      <c r="BC569">
        <v>0</v>
      </c>
      <c r="BD569">
        <v>0</v>
      </c>
      <c r="BE569">
        <v>0</v>
      </c>
      <c r="BF569">
        <v>0</v>
      </c>
      <c r="BG569">
        <v>0</v>
      </c>
      <c r="BH569">
        <v>0</v>
      </c>
      <c r="BI569">
        <v>0</v>
      </c>
      <c r="BJ569">
        <v>0</v>
      </c>
      <c r="BK569">
        <v>0</v>
      </c>
      <c r="BL569">
        <v>0</v>
      </c>
      <c r="BM569">
        <v>0</v>
      </c>
      <c r="BN569">
        <v>0</v>
      </c>
      <c r="BO569">
        <v>0</v>
      </c>
      <c r="BP569">
        <v>0</v>
      </c>
      <c r="BQ569">
        <v>0</v>
      </c>
      <c r="BR569">
        <v>0</v>
      </c>
      <c r="BS569">
        <v>0</v>
      </c>
    </row>
    <row r="570" spans="1:71" x14ac:dyDescent="0.3">
      <c r="A570" t="s">
        <v>2564</v>
      </c>
      <c r="B570" t="s">
        <v>2565</v>
      </c>
      <c r="C570" t="s">
        <v>29</v>
      </c>
      <c r="D570" t="s">
        <v>29</v>
      </c>
      <c r="E570" t="s">
        <v>1228</v>
      </c>
      <c r="F570" t="s">
        <v>1729</v>
      </c>
      <c r="G570">
        <v>2019</v>
      </c>
      <c r="H570">
        <v>2019</v>
      </c>
      <c r="I570" t="s">
        <v>29</v>
      </c>
      <c r="J570" t="s">
        <v>29</v>
      </c>
      <c r="K570" t="s">
        <v>29</v>
      </c>
      <c r="L570" t="s">
        <v>29</v>
      </c>
      <c r="M570" t="s">
        <v>29</v>
      </c>
      <c r="N570">
        <v>10794</v>
      </c>
      <c r="O570">
        <v>10799</v>
      </c>
      <c r="P570" t="s">
        <v>29</v>
      </c>
      <c r="Q570" t="s">
        <v>29</v>
      </c>
      <c r="R570" t="s">
        <v>1399</v>
      </c>
      <c r="S570" t="s">
        <v>1400</v>
      </c>
      <c r="T570">
        <v>0</v>
      </c>
      <c r="U570">
        <v>0</v>
      </c>
      <c r="V570">
        <v>0</v>
      </c>
      <c r="W570">
        <v>0</v>
      </c>
      <c r="X570">
        <v>0</v>
      </c>
      <c r="Y570">
        <v>0</v>
      </c>
      <c r="Z570">
        <v>0</v>
      </c>
      <c r="AA570">
        <v>0</v>
      </c>
      <c r="AB570">
        <v>0</v>
      </c>
      <c r="AC570">
        <v>0</v>
      </c>
      <c r="AD570">
        <v>0</v>
      </c>
      <c r="AE570">
        <v>0</v>
      </c>
      <c r="AF570">
        <v>0</v>
      </c>
      <c r="AG570">
        <v>0</v>
      </c>
      <c r="AH570">
        <v>0</v>
      </c>
      <c r="AI570">
        <v>0</v>
      </c>
      <c r="AJ570">
        <v>0</v>
      </c>
      <c r="AK570">
        <v>0</v>
      </c>
      <c r="AL570">
        <v>0</v>
      </c>
      <c r="AM570">
        <v>0</v>
      </c>
      <c r="AN570">
        <v>0</v>
      </c>
      <c r="AO570">
        <v>0</v>
      </c>
      <c r="AP570">
        <v>0</v>
      </c>
      <c r="AQ570">
        <v>0</v>
      </c>
      <c r="AR570">
        <v>0</v>
      </c>
      <c r="AS570">
        <v>0</v>
      </c>
      <c r="AT570">
        <v>0</v>
      </c>
      <c r="AU570">
        <v>0</v>
      </c>
      <c r="AV570">
        <v>0</v>
      </c>
      <c r="AW570">
        <v>0</v>
      </c>
      <c r="AX570">
        <v>0</v>
      </c>
      <c r="AY570">
        <v>0</v>
      </c>
      <c r="AZ570">
        <v>0</v>
      </c>
      <c r="BA570">
        <v>0</v>
      </c>
      <c r="BB570">
        <v>0</v>
      </c>
      <c r="BC570">
        <v>0</v>
      </c>
      <c r="BD570">
        <v>0</v>
      </c>
      <c r="BE570">
        <v>0</v>
      </c>
      <c r="BF570">
        <v>0</v>
      </c>
      <c r="BG570">
        <v>0</v>
      </c>
      <c r="BH570">
        <v>0</v>
      </c>
      <c r="BI570">
        <v>0</v>
      </c>
      <c r="BJ570">
        <v>0</v>
      </c>
      <c r="BK570">
        <v>0</v>
      </c>
      <c r="BL570">
        <v>0</v>
      </c>
      <c r="BM570">
        <v>0</v>
      </c>
      <c r="BN570">
        <v>0</v>
      </c>
      <c r="BO570">
        <v>0</v>
      </c>
      <c r="BP570">
        <v>0</v>
      </c>
      <c r="BQ570">
        <v>0</v>
      </c>
      <c r="BR570">
        <v>0</v>
      </c>
      <c r="BS570">
        <v>0</v>
      </c>
    </row>
    <row r="571" spans="1:71" x14ac:dyDescent="0.3">
      <c r="A571" t="s">
        <v>2566</v>
      </c>
      <c r="B571" t="s">
        <v>2567</v>
      </c>
      <c r="C571" t="s">
        <v>29</v>
      </c>
      <c r="D571" t="s">
        <v>29</v>
      </c>
      <c r="E571" t="s">
        <v>1228</v>
      </c>
      <c r="F571" t="s">
        <v>2568</v>
      </c>
      <c r="G571">
        <v>2019</v>
      </c>
      <c r="H571">
        <v>2019</v>
      </c>
      <c r="I571" t="s">
        <v>29</v>
      </c>
      <c r="J571" t="s">
        <v>29</v>
      </c>
      <c r="K571" t="s">
        <v>29</v>
      </c>
      <c r="L571" t="s">
        <v>29</v>
      </c>
      <c r="M571" t="s">
        <v>29</v>
      </c>
      <c r="N571">
        <v>2685</v>
      </c>
      <c r="O571">
        <v>2690</v>
      </c>
      <c r="P571" t="s">
        <v>29</v>
      </c>
      <c r="Q571" t="s">
        <v>29</v>
      </c>
      <c r="R571" t="s">
        <v>2569</v>
      </c>
      <c r="S571" t="s">
        <v>2570</v>
      </c>
      <c r="T571">
        <v>0</v>
      </c>
      <c r="U571">
        <v>0</v>
      </c>
      <c r="V571">
        <v>0</v>
      </c>
      <c r="W571">
        <v>0</v>
      </c>
      <c r="X571">
        <v>0</v>
      </c>
      <c r="Y571">
        <v>0</v>
      </c>
      <c r="Z571">
        <v>0</v>
      </c>
      <c r="AA571">
        <v>0</v>
      </c>
      <c r="AB571">
        <v>0</v>
      </c>
      <c r="AC571">
        <v>0</v>
      </c>
      <c r="AD571">
        <v>0</v>
      </c>
      <c r="AE571">
        <v>0</v>
      </c>
      <c r="AF571">
        <v>0</v>
      </c>
      <c r="AG571">
        <v>0</v>
      </c>
      <c r="AH571">
        <v>0</v>
      </c>
      <c r="AI571">
        <v>0</v>
      </c>
      <c r="AJ571">
        <v>0</v>
      </c>
      <c r="AK571">
        <v>0</v>
      </c>
      <c r="AL571">
        <v>0</v>
      </c>
      <c r="AM571">
        <v>0</v>
      </c>
      <c r="AN571">
        <v>0</v>
      </c>
      <c r="AO571">
        <v>0</v>
      </c>
      <c r="AP571">
        <v>0</v>
      </c>
      <c r="AQ571">
        <v>0</v>
      </c>
      <c r="AR571">
        <v>0</v>
      </c>
      <c r="AS571">
        <v>0</v>
      </c>
      <c r="AT571">
        <v>0</v>
      </c>
      <c r="AU571">
        <v>0</v>
      </c>
      <c r="AV571">
        <v>0</v>
      </c>
      <c r="AW571">
        <v>0</v>
      </c>
      <c r="AX571">
        <v>0</v>
      </c>
      <c r="AY571">
        <v>0</v>
      </c>
      <c r="AZ571">
        <v>0</v>
      </c>
      <c r="BA571">
        <v>0</v>
      </c>
      <c r="BB571">
        <v>0</v>
      </c>
      <c r="BC571">
        <v>0</v>
      </c>
      <c r="BD571">
        <v>0</v>
      </c>
      <c r="BE571">
        <v>0</v>
      </c>
      <c r="BF571">
        <v>0</v>
      </c>
      <c r="BG571">
        <v>0</v>
      </c>
      <c r="BH571">
        <v>0</v>
      </c>
      <c r="BI571">
        <v>0</v>
      </c>
      <c r="BJ571">
        <v>0</v>
      </c>
      <c r="BK571">
        <v>0</v>
      </c>
      <c r="BL571">
        <v>0</v>
      </c>
      <c r="BM571">
        <v>0</v>
      </c>
      <c r="BN571">
        <v>0</v>
      </c>
      <c r="BO571">
        <v>0</v>
      </c>
      <c r="BP571">
        <v>0</v>
      </c>
      <c r="BQ571">
        <v>0</v>
      </c>
      <c r="BR571">
        <v>0</v>
      </c>
      <c r="BS571">
        <v>0</v>
      </c>
    </row>
    <row r="572" spans="1:71" x14ac:dyDescent="0.3">
      <c r="A572" t="s">
        <v>2571</v>
      </c>
      <c r="B572" t="s">
        <v>2572</v>
      </c>
      <c r="C572" t="s">
        <v>29</v>
      </c>
      <c r="D572" t="s">
        <v>29</v>
      </c>
      <c r="E572" t="s">
        <v>29</v>
      </c>
      <c r="F572" t="s">
        <v>2573</v>
      </c>
      <c r="G572">
        <v>2019</v>
      </c>
      <c r="H572">
        <v>2019</v>
      </c>
      <c r="I572" t="s">
        <v>29</v>
      </c>
      <c r="J572" t="s">
        <v>29</v>
      </c>
      <c r="K572" t="s">
        <v>29</v>
      </c>
      <c r="L572" t="s">
        <v>29</v>
      </c>
      <c r="M572" t="s">
        <v>29</v>
      </c>
      <c r="N572" t="s">
        <v>29</v>
      </c>
      <c r="O572" t="s">
        <v>29</v>
      </c>
      <c r="P572" t="s">
        <v>29</v>
      </c>
      <c r="Q572" t="s">
        <v>2574</v>
      </c>
      <c r="R572" t="s">
        <v>2575</v>
      </c>
      <c r="S572" t="s">
        <v>2576</v>
      </c>
      <c r="T572">
        <v>0</v>
      </c>
      <c r="U572">
        <v>0</v>
      </c>
      <c r="V572">
        <v>0</v>
      </c>
      <c r="W572">
        <v>0</v>
      </c>
      <c r="X572">
        <v>0</v>
      </c>
      <c r="Y572">
        <v>0</v>
      </c>
      <c r="Z572">
        <v>0</v>
      </c>
      <c r="AA572">
        <v>0</v>
      </c>
      <c r="AB572">
        <v>0</v>
      </c>
      <c r="AC572">
        <v>0</v>
      </c>
      <c r="AD572">
        <v>0</v>
      </c>
      <c r="AE572">
        <v>0</v>
      </c>
      <c r="AF572">
        <v>0</v>
      </c>
      <c r="AG572">
        <v>0</v>
      </c>
      <c r="AH572">
        <v>0</v>
      </c>
      <c r="AI572">
        <v>0</v>
      </c>
      <c r="AJ572">
        <v>0</v>
      </c>
      <c r="AK572">
        <v>0</v>
      </c>
      <c r="AL572">
        <v>0</v>
      </c>
      <c r="AM572">
        <v>0</v>
      </c>
      <c r="AN572">
        <v>0</v>
      </c>
      <c r="AO572">
        <v>0</v>
      </c>
      <c r="AP572">
        <v>0</v>
      </c>
      <c r="AQ572">
        <v>0</v>
      </c>
      <c r="AR572">
        <v>0</v>
      </c>
      <c r="AS572">
        <v>0</v>
      </c>
      <c r="AT572">
        <v>0</v>
      </c>
      <c r="AU572">
        <v>0</v>
      </c>
      <c r="AV572">
        <v>0</v>
      </c>
      <c r="AW572">
        <v>0</v>
      </c>
      <c r="AX572">
        <v>0</v>
      </c>
      <c r="AY572">
        <v>0</v>
      </c>
      <c r="AZ572">
        <v>0</v>
      </c>
      <c r="BA572">
        <v>0</v>
      </c>
      <c r="BB572">
        <v>0</v>
      </c>
      <c r="BC572">
        <v>0</v>
      </c>
      <c r="BD572">
        <v>0</v>
      </c>
      <c r="BE572">
        <v>0</v>
      </c>
      <c r="BF572">
        <v>0</v>
      </c>
      <c r="BG572">
        <v>0</v>
      </c>
      <c r="BH572">
        <v>0</v>
      </c>
      <c r="BI572">
        <v>0</v>
      </c>
      <c r="BJ572">
        <v>0</v>
      </c>
      <c r="BK572">
        <v>0</v>
      </c>
      <c r="BL572">
        <v>0</v>
      </c>
      <c r="BM572">
        <v>0</v>
      </c>
      <c r="BN572">
        <v>0</v>
      </c>
      <c r="BO572">
        <v>0</v>
      </c>
      <c r="BP572">
        <v>0</v>
      </c>
      <c r="BQ572">
        <v>0</v>
      </c>
      <c r="BR572">
        <v>0</v>
      </c>
      <c r="BS572">
        <v>0</v>
      </c>
    </row>
    <row r="573" spans="1:71" x14ac:dyDescent="0.3">
      <c r="A573" t="s">
        <v>2577</v>
      </c>
      <c r="B573" t="s">
        <v>2578</v>
      </c>
      <c r="C573" t="s">
        <v>29</v>
      </c>
      <c r="D573" t="s">
        <v>29</v>
      </c>
      <c r="E573" t="s">
        <v>1228</v>
      </c>
      <c r="F573" t="s">
        <v>2568</v>
      </c>
      <c r="G573">
        <v>2019</v>
      </c>
      <c r="H573">
        <v>2019</v>
      </c>
      <c r="I573" t="s">
        <v>29</v>
      </c>
      <c r="J573" t="s">
        <v>29</v>
      </c>
      <c r="K573" t="s">
        <v>29</v>
      </c>
      <c r="L573" t="s">
        <v>29</v>
      </c>
      <c r="M573" t="s">
        <v>29</v>
      </c>
      <c r="N573">
        <v>9116</v>
      </c>
      <c r="O573">
        <v>9122</v>
      </c>
      <c r="P573" t="s">
        <v>29</v>
      </c>
      <c r="Q573" t="s">
        <v>29</v>
      </c>
      <c r="R573" t="s">
        <v>2569</v>
      </c>
      <c r="S573" t="s">
        <v>2570</v>
      </c>
      <c r="T573">
        <v>0</v>
      </c>
      <c r="U573">
        <v>0</v>
      </c>
      <c r="V573">
        <v>0</v>
      </c>
      <c r="W573">
        <v>0</v>
      </c>
      <c r="X573">
        <v>0</v>
      </c>
      <c r="Y573">
        <v>0</v>
      </c>
      <c r="Z573">
        <v>0</v>
      </c>
      <c r="AA573">
        <v>0</v>
      </c>
      <c r="AB573">
        <v>0</v>
      </c>
      <c r="AC573">
        <v>0</v>
      </c>
      <c r="AD573">
        <v>0</v>
      </c>
      <c r="AE573">
        <v>0</v>
      </c>
      <c r="AF573">
        <v>0</v>
      </c>
      <c r="AG573">
        <v>0</v>
      </c>
      <c r="AH573">
        <v>0</v>
      </c>
      <c r="AI573">
        <v>0</v>
      </c>
      <c r="AJ573">
        <v>0</v>
      </c>
      <c r="AK573">
        <v>0</v>
      </c>
      <c r="AL573">
        <v>0</v>
      </c>
      <c r="AM573">
        <v>0</v>
      </c>
      <c r="AN573">
        <v>0</v>
      </c>
      <c r="AO573">
        <v>0</v>
      </c>
      <c r="AP573">
        <v>0</v>
      </c>
      <c r="AQ573">
        <v>0</v>
      </c>
      <c r="AR573">
        <v>0</v>
      </c>
      <c r="AS573">
        <v>0</v>
      </c>
      <c r="AT573">
        <v>0</v>
      </c>
      <c r="AU573">
        <v>0</v>
      </c>
      <c r="AV573">
        <v>0</v>
      </c>
      <c r="AW573">
        <v>0</v>
      </c>
      <c r="AX573">
        <v>0</v>
      </c>
      <c r="AY573">
        <v>0</v>
      </c>
      <c r="AZ573">
        <v>0</v>
      </c>
      <c r="BA573">
        <v>0</v>
      </c>
      <c r="BB573">
        <v>0</v>
      </c>
      <c r="BC573">
        <v>0</v>
      </c>
      <c r="BD573">
        <v>0</v>
      </c>
      <c r="BE573">
        <v>0</v>
      </c>
      <c r="BF573">
        <v>0</v>
      </c>
      <c r="BG573">
        <v>0</v>
      </c>
      <c r="BH573">
        <v>0</v>
      </c>
      <c r="BI573">
        <v>0</v>
      </c>
      <c r="BJ573">
        <v>0</v>
      </c>
      <c r="BK573">
        <v>0</v>
      </c>
      <c r="BL573">
        <v>0</v>
      </c>
      <c r="BM573">
        <v>0</v>
      </c>
      <c r="BN573">
        <v>0</v>
      </c>
      <c r="BO573">
        <v>0</v>
      </c>
      <c r="BP573">
        <v>0</v>
      </c>
      <c r="BQ573">
        <v>0</v>
      </c>
      <c r="BR573">
        <v>0</v>
      </c>
      <c r="BS573">
        <v>0</v>
      </c>
    </row>
    <row r="574" spans="1:71" x14ac:dyDescent="0.3">
      <c r="A574" t="s">
        <v>2579</v>
      </c>
      <c r="B574" t="s">
        <v>2580</v>
      </c>
      <c r="C574" t="s">
        <v>29</v>
      </c>
      <c r="D574" t="s">
        <v>29</v>
      </c>
      <c r="E574" t="s">
        <v>1228</v>
      </c>
      <c r="F574" t="s">
        <v>1393</v>
      </c>
      <c r="G574">
        <v>2019</v>
      </c>
      <c r="H574">
        <v>2019</v>
      </c>
      <c r="I574" t="s">
        <v>29</v>
      </c>
      <c r="J574" t="s">
        <v>29</v>
      </c>
      <c r="K574" t="s">
        <v>29</v>
      </c>
      <c r="L574" t="s">
        <v>29</v>
      </c>
      <c r="M574" t="s">
        <v>29</v>
      </c>
      <c r="N574">
        <v>196</v>
      </c>
      <c r="O574">
        <v>204</v>
      </c>
      <c r="P574" t="s">
        <v>29</v>
      </c>
      <c r="Q574" t="s">
        <v>29</v>
      </c>
      <c r="R574" t="s">
        <v>1394</v>
      </c>
      <c r="S574" t="s">
        <v>1395</v>
      </c>
      <c r="T574">
        <v>0</v>
      </c>
      <c r="U574">
        <v>0</v>
      </c>
      <c r="V574">
        <v>0</v>
      </c>
      <c r="W574">
        <v>0</v>
      </c>
      <c r="X574">
        <v>0</v>
      </c>
      <c r="Y574">
        <v>0</v>
      </c>
      <c r="Z574">
        <v>0</v>
      </c>
      <c r="AA574">
        <v>0</v>
      </c>
      <c r="AB574">
        <v>0</v>
      </c>
      <c r="AC574">
        <v>0</v>
      </c>
      <c r="AD574">
        <v>0</v>
      </c>
      <c r="AE574">
        <v>0</v>
      </c>
      <c r="AF574">
        <v>0</v>
      </c>
      <c r="AG574">
        <v>0</v>
      </c>
      <c r="AH574">
        <v>0</v>
      </c>
      <c r="AI574">
        <v>0</v>
      </c>
      <c r="AJ574">
        <v>0</v>
      </c>
      <c r="AK574">
        <v>0</v>
      </c>
      <c r="AL574">
        <v>0</v>
      </c>
      <c r="AM574">
        <v>0</v>
      </c>
      <c r="AN574">
        <v>0</v>
      </c>
      <c r="AO574">
        <v>0</v>
      </c>
      <c r="AP574">
        <v>0</v>
      </c>
      <c r="AQ574">
        <v>0</v>
      </c>
      <c r="AR574">
        <v>0</v>
      </c>
      <c r="AS574">
        <v>0</v>
      </c>
      <c r="AT574">
        <v>0</v>
      </c>
      <c r="AU574">
        <v>0</v>
      </c>
      <c r="AV574">
        <v>0</v>
      </c>
      <c r="AW574">
        <v>0</v>
      </c>
      <c r="AX574">
        <v>0</v>
      </c>
      <c r="AY574">
        <v>0</v>
      </c>
      <c r="AZ574">
        <v>0</v>
      </c>
      <c r="BA574">
        <v>0</v>
      </c>
      <c r="BB574">
        <v>0</v>
      </c>
      <c r="BC574">
        <v>0</v>
      </c>
      <c r="BD574">
        <v>0</v>
      </c>
      <c r="BE574">
        <v>0</v>
      </c>
      <c r="BF574">
        <v>0</v>
      </c>
      <c r="BG574">
        <v>0</v>
      </c>
      <c r="BH574">
        <v>0</v>
      </c>
      <c r="BI574">
        <v>0</v>
      </c>
      <c r="BJ574">
        <v>0</v>
      </c>
      <c r="BK574">
        <v>0</v>
      </c>
      <c r="BL574">
        <v>0</v>
      </c>
      <c r="BM574">
        <v>0</v>
      </c>
      <c r="BN574">
        <v>0</v>
      </c>
      <c r="BO574">
        <v>0</v>
      </c>
      <c r="BP574">
        <v>0</v>
      </c>
      <c r="BQ574">
        <v>0</v>
      </c>
      <c r="BR574">
        <v>0</v>
      </c>
      <c r="BS574">
        <v>0</v>
      </c>
    </row>
    <row r="575" spans="1:71" x14ac:dyDescent="0.3">
      <c r="A575" t="s">
        <v>2581</v>
      </c>
      <c r="B575" t="s">
        <v>2582</v>
      </c>
      <c r="C575" t="s">
        <v>29</v>
      </c>
      <c r="D575" t="s">
        <v>29</v>
      </c>
      <c r="E575" t="s">
        <v>1228</v>
      </c>
      <c r="F575" t="s">
        <v>1729</v>
      </c>
      <c r="G575">
        <v>2019</v>
      </c>
      <c r="H575">
        <v>2019</v>
      </c>
      <c r="I575" t="s">
        <v>29</v>
      </c>
      <c r="J575" t="s">
        <v>29</v>
      </c>
      <c r="K575" t="s">
        <v>29</v>
      </c>
      <c r="L575" t="s">
        <v>29</v>
      </c>
      <c r="M575" t="s">
        <v>29</v>
      </c>
      <c r="N575">
        <v>7592</v>
      </c>
      <c r="O575">
        <v>7597</v>
      </c>
      <c r="P575" t="s">
        <v>29</v>
      </c>
      <c r="Q575" t="s">
        <v>29</v>
      </c>
      <c r="R575" t="s">
        <v>1399</v>
      </c>
      <c r="S575" t="s">
        <v>1400</v>
      </c>
      <c r="T575">
        <v>0</v>
      </c>
      <c r="U575">
        <v>0</v>
      </c>
      <c r="V575">
        <v>0</v>
      </c>
      <c r="W575">
        <v>0</v>
      </c>
      <c r="X575">
        <v>0</v>
      </c>
      <c r="Y575">
        <v>0</v>
      </c>
      <c r="Z575">
        <v>0</v>
      </c>
      <c r="AA575">
        <v>0</v>
      </c>
      <c r="AB575">
        <v>0</v>
      </c>
      <c r="AC575">
        <v>0</v>
      </c>
      <c r="AD575">
        <v>0</v>
      </c>
      <c r="AE575">
        <v>0</v>
      </c>
      <c r="AF575">
        <v>0</v>
      </c>
      <c r="AG575">
        <v>0</v>
      </c>
      <c r="AH575">
        <v>0</v>
      </c>
      <c r="AI575">
        <v>0</v>
      </c>
      <c r="AJ575">
        <v>0</v>
      </c>
      <c r="AK575">
        <v>0</v>
      </c>
      <c r="AL575">
        <v>0</v>
      </c>
      <c r="AM575">
        <v>0</v>
      </c>
      <c r="AN575">
        <v>0</v>
      </c>
      <c r="AO575">
        <v>0</v>
      </c>
      <c r="AP575">
        <v>0</v>
      </c>
      <c r="AQ575">
        <v>0</v>
      </c>
      <c r="AR575">
        <v>0</v>
      </c>
      <c r="AS575">
        <v>0</v>
      </c>
      <c r="AT575">
        <v>0</v>
      </c>
      <c r="AU575">
        <v>0</v>
      </c>
      <c r="AV575">
        <v>0</v>
      </c>
      <c r="AW575">
        <v>0</v>
      </c>
      <c r="AX575">
        <v>0</v>
      </c>
      <c r="AY575">
        <v>0</v>
      </c>
      <c r="AZ575">
        <v>0</v>
      </c>
      <c r="BA575">
        <v>0</v>
      </c>
      <c r="BB575">
        <v>0</v>
      </c>
      <c r="BC575">
        <v>0</v>
      </c>
      <c r="BD575">
        <v>0</v>
      </c>
      <c r="BE575">
        <v>0</v>
      </c>
      <c r="BF575">
        <v>0</v>
      </c>
      <c r="BG575">
        <v>0</v>
      </c>
      <c r="BH575">
        <v>0</v>
      </c>
      <c r="BI575">
        <v>0</v>
      </c>
      <c r="BJ575">
        <v>0</v>
      </c>
      <c r="BK575">
        <v>0</v>
      </c>
      <c r="BL575">
        <v>0</v>
      </c>
      <c r="BM575">
        <v>0</v>
      </c>
      <c r="BN575">
        <v>0</v>
      </c>
      <c r="BO575">
        <v>0</v>
      </c>
      <c r="BP575">
        <v>0</v>
      </c>
      <c r="BQ575">
        <v>0</v>
      </c>
      <c r="BR575">
        <v>0</v>
      </c>
      <c r="BS575">
        <v>0</v>
      </c>
    </row>
    <row r="576" spans="1:71" x14ac:dyDescent="0.3">
      <c r="A576" t="s">
        <v>2583</v>
      </c>
      <c r="B576" t="s">
        <v>2584</v>
      </c>
      <c r="C576" t="s">
        <v>29</v>
      </c>
      <c r="D576" t="s">
        <v>29</v>
      </c>
      <c r="E576" t="s">
        <v>29</v>
      </c>
      <c r="F576" t="s">
        <v>2585</v>
      </c>
      <c r="G576">
        <v>2019</v>
      </c>
      <c r="H576">
        <v>2019</v>
      </c>
      <c r="I576" t="s">
        <v>29</v>
      </c>
      <c r="J576" t="s">
        <v>29</v>
      </c>
      <c r="K576" t="s">
        <v>29</v>
      </c>
      <c r="L576" t="s">
        <v>29</v>
      </c>
      <c r="M576" t="s">
        <v>29</v>
      </c>
      <c r="N576" t="s">
        <v>29</v>
      </c>
      <c r="O576" t="s">
        <v>29</v>
      </c>
      <c r="P576" t="s">
        <v>29</v>
      </c>
      <c r="Q576" t="s">
        <v>2586</v>
      </c>
      <c r="R576" t="s">
        <v>2587</v>
      </c>
      <c r="S576" t="s">
        <v>2588</v>
      </c>
      <c r="T576">
        <v>0</v>
      </c>
      <c r="U576">
        <v>0</v>
      </c>
      <c r="V576">
        <v>0</v>
      </c>
      <c r="W576">
        <v>0</v>
      </c>
      <c r="X576">
        <v>0</v>
      </c>
      <c r="Y576">
        <v>0</v>
      </c>
      <c r="Z576">
        <v>0</v>
      </c>
      <c r="AA576">
        <v>0</v>
      </c>
      <c r="AB576">
        <v>0</v>
      </c>
      <c r="AC576">
        <v>0</v>
      </c>
      <c r="AD576">
        <v>0</v>
      </c>
      <c r="AE576">
        <v>0</v>
      </c>
      <c r="AF576">
        <v>0</v>
      </c>
      <c r="AG576">
        <v>0</v>
      </c>
      <c r="AH576">
        <v>0</v>
      </c>
      <c r="AI576">
        <v>0</v>
      </c>
      <c r="AJ576">
        <v>0</v>
      </c>
      <c r="AK576">
        <v>0</v>
      </c>
      <c r="AL576">
        <v>0</v>
      </c>
      <c r="AM576">
        <v>0</v>
      </c>
      <c r="AN576">
        <v>0</v>
      </c>
      <c r="AO576">
        <v>0</v>
      </c>
      <c r="AP576">
        <v>0</v>
      </c>
      <c r="AQ576">
        <v>0</v>
      </c>
      <c r="AR576">
        <v>0</v>
      </c>
      <c r="AS576">
        <v>0</v>
      </c>
      <c r="AT576">
        <v>0</v>
      </c>
      <c r="AU576">
        <v>0</v>
      </c>
      <c r="AV576">
        <v>0</v>
      </c>
      <c r="AW576">
        <v>0</v>
      </c>
      <c r="AX576">
        <v>0</v>
      </c>
      <c r="AY576">
        <v>0</v>
      </c>
      <c r="AZ576">
        <v>0</v>
      </c>
      <c r="BA576">
        <v>0</v>
      </c>
      <c r="BB576">
        <v>0</v>
      </c>
      <c r="BC576">
        <v>0</v>
      </c>
      <c r="BD576">
        <v>0</v>
      </c>
      <c r="BE576">
        <v>0</v>
      </c>
      <c r="BF576">
        <v>0</v>
      </c>
      <c r="BG576">
        <v>0</v>
      </c>
      <c r="BH576">
        <v>0</v>
      </c>
      <c r="BI576">
        <v>0</v>
      </c>
      <c r="BJ576">
        <v>0</v>
      </c>
      <c r="BK576">
        <v>0</v>
      </c>
      <c r="BL576">
        <v>0</v>
      </c>
      <c r="BM576">
        <v>0</v>
      </c>
      <c r="BN576">
        <v>0</v>
      </c>
      <c r="BO576">
        <v>0</v>
      </c>
      <c r="BP576">
        <v>0</v>
      </c>
      <c r="BQ576">
        <v>0</v>
      </c>
      <c r="BR576">
        <v>0</v>
      </c>
      <c r="BS576">
        <v>0</v>
      </c>
    </row>
    <row r="577" spans="1:71" x14ac:dyDescent="0.3">
      <c r="A577" t="s">
        <v>2589</v>
      </c>
      <c r="B577" t="s">
        <v>2590</v>
      </c>
      <c r="C577" t="s">
        <v>29</v>
      </c>
      <c r="D577" t="s">
        <v>29</v>
      </c>
      <c r="E577" t="s">
        <v>2591</v>
      </c>
      <c r="F577" t="s">
        <v>2592</v>
      </c>
      <c r="G577">
        <v>2019</v>
      </c>
      <c r="H577">
        <v>2019</v>
      </c>
      <c r="I577">
        <v>66</v>
      </c>
      <c r="J577" t="s">
        <v>29</v>
      </c>
      <c r="K577" t="s">
        <v>29</v>
      </c>
      <c r="L577" t="s">
        <v>29</v>
      </c>
      <c r="M577" t="s">
        <v>29</v>
      </c>
      <c r="N577">
        <v>174</v>
      </c>
      <c r="O577">
        <v>180</v>
      </c>
      <c r="P577" t="s">
        <v>29</v>
      </c>
      <c r="Q577" t="s">
        <v>2593</v>
      </c>
      <c r="R577" t="s">
        <v>2594</v>
      </c>
      <c r="S577" t="s">
        <v>2595</v>
      </c>
      <c r="T577">
        <v>0</v>
      </c>
      <c r="U577">
        <v>0</v>
      </c>
      <c r="V577">
        <v>0</v>
      </c>
      <c r="W577">
        <v>0</v>
      </c>
      <c r="X577">
        <v>0</v>
      </c>
      <c r="Y577">
        <v>0</v>
      </c>
      <c r="Z577">
        <v>0</v>
      </c>
      <c r="AA577">
        <v>0</v>
      </c>
      <c r="AB577">
        <v>0</v>
      </c>
      <c r="AC577">
        <v>0</v>
      </c>
      <c r="AD577">
        <v>0</v>
      </c>
      <c r="AE577">
        <v>0</v>
      </c>
      <c r="AF577">
        <v>0</v>
      </c>
      <c r="AG577">
        <v>0</v>
      </c>
      <c r="AH577">
        <v>0</v>
      </c>
      <c r="AI577">
        <v>0</v>
      </c>
      <c r="AJ577">
        <v>0</v>
      </c>
      <c r="AK577">
        <v>0</v>
      </c>
      <c r="AL577">
        <v>0</v>
      </c>
      <c r="AM577">
        <v>0</v>
      </c>
      <c r="AN577">
        <v>0</v>
      </c>
      <c r="AO577">
        <v>0</v>
      </c>
      <c r="AP577">
        <v>0</v>
      </c>
      <c r="AQ577">
        <v>0</v>
      </c>
      <c r="AR577">
        <v>0</v>
      </c>
      <c r="AS577">
        <v>0</v>
      </c>
      <c r="AT577">
        <v>0</v>
      </c>
      <c r="AU577">
        <v>0</v>
      </c>
      <c r="AV577">
        <v>0</v>
      </c>
      <c r="AW577">
        <v>0</v>
      </c>
      <c r="AX577">
        <v>0</v>
      </c>
      <c r="AY577">
        <v>0</v>
      </c>
      <c r="AZ577">
        <v>0</v>
      </c>
      <c r="BA577">
        <v>0</v>
      </c>
      <c r="BB577">
        <v>0</v>
      </c>
      <c r="BC577">
        <v>0</v>
      </c>
      <c r="BD577">
        <v>0</v>
      </c>
      <c r="BE577">
        <v>0</v>
      </c>
      <c r="BF577">
        <v>0</v>
      </c>
      <c r="BG577">
        <v>0</v>
      </c>
      <c r="BH577">
        <v>0</v>
      </c>
      <c r="BI577">
        <v>0</v>
      </c>
      <c r="BJ577">
        <v>0</v>
      </c>
      <c r="BK577">
        <v>0</v>
      </c>
      <c r="BL577">
        <v>0</v>
      </c>
      <c r="BM577">
        <v>0</v>
      </c>
      <c r="BN577">
        <v>0</v>
      </c>
      <c r="BO577">
        <v>0</v>
      </c>
      <c r="BP577">
        <v>0</v>
      </c>
      <c r="BQ577">
        <v>0</v>
      </c>
      <c r="BR577">
        <v>0</v>
      </c>
      <c r="BS577">
        <v>0</v>
      </c>
    </row>
    <row r="578" spans="1:71" x14ac:dyDescent="0.3">
      <c r="A578" t="s">
        <v>2596</v>
      </c>
      <c r="B578" t="s">
        <v>1796</v>
      </c>
      <c r="C578" t="s">
        <v>29</v>
      </c>
      <c r="D578" t="s">
        <v>29</v>
      </c>
      <c r="E578" t="s">
        <v>1228</v>
      </c>
      <c r="F578" t="s">
        <v>1729</v>
      </c>
      <c r="G578">
        <v>2019</v>
      </c>
      <c r="H578">
        <v>2019</v>
      </c>
      <c r="I578" t="s">
        <v>29</v>
      </c>
      <c r="J578" t="s">
        <v>29</v>
      </c>
      <c r="K578" t="s">
        <v>29</v>
      </c>
      <c r="L578" t="s">
        <v>29</v>
      </c>
      <c r="M578" t="s">
        <v>29</v>
      </c>
      <c r="N578">
        <v>7327</v>
      </c>
      <c r="O578">
        <v>7331</v>
      </c>
      <c r="P578" t="s">
        <v>29</v>
      </c>
      <c r="Q578" t="s">
        <v>29</v>
      </c>
      <c r="R578" t="s">
        <v>1399</v>
      </c>
      <c r="S578" t="s">
        <v>1400</v>
      </c>
      <c r="T578">
        <v>0</v>
      </c>
      <c r="U578">
        <v>0</v>
      </c>
      <c r="V578">
        <v>0</v>
      </c>
      <c r="W578">
        <v>0</v>
      </c>
      <c r="X578">
        <v>0</v>
      </c>
      <c r="Y578">
        <v>0</v>
      </c>
      <c r="Z578">
        <v>0</v>
      </c>
      <c r="AA578">
        <v>0</v>
      </c>
      <c r="AB578">
        <v>0</v>
      </c>
      <c r="AC578">
        <v>0</v>
      </c>
      <c r="AD578">
        <v>0</v>
      </c>
      <c r="AE578">
        <v>0</v>
      </c>
      <c r="AF578">
        <v>0</v>
      </c>
      <c r="AG578">
        <v>0</v>
      </c>
      <c r="AH578">
        <v>0</v>
      </c>
      <c r="AI578">
        <v>0</v>
      </c>
      <c r="AJ578">
        <v>0</v>
      </c>
      <c r="AK578">
        <v>0</v>
      </c>
      <c r="AL578">
        <v>0</v>
      </c>
      <c r="AM578">
        <v>0</v>
      </c>
      <c r="AN578">
        <v>0</v>
      </c>
      <c r="AO578">
        <v>0</v>
      </c>
      <c r="AP578">
        <v>0</v>
      </c>
      <c r="AQ578">
        <v>0</v>
      </c>
      <c r="AR578">
        <v>0</v>
      </c>
      <c r="AS578">
        <v>0</v>
      </c>
      <c r="AT578">
        <v>0</v>
      </c>
      <c r="AU578">
        <v>0</v>
      </c>
      <c r="AV578">
        <v>0</v>
      </c>
      <c r="AW578">
        <v>0</v>
      </c>
      <c r="AX578">
        <v>0</v>
      </c>
      <c r="AY578">
        <v>0</v>
      </c>
      <c r="AZ578">
        <v>0</v>
      </c>
      <c r="BA578">
        <v>0</v>
      </c>
      <c r="BB578">
        <v>0</v>
      </c>
      <c r="BC578">
        <v>0</v>
      </c>
      <c r="BD578">
        <v>0</v>
      </c>
      <c r="BE578">
        <v>0</v>
      </c>
      <c r="BF578">
        <v>0</v>
      </c>
      <c r="BG578">
        <v>0</v>
      </c>
      <c r="BH578">
        <v>0</v>
      </c>
      <c r="BI578">
        <v>0</v>
      </c>
      <c r="BJ578">
        <v>0</v>
      </c>
      <c r="BK578">
        <v>0</v>
      </c>
      <c r="BL578">
        <v>0</v>
      </c>
      <c r="BM578">
        <v>0</v>
      </c>
      <c r="BN578">
        <v>0</v>
      </c>
      <c r="BO578">
        <v>0</v>
      </c>
      <c r="BP578">
        <v>0</v>
      </c>
      <c r="BQ578">
        <v>0</v>
      </c>
      <c r="BR578">
        <v>0</v>
      </c>
      <c r="BS578">
        <v>0</v>
      </c>
    </row>
    <row r="579" spans="1:71" x14ac:dyDescent="0.3">
      <c r="A579" t="s">
        <v>2597</v>
      </c>
      <c r="B579" t="s">
        <v>2598</v>
      </c>
      <c r="C579" t="s">
        <v>29</v>
      </c>
      <c r="D579" t="s">
        <v>29</v>
      </c>
      <c r="E579" t="s">
        <v>1228</v>
      </c>
      <c r="F579" t="s">
        <v>1729</v>
      </c>
      <c r="G579">
        <v>2019</v>
      </c>
      <c r="H579">
        <v>2019</v>
      </c>
      <c r="I579" t="s">
        <v>29</v>
      </c>
      <c r="J579" t="s">
        <v>29</v>
      </c>
      <c r="K579" t="s">
        <v>29</v>
      </c>
      <c r="L579" t="s">
        <v>29</v>
      </c>
      <c r="M579" t="s">
        <v>29</v>
      </c>
      <c r="N579">
        <v>9981</v>
      </c>
      <c r="O579">
        <v>9989</v>
      </c>
      <c r="P579" t="s">
        <v>29</v>
      </c>
      <c r="Q579" t="s">
        <v>29</v>
      </c>
      <c r="R579" t="s">
        <v>1399</v>
      </c>
      <c r="S579" t="s">
        <v>1400</v>
      </c>
      <c r="T579">
        <v>0</v>
      </c>
      <c r="U579">
        <v>0</v>
      </c>
      <c r="V579">
        <v>0</v>
      </c>
      <c r="W579">
        <v>0</v>
      </c>
      <c r="X579">
        <v>0</v>
      </c>
      <c r="Y579">
        <v>0</v>
      </c>
      <c r="Z579">
        <v>0</v>
      </c>
      <c r="AA579">
        <v>0</v>
      </c>
      <c r="AB579">
        <v>0</v>
      </c>
      <c r="AC579">
        <v>0</v>
      </c>
      <c r="AD579">
        <v>0</v>
      </c>
      <c r="AE579">
        <v>0</v>
      </c>
      <c r="AF579">
        <v>0</v>
      </c>
      <c r="AG579">
        <v>0</v>
      </c>
      <c r="AH579">
        <v>0</v>
      </c>
      <c r="AI579">
        <v>0</v>
      </c>
      <c r="AJ579">
        <v>0</v>
      </c>
      <c r="AK579">
        <v>0</v>
      </c>
      <c r="AL579">
        <v>0</v>
      </c>
      <c r="AM579">
        <v>0</v>
      </c>
      <c r="AN579">
        <v>0</v>
      </c>
      <c r="AO579">
        <v>0</v>
      </c>
      <c r="AP579">
        <v>0</v>
      </c>
      <c r="AQ579">
        <v>0</v>
      </c>
      <c r="AR579">
        <v>0</v>
      </c>
      <c r="AS579">
        <v>0</v>
      </c>
      <c r="AT579">
        <v>0</v>
      </c>
      <c r="AU579">
        <v>0</v>
      </c>
      <c r="AV579">
        <v>0</v>
      </c>
      <c r="AW579">
        <v>0</v>
      </c>
      <c r="AX579">
        <v>0</v>
      </c>
      <c r="AY579">
        <v>0</v>
      </c>
      <c r="AZ579">
        <v>0</v>
      </c>
      <c r="BA579">
        <v>0</v>
      </c>
      <c r="BB579">
        <v>0</v>
      </c>
      <c r="BC579">
        <v>0</v>
      </c>
      <c r="BD579">
        <v>0</v>
      </c>
      <c r="BE579">
        <v>0</v>
      </c>
      <c r="BF579">
        <v>0</v>
      </c>
      <c r="BG579">
        <v>0</v>
      </c>
      <c r="BH579">
        <v>0</v>
      </c>
      <c r="BI579">
        <v>0</v>
      </c>
      <c r="BJ579">
        <v>0</v>
      </c>
      <c r="BK579">
        <v>0</v>
      </c>
      <c r="BL579">
        <v>0</v>
      </c>
      <c r="BM579">
        <v>0</v>
      </c>
      <c r="BN579">
        <v>0</v>
      </c>
      <c r="BO579">
        <v>0</v>
      </c>
      <c r="BP579">
        <v>0</v>
      </c>
      <c r="BQ579">
        <v>0</v>
      </c>
      <c r="BR579">
        <v>0</v>
      </c>
      <c r="BS579">
        <v>0</v>
      </c>
    </row>
    <row r="580" spans="1:71" x14ac:dyDescent="0.3">
      <c r="A580" t="s">
        <v>2599</v>
      </c>
      <c r="B580" t="s">
        <v>2600</v>
      </c>
      <c r="C580" t="s">
        <v>29</v>
      </c>
      <c r="D580" t="s">
        <v>29</v>
      </c>
      <c r="E580" t="s">
        <v>29</v>
      </c>
      <c r="F580" t="s">
        <v>2601</v>
      </c>
      <c r="G580">
        <v>2019</v>
      </c>
      <c r="H580">
        <v>2019</v>
      </c>
      <c r="I580" t="s">
        <v>29</v>
      </c>
      <c r="J580" t="s">
        <v>29</v>
      </c>
      <c r="K580" t="s">
        <v>29</v>
      </c>
      <c r="L580" t="s">
        <v>29</v>
      </c>
      <c r="M580" t="s">
        <v>29</v>
      </c>
      <c r="N580">
        <v>566</v>
      </c>
      <c r="O580">
        <v>571</v>
      </c>
      <c r="P580" t="s">
        <v>29</v>
      </c>
      <c r="Q580" t="s">
        <v>29</v>
      </c>
      <c r="R580" t="s">
        <v>2602</v>
      </c>
      <c r="S580" t="s">
        <v>2603</v>
      </c>
      <c r="T580">
        <v>0</v>
      </c>
      <c r="U580">
        <v>0</v>
      </c>
      <c r="V580">
        <v>0</v>
      </c>
      <c r="W580">
        <v>0</v>
      </c>
      <c r="X580">
        <v>0</v>
      </c>
      <c r="Y580">
        <v>0</v>
      </c>
      <c r="Z580">
        <v>0</v>
      </c>
      <c r="AA580">
        <v>0</v>
      </c>
      <c r="AB580">
        <v>0</v>
      </c>
      <c r="AC580">
        <v>0</v>
      </c>
      <c r="AD580">
        <v>0</v>
      </c>
      <c r="AE580">
        <v>0</v>
      </c>
      <c r="AF580">
        <v>0</v>
      </c>
      <c r="AG580">
        <v>0</v>
      </c>
      <c r="AH580">
        <v>0</v>
      </c>
      <c r="AI580">
        <v>0</v>
      </c>
      <c r="AJ580">
        <v>0</v>
      </c>
      <c r="AK580">
        <v>0</v>
      </c>
      <c r="AL580">
        <v>0</v>
      </c>
      <c r="AM580">
        <v>0</v>
      </c>
      <c r="AN580">
        <v>0</v>
      </c>
      <c r="AO580">
        <v>0</v>
      </c>
      <c r="AP580">
        <v>0</v>
      </c>
      <c r="AQ580">
        <v>0</v>
      </c>
      <c r="AR580">
        <v>0</v>
      </c>
      <c r="AS580">
        <v>0</v>
      </c>
      <c r="AT580">
        <v>0</v>
      </c>
      <c r="AU580">
        <v>0</v>
      </c>
      <c r="AV580">
        <v>0</v>
      </c>
      <c r="AW580">
        <v>0</v>
      </c>
      <c r="AX580">
        <v>0</v>
      </c>
      <c r="AY580">
        <v>0</v>
      </c>
      <c r="AZ580">
        <v>0</v>
      </c>
      <c r="BA580">
        <v>0</v>
      </c>
      <c r="BB580">
        <v>0</v>
      </c>
      <c r="BC580">
        <v>0</v>
      </c>
      <c r="BD580">
        <v>0</v>
      </c>
      <c r="BE580">
        <v>0</v>
      </c>
      <c r="BF580">
        <v>0</v>
      </c>
      <c r="BG580">
        <v>0</v>
      </c>
      <c r="BH580">
        <v>0</v>
      </c>
      <c r="BI580">
        <v>0</v>
      </c>
      <c r="BJ580">
        <v>0</v>
      </c>
      <c r="BK580">
        <v>0</v>
      </c>
      <c r="BL580">
        <v>0</v>
      </c>
      <c r="BM580">
        <v>0</v>
      </c>
      <c r="BN580">
        <v>0</v>
      </c>
      <c r="BO580">
        <v>0</v>
      </c>
      <c r="BP580">
        <v>0</v>
      </c>
      <c r="BQ580">
        <v>0</v>
      </c>
      <c r="BR580">
        <v>0</v>
      </c>
      <c r="BS580">
        <v>0</v>
      </c>
    </row>
    <row r="581" spans="1:71" x14ac:dyDescent="0.3">
      <c r="A581" t="s">
        <v>2604</v>
      </c>
      <c r="B581" t="s">
        <v>2605</v>
      </c>
      <c r="C581" t="s">
        <v>29</v>
      </c>
      <c r="D581" t="s">
        <v>29</v>
      </c>
      <c r="E581" t="s">
        <v>29</v>
      </c>
      <c r="F581" t="s">
        <v>2606</v>
      </c>
      <c r="G581" t="s">
        <v>2607</v>
      </c>
      <c r="H581">
        <v>2018</v>
      </c>
      <c r="I581">
        <v>22</v>
      </c>
      <c r="J581" t="s">
        <v>29</v>
      </c>
      <c r="K581" t="s">
        <v>29</v>
      </c>
      <c r="L581" t="s">
        <v>29</v>
      </c>
      <c r="M581" t="s">
        <v>29</v>
      </c>
      <c r="N581">
        <v>649</v>
      </c>
      <c r="O581">
        <v>675</v>
      </c>
      <c r="P581" t="s">
        <v>29</v>
      </c>
      <c r="Q581" t="s">
        <v>29</v>
      </c>
      <c r="R581" t="s">
        <v>29</v>
      </c>
      <c r="S581" t="s">
        <v>29</v>
      </c>
      <c r="T581">
        <v>0</v>
      </c>
      <c r="U581">
        <v>0</v>
      </c>
      <c r="V581">
        <v>0</v>
      </c>
      <c r="W581">
        <v>0</v>
      </c>
      <c r="X581">
        <v>0</v>
      </c>
      <c r="Y581">
        <v>0</v>
      </c>
      <c r="Z581">
        <v>0</v>
      </c>
      <c r="AA581">
        <v>0</v>
      </c>
      <c r="AB581">
        <v>0</v>
      </c>
      <c r="AC581">
        <v>0</v>
      </c>
      <c r="AD581">
        <v>0</v>
      </c>
      <c r="AE581">
        <v>0</v>
      </c>
      <c r="AF581">
        <v>0</v>
      </c>
      <c r="AG581">
        <v>0</v>
      </c>
      <c r="AH581">
        <v>0</v>
      </c>
      <c r="AI581">
        <v>0</v>
      </c>
      <c r="AJ581">
        <v>0</v>
      </c>
      <c r="AK581">
        <v>0</v>
      </c>
      <c r="AL581">
        <v>0</v>
      </c>
      <c r="AM581">
        <v>0</v>
      </c>
      <c r="AN581">
        <v>0</v>
      </c>
      <c r="AO581">
        <v>0</v>
      </c>
      <c r="AP581">
        <v>0</v>
      </c>
      <c r="AQ581">
        <v>0</v>
      </c>
      <c r="AR581">
        <v>0</v>
      </c>
      <c r="AS581">
        <v>0</v>
      </c>
      <c r="AT581">
        <v>0</v>
      </c>
      <c r="AU581">
        <v>0</v>
      </c>
      <c r="AV581">
        <v>0</v>
      </c>
      <c r="AW581">
        <v>0</v>
      </c>
      <c r="AX581">
        <v>0</v>
      </c>
      <c r="AY581">
        <v>0</v>
      </c>
      <c r="AZ581">
        <v>0</v>
      </c>
      <c r="BA581">
        <v>0</v>
      </c>
      <c r="BB581">
        <v>0</v>
      </c>
      <c r="BC581">
        <v>0</v>
      </c>
      <c r="BD581">
        <v>0</v>
      </c>
      <c r="BE581">
        <v>0</v>
      </c>
      <c r="BF581">
        <v>0</v>
      </c>
      <c r="BG581">
        <v>0</v>
      </c>
      <c r="BH581">
        <v>0</v>
      </c>
      <c r="BI581">
        <v>0</v>
      </c>
      <c r="BJ581">
        <v>0</v>
      </c>
      <c r="BK581">
        <v>0</v>
      </c>
      <c r="BL581">
        <v>0</v>
      </c>
      <c r="BM581">
        <v>0</v>
      </c>
      <c r="BN581">
        <v>0</v>
      </c>
      <c r="BO581">
        <v>0</v>
      </c>
      <c r="BP581">
        <v>0</v>
      </c>
      <c r="BQ581">
        <v>0</v>
      </c>
      <c r="BR581">
        <v>0</v>
      </c>
      <c r="BS581">
        <v>0</v>
      </c>
    </row>
    <row r="582" spans="1:71" x14ac:dyDescent="0.3">
      <c r="A582" t="s">
        <v>2608</v>
      </c>
      <c r="B582" t="s">
        <v>2609</v>
      </c>
      <c r="C582" t="s">
        <v>29</v>
      </c>
      <c r="D582" t="s">
        <v>29</v>
      </c>
      <c r="E582" t="s">
        <v>29</v>
      </c>
      <c r="F582" t="s">
        <v>2610</v>
      </c>
      <c r="G582" t="s">
        <v>1417</v>
      </c>
      <c r="H582">
        <v>2018</v>
      </c>
      <c r="I582">
        <v>13</v>
      </c>
      <c r="J582" t="s">
        <v>29</v>
      </c>
      <c r="K582" t="s">
        <v>29</v>
      </c>
      <c r="L582" t="s">
        <v>29</v>
      </c>
      <c r="M582" t="s">
        <v>32</v>
      </c>
      <c r="N582">
        <v>66</v>
      </c>
      <c r="O582">
        <v>73</v>
      </c>
      <c r="P582" t="s">
        <v>29</v>
      </c>
      <c r="Q582" t="s">
        <v>29</v>
      </c>
      <c r="R582" t="s">
        <v>29</v>
      </c>
      <c r="S582" t="s">
        <v>29</v>
      </c>
      <c r="T582">
        <v>0</v>
      </c>
      <c r="U582">
        <v>0</v>
      </c>
      <c r="V582">
        <v>0</v>
      </c>
      <c r="W582">
        <v>0</v>
      </c>
      <c r="X582">
        <v>0</v>
      </c>
      <c r="Y582">
        <v>0</v>
      </c>
      <c r="Z582">
        <v>0</v>
      </c>
      <c r="AA582">
        <v>0</v>
      </c>
      <c r="AB582">
        <v>0</v>
      </c>
      <c r="AC582">
        <v>0</v>
      </c>
      <c r="AD582">
        <v>0</v>
      </c>
      <c r="AE582">
        <v>0</v>
      </c>
      <c r="AF582">
        <v>0</v>
      </c>
      <c r="AG582">
        <v>0</v>
      </c>
      <c r="AH582">
        <v>0</v>
      </c>
      <c r="AI582">
        <v>0</v>
      </c>
      <c r="AJ582">
        <v>0</v>
      </c>
      <c r="AK582">
        <v>0</v>
      </c>
      <c r="AL582">
        <v>0</v>
      </c>
      <c r="AM582">
        <v>0</v>
      </c>
      <c r="AN582">
        <v>0</v>
      </c>
      <c r="AO582">
        <v>0</v>
      </c>
      <c r="AP582">
        <v>0</v>
      </c>
      <c r="AQ582">
        <v>0</v>
      </c>
      <c r="AR582">
        <v>0</v>
      </c>
      <c r="AS582">
        <v>0</v>
      </c>
      <c r="AT582">
        <v>0</v>
      </c>
      <c r="AU582">
        <v>0</v>
      </c>
      <c r="AV582">
        <v>0</v>
      </c>
      <c r="AW582">
        <v>0</v>
      </c>
      <c r="AX582">
        <v>0</v>
      </c>
      <c r="AY582">
        <v>0</v>
      </c>
      <c r="AZ582">
        <v>0</v>
      </c>
      <c r="BA582">
        <v>0</v>
      </c>
      <c r="BB582">
        <v>0</v>
      </c>
      <c r="BC582">
        <v>0</v>
      </c>
      <c r="BD582">
        <v>0</v>
      </c>
      <c r="BE582">
        <v>0</v>
      </c>
      <c r="BF582">
        <v>0</v>
      </c>
      <c r="BG582">
        <v>0</v>
      </c>
      <c r="BH582">
        <v>0</v>
      </c>
      <c r="BI582">
        <v>0</v>
      </c>
      <c r="BJ582">
        <v>0</v>
      </c>
      <c r="BK582">
        <v>0</v>
      </c>
      <c r="BL582">
        <v>0</v>
      </c>
      <c r="BM582">
        <v>0</v>
      </c>
      <c r="BN582">
        <v>0</v>
      </c>
      <c r="BO582">
        <v>0</v>
      </c>
      <c r="BP582">
        <v>0</v>
      </c>
      <c r="BQ582">
        <v>0</v>
      </c>
      <c r="BR582">
        <v>0</v>
      </c>
      <c r="BS582">
        <v>0</v>
      </c>
    </row>
    <row r="583" spans="1:71" x14ac:dyDescent="0.3">
      <c r="A583" t="s">
        <v>2611</v>
      </c>
      <c r="B583" t="s">
        <v>2612</v>
      </c>
      <c r="C583" t="s">
        <v>29</v>
      </c>
      <c r="D583" t="s">
        <v>29</v>
      </c>
      <c r="E583" t="s">
        <v>1228</v>
      </c>
      <c r="F583" t="s">
        <v>2613</v>
      </c>
      <c r="G583">
        <v>2018</v>
      </c>
      <c r="H583">
        <v>2018</v>
      </c>
      <c r="I583" t="s">
        <v>29</v>
      </c>
      <c r="J583" t="s">
        <v>29</v>
      </c>
      <c r="K583" t="s">
        <v>29</v>
      </c>
      <c r="L583" t="s">
        <v>29</v>
      </c>
      <c r="M583" t="s">
        <v>29</v>
      </c>
      <c r="N583">
        <v>9460</v>
      </c>
      <c r="O583">
        <v>9466</v>
      </c>
      <c r="P583" t="s">
        <v>29</v>
      </c>
      <c r="Q583" t="s">
        <v>29</v>
      </c>
      <c r="R583" t="s">
        <v>2614</v>
      </c>
      <c r="S583" t="s">
        <v>2615</v>
      </c>
      <c r="T583">
        <v>0</v>
      </c>
      <c r="U583">
        <v>0</v>
      </c>
      <c r="V583">
        <v>0</v>
      </c>
      <c r="W583">
        <v>0</v>
      </c>
      <c r="X583">
        <v>0</v>
      </c>
      <c r="Y583">
        <v>0</v>
      </c>
      <c r="Z583">
        <v>0</v>
      </c>
      <c r="AA583">
        <v>0</v>
      </c>
      <c r="AB583">
        <v>0</v>
      </c>
      <c r="AC583">
        <v>0</v>
      </c>
      <c r="AD583">
        <v>0</v>
      </c>
      <c r="AE583">
        <v>0</v>
      </c>
      <c r="AF583">
        <v>0</v>
      </c>
      <c r="AG583">
        <v>0</v>
      </c>
      <c r="AH583">
        <v>0</v>
      </c>
      <c r="AI583">
        <v>0</v>
      </c>
      <c r="AJ583">
        <v>0</v>
      </c>
      <c r="AK583">
        <v>0</v>
      </c>
      <c r="AL583">
        <v>0</v>
      </c>
      <c r="AM583">
        <v>0</v>
      </c>
      <c r="AN583">
        <v>0</v>
      </c>
      <c r="AO583">
        <v>0</v>
      </c>
      <c r="AP583">
        <v>0</v>
      </c>
      <c r="AQ583">
        <v>0</v>
      </c>
      <c r="AR583">
        <v>0</v>
      </c>
      <c r="AS583">
        <v>0</v>
      </c>
      <c r="AT583">
        <v>0</v>
      </c>
      <c r="AU583">
        <v>0</v>
      </c>
      <c r="AV583">
        <v>0</v>
      </c>
      <c r="AW583">
        <v>0</v>
      </c>
      <c r="AX583">
        <v>0</v>
      </c>
      <c r="AY583">
        <v>0</v>
      </c>
      <c r="AZ583">
        <v>0</v>
      </c>
      <c r="BA583">
        <v>0</v>
      </c>
      <c r="BB583">
        <v>0</v>
      </c>
      <c r="BC583">
        <v>0</v>
      </c>
      <c r="BD583">
        <v>0</v>
      </c>
      <c r="BE583">
        <v>0</v>
      </c>
      <c r="BF583">
        <v>0</v>
      </c>
      <c r="BG583">
        <v>0</v>
      </c>
      <c r="BH583">
        <v>0</v>
      </c>
      <c r="BI583">
        <v>0</v>
      </c>
      <c r="BJ583">
        <v>0</v>
      </c>
      <c r="BK583">
        <v>0</v>
      </c>
      <c r="BL583">
        <v>0</v>
      </c>
      <c r="BM583">
        <v>0</v>
      </c>
      <c r="BN583">
        <v>0</v>
      </c>
      <c r="BO583">
        <v>0</v>
      </c>
      <c r="BP583">
        <v>0</v>
      </c>
      <c r="BQ583">
        <v>0</v>
      </c>
      <c r="BR583">
        <v>0</v>
      </c>
      <c r="BS583">
        <v>0</v>
      </c>
    </row>
    <row r="584" spans="1:71" x14ac:dyDescent="0.3">
      <c r="A584" t="s">
        <v>2616</v>
      </c>
      <c r="B584" t="s">
        <v>2617</v>
      </c>
      <c r="C584" t="s">
        <v>29</v>
      </c>
      <c r="D584" t="s">
        <v>29</v>
      </c>
      <c r="E584" t="s">
        <v>2618</v>
      </c>
      <c r="F584" t="s">
        <v>2619</v>
      </c>
      <c r="G584">
        <v>2018</v>
      </c>
      <c r="H584">
        <v>2018</v>
      </c>
      <c r="I584">
        <v>14</v>
      </c>
      <c r="J584" t="s">
        <v>29</v>
      </c>
      <c r="K584" t="s">
        <v>29</v>
      </c>
      <c r="L584" t="s">
        <v>29</v>
      </c>
      <c r="M584" t="s">
        <v>29</v>
      </c>
      <c r="N584">
        <v>1472</v>
      </c>
      <c r="O584">
        <v>1488</v>
      </c>
      <c r="P584" t="s">
        <v>29</v>
      </c>
      <c r="Q584" t="s">
        <v>29</v>
      </c>
      <c r="R584" t="s">
        <v>2620</v>
      </c>
      <c r="S584" t="s">
        <v>2621</v>
      </c>
      <c r="T584">
        <v>0</v>
      </c>
      <c r="U584">
        <v>0</v>
      </c>
      <c r="V584">
        <v>0</v>
      </c>
      <c r="W584">
        <v>0</v>
      </c>
      <c r="X584">
        <v>0</v>
      </c>
      <c r="Y584">
        <v>0</v>
      </c>
      <c r="Z584">
        <v>0</v>
      </c>
      <c r="AA584">
        <v>0</v>
      </c>
      <c r="AB584">
        <v>0</v>
      </c>
      <c r="AC584">
        <v>0</v>
      </c>
      <c r="AD584">
        <v>0</v>
      </c>
      <c r="AE584">
        <v>0</v>
      </c>
      <c r="AF584">
        <v>0</v>
      </c>
      <c r="AG584">
        <v>0</v>
      </c>
      <c r="AH584">
        <v>0</v>
      </c>
      <c r="AI584">
        <v>0</v>
      </c>
      <c r="AJ584">
        <v>0</v>
      </c>
      <c r="AK584">
        <v>0</v>
      </c>
      <c r="AL584">
        <v>0</v>
      </c>
      <c r="AM584">
        <v>0</v>
      </c>
      <c r="AN584">
        <v>0</v>
      </c>
      <c r="AO584">
        <v>0</v>
      </c>
      <c r="AP584">
        <v>0</v>
      </c>
      <c r="AQ584">
        <v>0</v>
      </c>
      <c r="AR584">
        <v>0</v>
      </c>
      <c r="AS584">
        <v>0</v>
      </c>
      <c r="AT584">
        <v>0</v>
      </c>
      <c r="AU584">
        <v>0</v>
      </c>
      <c r="AV584">
        <v>0</v>
      </c>
      <c r="AW584">
        <v>0</v>
      </c>
      <c r="AX584">
        <v>0</v>
      </c>
      <c r="AY584">
        <v>0</v>
      </c>
      <c r="AZ584">
        <v>0</v>
      </c>
      <c r="BA584">
        <v>0</v>
      </c>
      <c r="BB584">
        <v>0</v>
      </c>
      <c r="BC584">
        <v>0</v>
      </c>
      <c r="BD584">
        <v>0</v>
      </c>
      <c r="BE584">
        <v>0</v>
      </c>
      <c r="BF584">
        <v>0</v>
      </c>
      <c r="BG584">
        <v>0</v>
      </c>
      <c r="BH584">
        <v>0</v>
      </c>
      <c r="BI584">
        <v>0</v>
      </c>
      <c r="BJ584">
        <v>0</v>
      </c>
      <c r="BK584">
        <v>0</v>
      </c>
      <c r="BL584">
        <v>0</v>
      </c>
      <c r="BM584">
        <v>0</v>
      </c>
      <c r="BN584">
        <v>0</v>
      </c>
      <c r="BO584">
        <v>0</v>
      </c>
      <c r="BP584">
        <v>0</v>
      </c>
      <c r="BQ584">
        <v>0</v>
      </c>
      <c r="BR584">
        <v>0</v>
      </c>
      <c r="BS584">
        <v>0</v>
      </c>
    </row>
    <row r="585" spans="1:71" x14ac:dyDescent="0.3">
      <c r="A585" t="s">
        <v>2622</v>
      </c>
      <c r="B585" t="s">
        <v>2623</v>
      </c>
      <c r="C585" t="s">
        <v>29</v>
      </c>
      <c r="D585" t="s">
        <v>29</v>
      </c>
      <c r="E585" t="s">
        <v>29</v>
      </c>
      <c r="F585" t="s">
        <v>2624</v>
      </c>
      <c r="G585">
        <v>2018</v>
      </c>
      <c r="H585">
        <v>2018</v>
      </c>
      <c r="I585" t="s">
        <v>29</v>
      </c>
      <c r="J585" t="s">
        <v>29</v>
      </c>
      <c r="K585" t="s">
        <v>29</v>
      </c>
      <c r="L585" t="s">
        <v>29</v>
      </c>
      <c r="M585" t="s">
        <v>29</v>
      </c>
      <c r="N585" t="s">
        <v>29</v>
      </c>
      <c r="O585" t="s">
        <v>29</v>
      </c>
      <c r="P585" t="s">
        <v>29</v>
      </c>
      <c r="Q585" t="s">
        <v>29</v>
      </c>
      <c r="R585" t="s">
        <v>2625</v>
      </c>
      <c r="S585" t="s">
        <v>2626</v>
      </c>
      <c r="T585">
        <v>0</v>
      </c>
      <c r="U585">
        <v>0</v>
      </c>
      <c r="V585">
        <v>0</v>
      </c>
      <c r="W585">
        <v>0</v>
      </c>
      <c r="X585">
        <v>0</v>
      </c>
      <c r="Y585">
        <v>0</v>
      </c>
      <c r="Z585">
        <v>0</v>
      </c>
      <c r="AA585">
        <v>0</v>
      </c>
      <c r="AB585">
        <v>0</v>
      </c>
      <c r="AC585">
        <v>0</v>
      </c>
      <c r="AD585">
        <v>0</v>
      </c>
      <c r="AE585">
        <v>0</v>
      </c>
      <c r="AF585">
        <v>0</v>
      </c>
      <c r="AG585">
        <v>0</v>
      </c>
      <c r="AH585">
        <v>0</v>
      </c>
      <c r="AI585">
        <v>0</v>
      </c>
      <c r="AJ585">
        <v>0</v>
      </c>
      <c r="AK585">
        <v>0</v>
      </c>
      <c r="AL585">
        <v>0</v>
      </c>
      <c r="AM585">
        <v>0</v>
      </c>
      <c r="AN585">
        <v>0</v>
      </c>
      <c r="AO585">
        <v>0</v>
      </c>
      <c r="AP585">
        <v>0</v>
      </c>
      <c r="AQ585">
        <v>0</v>
      </c>
      <c r="AR585">
        <v>0</v>
      </c>
      <c r="AS585">
        <v>0</v>
      </c>
      <c r="AT585">
        <v>0</v>
      </c>
      <c r="AU585">
        <v>0</v>
      </c>
      <c r="AV585">
        <v>0</v>
      </c>
      <c r="AW585">
        <v>0</v>
      </c>
      <c r="AX585">
        <v>0</v>
      </c>
      <c r="AY585">
        <v>0</v>
      </c>
      <c r="AZ585">
        <v>0</v>
      </c>
      <c r="BA585">
        <v>0</v>
      </c>
      <c r="BB585">
        <v>0</v>
      </c>
      <c r="BC585">
        <v>0</v>
      </c>
      <c r="BD585">
        <v>0</v>
      </c>
      <c r="BE585">
        <v>0</v>
      </c>
      <c r="BF585">
        <v>0</v>
      </c>
      <c r="BG585">
        <v>0</v>
      </c>
      <c r="BH585">
        <v>0</v>
      </c>
      <c r="BI585">
        <v>0</v>
      </c>
      <c r="BJ585">
        <v>0</v>
      </c>
      <c r="BK585">
        <v>0</v>
      </c>
      <c r="BL585">
        <v>0</v>
      </c>
      <c r="BM585">
        <v>0</v>
      </c>
      <c r="BN585">
        <v>0</v>
      </c>
      <c r="BO585">
        <v>0</v>
      </c>
      <c r="BP585">
        <v>0</v>
      </c>
      <c r="BQ585">
        <v>0</v>
      </c>
      <c r="BR585">
        <v>0</v>
      </c>
      <c r="BS585">
        <v>0</v>
      </c>
    </row>
    <row r="586" spans="1:71" x14ac:dyDescent="0.3">
      <c r="A586" t="s">
        <v>2627</v>
      </c>
      <c r="B586" t="s">
        <v>2628</v>
      </c>
      <c r="C586" t="s">
        <v>29</v>
      </c>
      <c r="D586" t="s">
        <v>29</v>
      </c>
      <c r="E586" t="s">
        <v>2629</v>
      </c>
      <c r="F586" t="s">
        <v>2630</v>
      </c>
      <c r="G586">
        <v>2018</v>
      </c>
      <c r="H586">
        <v>2018</v>
      </c>
      <c r="I586" t="s">
        <v>29</v>
      </c>
      <c r="J586" t="s">
        <v>29</v>
      </c>
      <c r="K586" t="s">
        <v>29</v>
      </c>
      <c r="L586" t="s">
        <v>29</v>
      </c>
      <c r="M586" t="s">
        <v>29</v>
      </c>
      <c r="N586">
        <v>335</v>
      </c>
      <c r="O586">
        <v>343</v>
      </c>
      <c r="P586" t="s">
        <v>29</v>
      </c>
      <c r="Q586" t="s">
        <v>29</v>
      </c>
      <c r="R586" t="s">
        <v>2631</v>
      </c>
      <c r="S586" t="s">
        <v>2632</v>
      </c>
      <c r="T586">
        <v>0</v>
      </c>
      <c r="U586">
        <v>0</v>
      </c>
      <c r="V586">
        <v>0</v>
      </c>
      <c r="W586">
        <v>0</v>
      </c>
      <c r="X586">
        <v>0</v>
      </c>
      <c r="Y586">
        <v>0</v>
      </c>
      <c r="Z586">
        <v>0</v>
      </c>
      <c r="AA586">
        <v>0</v>
      </c>
      <c r="AB586">
        <v>0</v>
      </c>
      <c r="AC586">
        <v>0</v>
      </c>
      <c r="AD586">
        <v>0</v>
      </c>
      <c r="AE586">
        <v>0</v>
      </c>
      <c r="AF586">
        <v>0</v>
      </c>
      <c r="AG586">
        <v>0</v>
      </c>
      <c r="AH586">
        <v>0</v>
      </c>
      <c r="AI586">
        <v>0</v>
      </c>
      <c r="AJ586">
        <v>0</v>
      </c>
      <c r="AK586">
        <v>0</v>
      </c>
      <c r="AL586">
        <v>0</v>
      </c>
      <c r="AM586">
        <v>0</v>
      </c>
      <c r="AN586">
        <v>0</v>
      </c>
      <c r="AO586">
        <v>0</v>
      </c>
      <c r="AP586">
        <v>0</v>
      </c>
      <c r="AQ586">
        <v>0</v>
      </c>
      <c r="AR586">
        <v>0</v>
      </c>
      <c r="AS586">
        <v>0</v>
      </c>
      <c r="AT586">
        <v>0</v>
      </c>
      <c r="AU586">
        <v>0</v>
      </c>
      <c r="AV586">
        <v>0</v>
      </c>
      <c r="AW586">
        <v>0</v>
      </c>
      <c r="AX586">
        <v>0</v>
      </c>
      <c r="AY586">
        <v>0</v>
      </c>
      <c r="AZ586">
        <v>0</v>
      </c>
      <c r="BA586">
        <v>0</v>
      </c>
      <c r="BB586">
        <v>0</v>
      </c>
      <c r="BC586">
        <v>0</v>
      </c>
      <c r="BD586">
        <v>0</v>
      </c>
      <c r="BE586">
        <v>0</v>
      </c>
      <c r="BF586">
        <v>0</v>
      </c>
      <c r="BG586">
        <v>0</v>
      </c>
      <c r="BH586">
        <v>0</v>
      </c>
      <c r="BI586">
        <v>0</v>
      </c>
      <c r="BJ586">
        <v>0</v>
      </c>
      <c r="BK586">
        <v>0</v>
      </c>
      <c r="BL586">
        <v>0</v>
      </c>
      <c r="BM586">
        <v>0</v>
      </c>
      <c r="BN586">
        <v>0</v>
      </c>
      <c r="BO586">
        <v>0</v>
      </c>
      <c r="BP586">
        <v>0</v>
      </c>
      <c r="BQ586">
        <v>0</v>
      </c>
      <c r="BR586">
        <v>0</v>
      </c>
      <c r="BS586">
        <v>0</v>
      </c>
    </row>
    <row r="587" spans="1:71" x14ac:dyDescent="0.3">
      <c r="A587" t="s">
        <v>2633</v>
      </c>
      <c r="B587" t="s">
        <v>2634</v>
      </c>
      <c r="C587" t="s">
        <v>29</v>
      </c>
      <c r="D587" t="s">
        <v>29</v>
      </c>
      <c r="E587" t="s">
        <v>1228</v>
      </c>
      <c r="F587" t="s">
        <v>2635</v>
      </c>
      <c r="G587">
        <v>2018</v>
      </c>
      <c r="H587">
        <v>2018</v>
      </c>
      <c r="I587" t="s">
        <v>29</v>
      </c>
      <c r="J587" t="s">
        <v>29</v>
      </c>
      <c r="K587" t="s">
        <v>29</v>
      </c>
      <c r="L587" t="s">
        <v>29</v>
      </c>
      <c r="M587" t="s">
        <v>29</v>
      </c>
      <c r="N587">
        <v>2691</v>
      </c>
      <c r="O587">
        <v>2698</v>
      </c>
      <c r="P587" t="s">
        <v>29</v>
      </c>
      <c r="Q587" t="s">
        <v>29</v>
      </c>
      <c r="R587" t="s">
        <v>2636</v>
      </c>
      <c r="S587" t="s">
        <v>2637</v>
      </c>
      <c r="T587">
        <v>0</v>
      </c>
      <c r="U587">
        <v>0</v>
      </c>
      <c r="V587">
        <v>0</v>
      </c>
      <c r="W587">
        <v>0</v>
      </c>
      <c r="X587">
        <v>0</v>
      </c>
      <c r="Y587">
        <v>0</v>
      </c>
      <c r="Z587">
        <v>0</v>
      </c>
      <c r="AA587">
        <v>0</v>
      </c>
      <c r="AB587">
        <v>0</v>
      </c>
      <c r="AC587">
        <v>0</v>
      </c>
      <c r="AD587">
        <v>0</v>
      </c>
      <c r="AE587">
        <v>0</v>
      </c>
      <c r="AF587">
        <v>0</v>
      </c>
      <c r="AG587">
        <v>0</v>
      </c>
      <c r="AH587">
        <v>0</v>
      </c>
      <c r="AI587">
        <v>0</v>
      </c>
      <c r="AJ587">
        <v>0</v>
      </c>
      <c r="AK587">
        <v>0</v>
      </c>
      <c r="AL587">
        <v>0</v>
      </c>
      <c r="AM587">
        <v>0</v>
      </c>
      <c r="AN587">
        <v>0</v>
      </c>
      <c r="AO587">
        <v>0</v>
      </c>
      <c r="AP587">
        <v>0</v>
      </c>
      <c r="AQ587">
        <v>0</v>
      </c>
      <c r="AR587">
        <v>0</v>
      </c>
      <c r="AS587">
        <v>0</v>
      </c>
      <c r="AT587">
        <v>0</v>
      </c>
      <c r="AU587">
        <v>0</v>
      </c>
      <c r="AV587">
        <v>0</v>
      </c>
      <c r="AW587">
        <v>0</v>
      </c>
      <c r="AX587">
        <v>0</v>
      </c>
      <c r="AY587">
        <v>0</v>
      </c>
      <c r="AZ587">
        <v>0</v>
      </c>
      <c r="BA587">
        <v>0</v>
      </c>
      <c r="BB587">
        <v>0</v>
      </c>
      <c r="BC587">
        <v>0</v>
      </c>
      <c r="BD587">
        <v>0</v>
      </c>
      <c r="BE587">
        <v>0</v>
      </c>
      <c r="BF587">
        <v>0</v>
      </c>
      <c r="BG587">
        <v>0</v>
      </c>
      <c r="BH587">
        <v>0</v>
      </c>
      <c r="BI587">
        <v>0</v>
      </c>
      <c r="BJ587">
        <v>0</v>
      </c>
      <c r="BK587">
        <v>0</v>
      </c>
      <c r="BL587">
        <v>0</v>
      </c>
      <c r="BM587">
        <v>0</v>
      </c>
      <c r="BN587">
        <v>0</v>
      </c>
      <c r="BO587">
        <v>0</v>
      </c>
      <c r="BP587">
        <v>0</v>
      </c>
      <c r="BQ587">
        <v>0</v>
      </c>
      <c r="BR587">
        <v>0</v>
      </c>
      <c r="BS587">
        <v>0</v>
      </c>
    </row>
    <row r="588" spans="1:71" x14ac:dyDescent="0.3">
      <c r="A588" t="s">
        <v>2638</v>
      </c>
      <c r="B588" t="s">
        <v>2639</v>
      </c>
      <c r="C588" t="s">
        <v>29</v>
      </c>
      <c r="D588" t="s">
        <v>29</v>
      </c>
      <c r="E588" t="s">
        <v>2640</v>
      </c>
      <c r="F588" t="s">
        <v>2641</v>
      </c>
      <c r="G588">
        <v>2018</v>
      </c>
      <c r="H588">
        <v>2018</v>
      </c>
      <c r="I588" t="s">
        <v>29</v>
      </c>
      <c r="J588" t="s">
        <v>29</v>
      </c>
      <c r="K588" t="s">
        <v>29</v>
      </c>
      <c r="L588" t="s">
        <v>29</v>
      </c>
      <c r="M588" t="s">
        <v>29</v>
      </c>
      <c r="N588">
        <v>319</v>
      </c>
      <c r="O588">
        <v>324</v>
      </c>
      <c r="P588" t="s">
        <v>29</v>
      </c>
      <c r="Q588" t="s">
        <v>29</v>
      </c>
      <c r="R588" t="s">
        <v>2642</v>
      </c>
      <c r="S588" t="s">
        <v>2643</v>
      </c>
      <c r="T588">
        <v>0</v>
      </c>
      <c r="U588">
        <v>0</v>
      </c>
      <c r="V588">
        <v>0</v>
      </c>
      <c r="W588">
        <v>0</v>
      </c>
      <c r="X588">
        <v>0</v>
      </c>
      <c r="Y588">
        <v>0</v>
      </c>
      <c r="Z588">
        <v>0</v>
      </c>
      <c r="AA588">
        <v>0</v>
      </c>
      <c r="AB588">
        <v>0</v>
      </c>
      <c r="AC588">
        <v>0</v>
      </c>
      <c r="AD588">
        <v>0</v>
      </c>
      <c r="AE588">
        <v>0</v>
      </c>
      <c r="AF588">
        <v>0</v>
      </c>
      <c r="AG588">
        <v>0</v>
      </c>
      <c r="AH588">
        <v>0</v>
      </c>
      <c r="AI588">
        <v>0</v>
      </c>
      <c r="AJ588">
        <v>0</v>
      </c>
      <c r="AK588">
        <v>0</v>
      </c>
      <c r="AL588">
        <v>0</v>
      </c>
      <c r="AM588">
        <v>0</v>
      </c>
      <c r="AN588">
        <v>0</v>
      </c>
      <c r="AO588">
        <v>0</v>
      </c>
      <c r="AP588">
        <v>0</v>
      </c>
      <c r="AQ588">
        <v>0</v>
      </c>
      <c r="AR588">
        <v>0</v>
      </c>
      <c r="AS588">
        <v>0</v>
      </c>
      <c r="AT588">
        <v>0</v>
      </c>
      <c r="AU588">
        <v>0</v>
      </c>
      <c r="AV588">
        <v>0</v>
      </c>
      <c r="AW588">
        <v>0</v>
      </c>
      <c r="AX588">
        <v>0</v>
      </c>
      <c r="AY588">
        <v>0</v>
      </c>
      <c r="AZ588">
        <v>0</v>
      </c>
      <c r="BA588">
        <v>0</v>
      </c>
      <c r="BB588">
        <v>0</v>
      </c>
      <c r="BC588">
        <v>0</v>
      </c>
      <c r="BD588">
        <v>0</v>
      </c>
      <c r="BE588">
        <v>0</v>
      </c>
      <c r="BF588">
        <v>0</v>
      </c>
      <c r="BG588">
        <v>0</v>
      </c>
      <c r="BH588">
        <v>0</v>
      </c>
      <c r="BI588">
        <v>0</v>
      </c>
      <c r="BJ588">
        <v>0</v>
      </c>
      <c r="BK588">
        <v>0</v>
      </c>
      <c r="BL588">
        <v>0</v>
      </c>
      <c r="BM588">
        <v>0</v>
      </c>
      <c r="BN588">
        <v>0</v>
      </c>
      <c r="BO588">
        <v>0</v>
      </c>
      <c r="BP588">
        <v>0</v>
      </c>
      <c r="BQ588">
        <v>0</v>
      </c>
      <c r="BR588">
        <v>0</v>
      </c>
      <c r="BS588">
        <v>0</v>
      </c>
    </row>
    <row r="589" spans="1:71" x14ac:dyDescent="0.3">
      <c r="A589" t="s">
        <v>2644</v>
      </c>
      <c r="B589" t="s">
        <v>2645</v>
      </c>
      <c r="C589" t="s">
        <v>29</v>
      </c>
      <c r="D589" t="s">
        <v>29</v>
      </c>
      <c r="E589" t="s">
        <v>1228</v>
      </c>
      <c r="F589" t="s">
        <v>2613</v>
      </c>
      <c r="G589">
        <v>2018</v>
      </c>
      <c r="H589">
        <v>2018</v>
      </c>
      <c r="I589" t="s">
        <v>29</v>
      </c>
      <c r="J589" t="s">
        <v>29</v>
      </c>
      <c r="K589" t="s">
        <v>29</v>
      </c>
      <c r="L589" t="s">
        <v>29</v>
      </c>
      <c r="M589" t="s">
        <v>29</v>
      </c>
      <c r="N589">
        <v>2631</v>
      </c>
      <c r="O589">
        <v>2639</v>
      </c>
      <c r="P589" t="s">
        <v>29</v>
      </c>
      <c r="Q589" t="s">
        <v>29</v>
      </c>
      <c r="R589" t="s">
        <v>2614</v>
      </c>
      <c r="S589" t="s">
        <v>2615</v>
      </c>
      <c r="T589">
        <v>0</v>
      </c>
      <c r="U589">
        <v>0</v>
      </c>
      <c r="V589">
        <v>0</v>
      </c>
      <c r="W589">
        <v>0</v>
      </c>
      <c r="X589">
        <v>0</v>
      </c>
      <c r="Y589">
        <v>0</v>
      </c>
      <c r="Z589">
        <v>0</v>
      </c>
      <c r="AA589">
        <v>0</v>
      </c>
      <c r="AB589">
        <v>0</v>
      </c>
      <c r="AC589">
        <v>0</v>
      </c>
      <c r="AD589">
        <v>0</v>
      </c>
      <c r="AE589">
        <v>0</v>
      </c>
      <c r="AF589">
        <v>0</v>
      </c>
      <c r="AG589">
        <v>0</v>
      </c>
      <c r="AH589">
        <v>0</v>
      </c>
      <c r="AI589">
        <v>0</v>
      </c>
      <c r="AJ589">
        <v>0</v>
      </c>
      <c r="AK589">
        <v>0</v>
      </c>
      <c r="AL589">
        <v>0</v>
      </c>
      <c r="AM589">
        <v>0</v>
      </c>
      <c r="AN589">
        <v>0</v>
      </c>
      <c r="AO589">
        <v>0</v>
      </c>
      <c r="AP589">
        <v>0</v>
      </c>
      <c r="AQ589">
        <v>0</v>
      </c>
      <c r="AR589">
        <v>0</v>
      </c>
      <c r="AS589">
        <v>0</v>
      </c>
      <c r="AT589">
        <v>0</v>
      </c>
      <c r="AU589">
        <v>0</v>
      </c>
      <c r="AV589">
        <v>0</v>
      </c>
      <c r="AW589">
        <v>0</v>
      </c>
      <c r="AX589">
        <v>0</v>
      </c>
      <c r="AY589">
        <v>0</v>
      </c>
      <c r="AZ589">
        <v>0</v>
      </c>
      <c r="BA589">
        <v>0</v>
      </c>
      <c r="BB589">
        <v>0</v>
      </c>
      <c r="BC589">
        <v>0</v>
      </c>
      <c r="BD589">
        <v>0</v>
      </c>
      <c r="BE589">
        <v>0</v>
      </c>
      <c r="BF589">
        <v>0</v>
      </c>
      <c r="BG589">
        <v>0</v>
      </c>
      <c r="BH589">
        <v>0</v>
      </c>
      <c r="BI589">
        <v>0</v>
      </c>
      <c r="BJ589">
        <v>0</v>
      </c>
      <c r="BK589">
        <v>0</v>
      </c>
      <c r="BL589">
        <v>0</v>
      </c>
      <c r="BM589">
        <v>0</v>
      </c>
      <c r="BN589">
        <v>0</v>
      </c>
      <c r="BO589">
        <v>0</v>
      </c>
      <c r="BP589">
        <v>0</v>
      </c>
      <c r="BQ589">
        <v>0</v>
      </c>
      <c r="BR589">
        <v>0</v>
      </c>
      <c r="BS589">
        <v>0</v>
      </c>
    </row>
    <row r="590" spans="1:71" x14ac:dyDescent="0.3">
      <c r="A590" t="s">
        <v>2646</v>
      </c>
      <c r="B590" t="s">
        <v>2647</v>
      </c>
      <c r="C590" t="s">
        <v>29</v>
      </c>
      <c r="D590" t="s">
        <v>29</v>
      </c>
      <c r="E590" t="s">
        <v>1228</v>
      </c>
      <c r="F590" t="s">
        <v>1234</v>
      </c>
      <c r="G590">
        <v>2017</v>
      </c>
      <c r="H590">
        <v>2017</v>
      </c>
      <c r="I590" t="s">
        <v>29</v>
      </c>
      <c r="J590" t="s">
        <v>29</v>
      </c>
      <c r="K590" t="s">
        <v>29</v>
      </c>
      <c r="L590" t="s">
        <v>29</v>
      </c>
      <c r="M590" t="s">
        <v>29</v>
      </c>
      <c r="N590">
        <v>5850</v>
      </c>
      <c r="O590">
        <v>5857</v>
      </c>
      <c r="P590" t="s">
        <v>29</v>
      </c>
      <c r="Q590" t="s">
        <v>29</v>
      </c>
      <c r="R590" t="s">
        <v>1235</v>
      </c>
      <c r="S590" t="s">
        <v>1236</v>
      </c>
      <c r="T590">
        <v>0</v>
      </c>
      <c r="U590">
        <v>0</v>
      </c>
      <c r="V590">
        <v>0</v>
      </c>
      <c r="W590">
        <v>0</v>
      </c>
      <c r="X590">
        <v>0</v>
      </c>
      <c r="Y590">
        <v>0</v>
      </c>
      <c r="Z590">
        <v>0</v>
      </c>
      <c r="AA590">
        <v>0</v>
      </c>
      <c r="AB590">
        <v>0</v>
      </c>
      <c r="AC590">
        <v>0</v>
      </c>
      <c r="AD590">
        <v>0</v>
      </c>
      <c r="AE590">
        <v>0</v>
      </c>
      <c r="AF590">
        <v>0</v>
      </c>
      <c r="AG590">
        <v>0</v>
      </c>
      <c r="AH590">
        <v>0</v>
      </c>
      <c r="AI590">
        <v>0</v>
      </c>
      <c r="AJ590">
        <v>0</v>
      </c>
      <c r="AK590">
        <v>0</v>
      </c>
      <c r="AL590">
        <v>0</v>
      </c>
      <c r="AM590">
        <v>0</v>
      </c>
      <c r="AN590">
        <v>0</v>
      </c>
      <c r="AO590">
        <v>0</v>
      </c>
      <c r="AP590">
        <v>0</v>
      </c>
      <c r="AQ590">
        <v>0</v>
      </c>
      <c r="AR590">
        <v>0</v>
      </c>
      <c r="AS590">
        <v>0</v>
      </c>
      <c r="AT590">
        <v>0</v>
      </c>
      <c r="AU590">
        <v>0</v>
      </c>
      <c r="AV590">
        <v>0</v>
      </c>
      <c r="AW590">
        <v>0</v>
      </c>
      <c r="AX590">
        <v>0</v>
      </c>
      <c r="AY590">
        <v>0</v>
      </c>
      <c r="AZ590">
        <v>0</v>
      </c>
      <c r="BA590">
        <v>0</v>
      </c>
      <c r="BB590">
        <v>0</v>
      </c>
      <c r="BC590">
        <v>0</v>
      </c>
      <c r="BD590">
        <v>0</v>
      </c>
      <c r="BE590">
        <v>0</v>
      </c>
      <c r="BF590">
        <v>0</v>
      </c>
      <c r="BG590">
        <v>0</v>
      </c>
      <c r="BH590">
        <v>0</v>
      </c>
      <c r="BI590">
        <v>0</v>
      </c>
      <c r="BJ590">
        <v>0</v>
      </c>
      <c r="BK590">
        <v>0</v>
      </c>
      <c r="BL590">
        <v>0</v>
      </c>
      <c r="BM590">
        <v>0</v>
      </c>
      <c r="BN590">
        <v>0</v>
      </c>
      <c r="BO590">
        <v>0</v>
      </c>
      <c r="BP590">
        <v>0</v>
      </c>
      <c r="BQ590">
        <v>0</v>
      </c>
      <c r="BR590">
        <v>0</v>
      </c>
      <c r="BS590">
        <v>0</v>
      </c>
    </row>
    <row r="591" spans="1:71" x14ac:dyDescent="0.3">
      <c r="A591" t="s">
        <v>2648</v>
      </c>
      <c r="B591" t="s">
        <v>2649</v>
      </c>
      <c r="C591" t="s">
        <v>29</v>
      </c>
      <c r="D591" t="s">
        <v>29</v>
      </c>
      <c r="E591" t="s">
        <v>29</v>
      </c>
      <c r="F591" t="s">
        <v>2650</v>
      </c>
      <c r="G591">
        <v>2017</v>
      </c>
      <c r="H591">
        <v>2017</v>
      </c>
      <c r="I591" t="s">
        <v>29</v>
      </c>
      <c r="J591" t="s">
        <v>29</v>
      </c>
      <c r="K591" t="s">
        <v>29</v>
      </c>
      <c r="L591" t="s">
        <v>29</v>
      </c>
      <c r="M591" t="s">
        <v>29</v>
      </c>
      <c r="N591">
        <v>71</v>
      </c>
      <c r="O591">
        <v>76</v>
      </c>
      <c r="P591" t="s">
        <v>29</v>
      </c>
      <c r="Q591" t="s">
        <v>29</v>
      </c>
      <c r="R591" t="s">
        <v>2651</v>
      </c>
      <c r="S591" t="s">
        <v>2652</v>
      </c>
      <c r="T591">
        <v>0</v>
      </c>
      <c r="U591">
        <v>0</v>
      </c>
      <c r="V591">
        <v>0</v>
      </c>
      <c r="W591">
        <v>0</v>
      </c>
      <c r="X591">
        <v>0</v>
      </c>
      <c r="Y591">
        <v>0</v>
      </c>
      <c r="Z591">
        <v>0</v>
      </c>
      <c r="AA591">
        <v>0</v>
      </c>
      <c r="AB591">
        <v>0</v>
      </c>
      <c r="AC591">
        <v>0</v>
      </c>
      <c r="AD591">
        <v>0</v>
      </c>
      <c r="AE591">
        <v>0</v>
      </c>
      <c r="AF591">
        <v>0</v>
      </c>
      <c r="AG591">
        <v>0</v>
      </c>
      <c r="AH591">
        <v>0</v>
      </c>
      <c r="AI591">
        <v>0</v>
      </c>
      <c r="AJ591">
        <v>0</v>
      </c>
      <c r="AK591">
        <v>0</v>
      </c>
      <c r="AL591">
        <v>0</v>
      </c>
      <c r="AM591">
        <v>0</v>
      </c>
      <c r="AN591">
        <v>0</v>
      </c>
      <c r="AO591">
        <v>0</v>
      </c>
      <c r="AP591">
        <v>0</v>
      </c>
      <c r="AQ591">
        <v>0</v>
      </c>
      <c r="AR591">
        <v>0</v>
      </c>
      <c r="AS591">
        <v>0</v>
      </c>
      <c r="AT591">
        <v>0</v>
      </c>
      <c r="AU591">
        <v>0</v>
      </c>
      <c r="AV591">
        <v>0</v>
      </c>
      <c r="AW591">
        <v>0</v>
      </c>
      <c r="AX591">
        <v>0</v>
      </c>
      <c r="AY591">
        <v>0</v>
      </c>
      <c r="AZ591">
        <v>0</v>
      </c>
      <c r="BA591">
        <v>0</v>
      </c>
      <c r="BB591">
        <v>0</v>
      </c>
      <c r="BC591">
        <v>0</v>
      </c>
      <c r="BD591">
        <v>0</v>
      </c>
      <c r="BE591">
        <v>0</v>
      </c>
      <c r="BF591">
        <v>0</v>
      </c>
      <c r="BG591">
        <v>0</v>
      </c>
      <c r="BH591">
        <v>0</v>
      </c>
      <c r="BI591">
        <v>0</v>
      </c>
      <c r="BJ591">
        <v>0</v>
      </c>
      <c r="BK591">
        <v>0</v>
      </c>
      <c r="BL591">
        <v>0</v>
      </c>
      <c r="BM591">
        <v>0</v>
      </c>
      <c r="BN591">
        <v>0</v>
      </c>
      <c r="BO591">
        <v>0</v>
      </c>
      <c r="BP591">
        <v>0</v>
      </c>
      <c r="BQ591">
        <v>0</v>
      </c>
      <c r="BR591">
        <v>0</v>
      </c>
      <c r="BS591">
        <v>0</v>
      </c>
    </row>
    <row r="592" spans="1:71" x14ac:dyDescent="0.3">
      <c r="A592" t="s">
        <v>2653</v>
      </c>
      <c r="B592" t="s">
        <v>2654</v>
      </c>
      <c r="C592" t="s">
        <v>29</v>
      </c>
      <c r="D592" t="s">
        <v>29</v>
      </c>
      <c r="E592" t="s">
        <v>1228</v>
      </c>
      <c r="F592" t="s">
        <v>1229</v>
      </c>
      <c r="G592">
        <v>2017</v>
      </c>
      <c r="H592">
        <v>2017</v>
      </c>
      <c r="I592" t="s">
        <v>29</v>
      </c>
      <c r="J592" t="s">
        <v>29</v>
      </c>
      <c r="K592" t="s">
        <v>29</v>
      </c>
      <c r="L592" t="s">
        <v>29</v>
      </c>
      <c r="M592" t="s">
        <v>29</v>
      </c>
      <c r="N592">
        <v>2592</v>
      </c>
      <c r="O592">
        <v>2597</v>
      </c>
      <c r="P592" t="s">
        <v>29</v>
      </c>
      <c r="Q592" t="s">
        <v>29</v>
      </c>
      <c r="R592" t="s">
        <v>1230</v>
      </c>
      <c r="S592" t="s">
        <v>1231</v>
      </c>
      <c r="T592">
        <v>0</v>
      </c>
      <c r="U592">
        <v>0</v>
      </c>
      <c r="V592">
        <v>0</v>
      </c>
      <c r="W592">
        <v>0</v>
      </c>
      <c r="X592">
        <v>0</v>
      </c>
      <c r="Y592">
        <v>0</v>
      </c>
      <c r="Z592">
        <v>0</v>
      </c>
      <c r="AA592">
        <v>0</v>
      </c>
      <c r="AB592">
        <v>0</v>
      </c>
      <c r="AC592">
        <v>0</v>
      </c>
      <c r="AD592">
        <v>0</v>
      </c>
      <c r="AE592">
        <v>0</v>
      </c>
      <c r="AF592">
        <v>0</v>
      </c>
      <c r="AG592">
        <v>0</v>
      </c>
      <c r="AH592">
        <v>0</v>
      </c>
      <c r="AI592">
        <v>0</v>
      </c>
      <c r="AJ592">
        <v>0</v>
      </c>
      <c r="AK592">
        <v>0</v>
      </c>
      <c r="AL592">
        <v>0</v>
      </c>
      <c r="AM592">
        <v>0</v>
      </c>
      <c r="AN592">
        <v>0</v>
      </c>
      <c r="AO592">
        <v>0</v>
      </c>
      <c r="AP592">
        <v>0</v>
      </c>
      <c r="AQ592">
        <v>0</v>
      </c>
      <c r="AR592">
        <v>0</v>
      </c>
      <c r="AS592">
        <v>0</v>
      </c>
      <c r="AT592">
        <v>0</v>
      </c>
      <c r="AU592">
        <v>0</v>
      </c>
      <c r="AV592">
        <v>0</v>
      </c>
      <c r="AW592">
        <v>0</v>
      </c>
      <c r="AX592">
        <v>0</v>
      </c>
      <c r="AY592">
        <v>0</v>
      </c>
      <c r="AZ592">
        <v>0</v>
      </c>
      <c r="BA592">
        <v>0</v>
      </c>
      <c r="BB592">
        <v>0</v>
      </c>
      <c r="BC592">
        <v>0</v>
      </c>
      <c r="BD592">
        <v>0</v>
      </c>
      <c r="BE592">
        <v>0</v>
      </c>
      <c r="BF592">
        <v>0</v>
      </c>
      <c r="BG592">
        <v>0</v>
      </c>
      <c r="BH592">
        <v>0</v>
      </c>
      <c r="BI592">
        <v>0</v>
      </c>
      <c r="BJ592">
        <v>0</v>
      </c>
      <c r="BK592">
        <v>0</v>
      </c>
      <c r="BL592">
        <v>0</v>
      </c>
      <c r="BM592">
        <v>0</v>
      </c>
      <c r="BN592">
        <v>0</v>
      </c>
      <c r="BO592">
        <v>0</v>
      </c>
      <c r="BP592">
        <v>0</v>
      </c>
      <c r="BQ592">
        <v>0</v>
      </c>
      <c r="BR592">
        <v>0</v>
      </c>
      <c r="BS592">
        <v>0</v>
      </c>
    </row>
    <row r="593" spans="1:71" x14ac:dyDescent="0.3">
      <c r="A593" t="s">
        <v>2655</v>
      </c>
      <c r="B593" t="s">
        <v>2656</v>
      </c>
      <c r="C593" t="s">
        <v>29</v>
      </c>
      <c r="D593" t="s">
        <v>29</v>
      </c>
      <c r="E593" t="s">
        <v>1228</v>
      </c>
      <c r="F593" t="s">
        <v>2657</v>
      </c>
      <c r="G593">
        <v>2017</v>
      </c>
      <c r="H593">
        <v>2017</v>
      </c>
      <c r="I593" t="s">
        <v>29</v>
      </c>
      <c r="J593" t="s">
        <v>29</v>
      </c>
      <c r="K593" t="s">
        <v>29</v>
      </c>
      <c r="L593" t="s">
        <v>29</v>
      </c>
      <c r="M593" t="s">
        <v>29</v>
      </c>
      <c r="N593">
        <v>8377</v>
      </c>
      <c r="O593">
        <v>8381</v>
      </c>
      <c r="P593" t="s">
        <v>29</v>
      </c>
      <c r="Q593" t="s">
        <v>29</v>
      </c>
      <c r="R593" t="s">
        <v>2658</v>
      </c>
      <c r="S593" t="s">
        <v>2659</v>
      </c>
      <c r="T593">
        <v>0</v>
      </c>
      <c r="U593">
        <v>0</v>
      </c>
      <c r="V593">
        <v>0</v>
      </c>
      <c r="W593">
        <v>0</v>
      </c>
      <c r="X593">
        <v>0</v>
      </c>
      <c r="Y593">
        <v>0</v>
      </c>
      <c r="Z593">
        <v>0</v>
      </c>
      <c r="AA593">
        <v>0</v>
      </c>
      <c r="AB593">
        <v>0</v>
      </c>
      <c r="AC593">
        <v>0</v>
      </c>
      <c r="AD593">
        <v>0</v>
      </c>
      <c r="AE593">
        <v>0</v>
      </c>
      <c r="AF593">
        <v>0</v>
      </c>
      <c r="AG593">
        <v>0</v>
      </c>
      <c r="AH593">
        <v>0</v>
      </c>
      <c r="AI593">
        <v>0</v>
      </c>
      <c r="AJ593">
        <v>0</v>
      </c>
      <c r="AK593">
        <v>0</v>
      </c>
      <c r="AL593">
        <v>0</v>
      </c>
      <c r="AM593">
        <v>0</v>
      </c>
      <c r="AN593">
        <v>0</v>
      </c>
      <c r="AO593">
        <v>0</v>
      </c>
      <c r="AP593">
        <v>0</v>
      </c>
      <c r="AQ593">
        <v>0</v>
      </c>
      <c r="AR593">
        <v>0</v>
      </c>
      <c r="AS593">
        <v>0</v>
      </c>
      <c r="AT593">
        <v>0</v>
      </c>
      <c r="AU593">
        <v>0</v>
      </c>
      <c r="AV593">
        <v>0</v>
      </c>
      <c r="AW593">
        <v>0</v>
      </c>
      <c r="AX593">
        <v>0</v>
      </c>
      <c r="AY593">
        <v>0</v>
      </c>
      <c r="AZ593">
        <v>0</v>
      </c>
      <c r="BA593">
        <v>0</v>
      </c>
      <c r="BB593">
        <v>0</v>
      </c>
      <c r="BC593">
        <v>0</v>
      </c>
      <c r="BD593">
        <v>0</v>
      </c>
      <c r="BE593">
        <v>0</v>
      </c>
      <c r="BF593">
        <v>0</v>
      </c>
      <c r="BG593">
        <v>0</v>
      </c>
      <c r="BH593">
        <v>0</v>
      </c>
      <c r="BI593">
        <v>0</v>
      </c>
      <c r="BJ593">
        <v>0</v>
      </c>
      <c r="BK593">
        <v>0</v>
      </c>
      <c r="BL593">
        <v>0</v>
      </c>
      <c r="BM593">
        <v>0</v>
      </c>
      <c r="BN593">
        <v>0</v>
      </c>
      <c r="BO593">
        <v>0</v>
      </c>
      <c r="BP593">
        <v>0</v>
      </c>
      <c r="BQ593">
        <v>0</v>
      </c>
      <c r="BR593">
        <v>0</v>
      </c>
      <c r="BS593">
        <v>0</v>
      </c>
    </row>
    <row r="594" spans="1:71" x14ac:dyDescent="0.3">
      <c r="A594" t="s">
        <v>2660</v>
      </c>
      <c r="B594" t="s">
        <v>2661</v>
      </c>
      <c r="C594" t="s">
        <v>29</v>
      </c>
      <c r="D594" t="s">
        <v>29</v>
      </c>
      <c r="E594" t="s">
        <v>1228</v>
      </c>
      <c r="F594" t="s">
        <v>2657</v>
      </c>
      <c r="G594">
        <v>2017</v>
      </c>
      <c r="H594">
        <v>2017</v>
      </c>
      <c r="I594" t="s">
        <v>29</v>
      </c>
      <c r="J594" t="s">
        <v>29</v>
      </c>
      <c r="K594" t="s">
        <v>29</v>
      </c>
      <c r="L594" t="s">
        <v>29</v>
      </c>
      <c r="M594" t="s">
        <v>29</v>
      </c>
      <c r="N594">
        <v>2227</v>
      </c>
      <c r="O594">
        <v>2230</v>
      </c>
      <c r="P594" t="s">
        <v>29</v>
      </c>
      <c r="Q594" t="s">
        <v>29</v>
      </c>
      <c r="R594" t="s">
        <v>2658</v>
      </c>
      <c r="S594" t="s">
        <v>2659</v>
      </c>
      <c r="T594">
        <v>0</v>
      </c>
      <c r="U594">
        <v>0</v>
      </c>
      <c r="V594">
        <v>0</v>
      </c>
      <c r="W594">
        <v>0</v>
      </c>
      <c r="X594">
        <v>0</v>
      </c>
      <c r="Y594">
        <v>0</v>
      </c>
      <c r="Z594">
        <v>0</v>
      </c>
      <c r="AA594">
        <v>0</v>
      </c>
      <c r="AB594">
        <v>0</v>
      </c>
      <c r="AC594">
        <v>0</v>
      </c>
      <c r="AD594">
        <v>0</v>
      </c>
      <c r="AE594">
        <v>0</v>
      </c>
      <c r="AF594">
        <v>0</v>
      </c>
      <c r="AG594">
        <v>0</v>
      </c>
      <c r="AH594">
        <v>0</v>
      </c>
      <c r="AI594">
        <v>0</v>
      </c>
      <c r="AJ594">
        <v>0</v>
      </c>
      <c r="AK594">
        <v>0</v>
      </c>
      <c r="AL594">
        <v>0</v>
      </c>
      <c r="AM594">
        <v>0</v>
      </c>
      <c r="AN594">
        <v>0</v>
      </c>
      <c r="AO594">
        <v>0</v>
      </c>
      <c r="AP594">
        <v>0</v>
      </c>
      <c r="AQ594">
        <v>0</v>
      </c>
      <c r="AR594">
        <v>0</v>
      </c>
      <c r="AS594">
        <v>0</v>
      </c>
      <c r="AT594">
        <v>0</v>
      </c>
      <c r="AU594">
        <v>0</v>
      </c>
      <c r="AV594">
        <v>0</v>
      </c>
      <c r="AW594">
        <v>0</v>
      </c>
      <c r="AX594">
        <v>0</v>
      </c>
      <c r="AY594">
        <v>0</v>
      </c>
      <c r="AZ594">
        <v>0</v>
      </c>
      <c r="BA594">
        <v>0</v>
      </c>
      <c r="BB594">
        <v>0</v>
      </c>
      <c r="BC594">
        <v>0</v>
      </c>
      <c r="BD594">
        <v>0</v>
      </c>
      <c r="BE594">
        <v>0</v>
      </c>
      <c r="BF594">
        <v>0</v>
      </c>
      <c r="BG594">
        <v>0</v>
      </c>
      <c r="BH594">
        <v>0</v>
      </c>
      <c r="BI594">
        <v>0</v>
      </c>
      <c r="BJ594">
        <v>0</v>
      </c>
      <c r="BK594">
        <v>0</v>
      </c>
      <c r="BL594">
        <v>0</v>
      </c>
      <c r="BM594">
        <v>0</v>
      </c>
      <c r="BN594">
        <v>0</v>
      </c>
      <c r="BO594">
        <v>0</v>
      </c>
      <c r="BP594">
        <v>0</v>
      </c>
      <c r="BQ594">
        <v>0</v>
      </c>
      <c r="BR594">
        <v>0</v>
      </c>
      <c r="BS594">
        <v>0</v>
      </c>
    </row>
    <row r="595" spans="1:71" x14ac:dyDescent="0.3">
      <c r="A595" t="s">
        <v>2662</v>
      </c>
      <c r="B595" t="s">
        <v>2663</v>
      </c>
      <c r="C595" t="s">
        <v>29</v>
      </c>
      <c r="D595" t="s">
        <v>29</v>
      </c>
      <c r="E595" t="s">
        <v>29</v>
      </c>
      <c r="F595" t="s">
        <v>2664</v>
      </c>
      <c r="G595">
        <v>2017</v>
      </c>
      <c r="H595">
        <v>2017</v>
      </c>
      <c r="I595" t="s">
        <v>29</v>
      </c>
      <c r="J595">
        <v>5</v>
      </c>
      <c r="K595" t="s">
        <v>29</v>
      </c>
      <c r="L595" t="s">
        <v>29</v>
      </c>
      <c r="M595" t="s">
        <v>29</v>
      </c>
      <c r="N595">
        <v>104</v>
      </c>
      <c r="O595">
        <v>107</v>
      </c>
      <c r="P595" t="s">
        <v>29</v>
      </c>
      <c r="Q595" t="s">
        <v>2665</v>
      </c>
      <c r="R595" t="s">
        <v>29</v>
      </c>
      <c r="S595" t="s">
        <v>29</v>
      </c>
      <c r="T595">
        <v>0</v>
      </c>
      <c r="U595">
        <v>0</v>
      </c>
      <c r="V595">
        <v>0</v>
      </c>
      <c r="W595">
        <v>0</v>
      </c>
      <c r="X595">
        <v>0</v>
      </c>
      <c r="Y595">
        <v>0</v>
      </c>
      <c r="Z595">
        <v>0</v>
      </c>
      <c r="AA595">
        <v>0</v>
      </c>
      <c r="AB595">
        <v>0</v>
      </c>
      <c r="AC595">
        <v>0</v>
      </c>
      <c r="AD595">
        <v>0</v>
      </c>
      <c r="AE595">
        <v>0</v>
      </c>
      <c r="AF595">
        <v>0</v>
      </c>
      <c r="AG595">
        <v>0</v>
      </c>
      <c r="AH595">
        <v>0</v>
      </c>
      <c r="AI595">
        <v>0</v>
      </c>
      <c r="AJ595">
        <v>0</v>
      </c>
      <c r="AK595">
        <v>0</v>
      </c>
      <c r="AL595">
        <v>0</v>
      </c>
      <c r="AM595">
        <v>0</v>
      </c>
      <c r="AN595">
        <v>0</v>
      </c>
      <c r="AO595">
        <v>0</v>
      </c>
      <c r="AP595">
        <v>0</v>
      </c>
      <c r="AQ595">
        <v>0</v>
      </c>
      <c r="AR595">
        <v>0</v>
      </c>
      <c r="AS595">
        <v>0</v>
      </c>
      <c r="AT595">
        <v>0</v>
      </c>
      <c r="AU595">
        <v>0</v>
      </c>
      <c r="AV595">
        <v>0</v>
      </c>
      <c r="AW595">
        <v>0</v>
      </c>
      <c r="AX595">
        <v>0</v>
      </c>
      <c r="AY595">
        <v>0</v>
      </c>
      <c r="AZ595">
        <v>0</v>
      </c>
      <c r="BA595">
        <v>0</v>
      </c>
      <c r="BB595">
        <v>0</v>
      </c>
      <c r="BC595">
        <v>0</v>
      </c>
      <c r="BD595">
        <v>0</v>
      </c>
      <c r="BE595">
        <v>0</v>
      </c>
      <c r="BF595">
        <v>0</v>
      </c>
      <c r="BG595">
        <v>0</v>
      </c>
      <c r="BH595">
        <v>0</v>
      </c>
      <c r="BI595">
        <v>0</v>
      </c>
      <c r="BJ595">
        <v>0</v>
      </c>
      <c r="BK595">
        <v>0</v>
      </c>
      <c r="BL595">
        <v>0</v>
      </c>
      <c r="BM595">
        <v>0</v>
      </c>
      <c r="BN595">
        <v>0</v>
      </c>
      <c r="BO595">
        <v>0</v>
      </c>
      <c r="BP595">
        <v>0</v>
      </c>
      <c r="BQ595">
        <v>0</v>
      </c>
      <c r="BR595">
        <v>0</v>
      </c>
      <c r="BS595">
        <v>0</v>
      </c>
    </row>
    <row r="596" spans="1:71" x14ac:dyDescent="0.3">
      <c r="A596" t="s">
        <v>2666</v>
      </c>
      <c r="B596" t="s">
        <v>2667</v>
      </c>
      <c r="C596" t="s">
        <v>29</v>
      </c>
      <c r="D596" t="s">
        <v>29</v>
      </c>
      <c r="E596" t="s">
        <v>1228</v>
      </c>
      <c r="F596" t="s">
        <v>1229</v>
      </c>
      <c r="G596">
        <v>2017</v>
      </c>
      <c r="H596">
        <v>2017</v>
      </c>
      <c r="I596" t="s">
        <v>29</v>
      </c>
      <c r="J596" t="s">
        <v>29</v>
      </c>
      <c r="K596" t="s">
        <v>29</v>
      </c>
      <c r="L596" t="s">
        <v>29</v>
      </c>
      <c r="M596" t="s">
        <v>29</v>
      </c>
      <c r="N596">
        <v>4213</v>
      </c>
      <c r="O596">
        <v>4222</v>
      </c>
      <c r="P596" t="s">
        <v>29</v>
      </c>
      <c r="Q596" t="s">
        <v>29</v>
      </c>
      <c r="R596" t="s">
        <v>1230</v>
      </c>
      <c r="S596" t="s">
        <v>1231</v>
      </c>
      <c r="T596">
        <v>0</v>
      </c>
      <c r="U596">
        <v>0</v>
      </c>
      <c r="V596">
        <v>0</v>
      </c>
      <c r="W596">
        <v>0</v>
      </c>
      <c r="X596">
        <v>0</v>
      </c>
      <c r="Y596">
        <v>0</v>
      </c>
      <c r="Z596">
        <v>0</v>
      </c>
      <c r="AA596">
        <v>0</v>
      </c>
      <c r="AB596">
        <v>0</v>
      </c>
      <c r="AC596">
        <v>0</v>
      </c>
      <c r="AD596">
        <v>0</v>
      </c>
      <c r="AE596">
        <v>0</v>
      </c>
      <c r="AF596">
        <v>0</v>
      </c>
      <c r="AG596">
        <v>0</v>
      </c>
      <c r="AH596">
        <v>0</v>
      </c>
      <c r="AI596">
        <v>0</v>
      </c>
      <c r="AJ596">
        <v>0</v>
      </c>
      <c r="AK596">
        <v>0</v>
      </c>
      <c r="AL596">
        <v>0</v>
      </c>
      <c r="AM596">
        <v>0</v>
      </c>
      <c r="AN596">
        <v>0</v>
      </c>
      <c r="AO596">
        <v>0</v>
      </c>
      <c r="AP596">
        <v>0</v>
      </c>
      <c r="AQ596">
        <v>0</v>
      </c>
      <c r="AR596">
        <v>0</v>
      </c>
      <c r="AS596">
        <v>0</v>
      </c>
      <c r="AT596">
        <v>0</v>
      </c>
      <c r="AU596">
        <v>0</v>
      </c>
      <c r="AV596">
        <v>0</v>
      </c>
      <c r="AW596">
        <v>0</v>
      </c>
      <c r="AX596">
        <v>0</v>
      </c>
      <c r="AY596">
        <v>0</v>
      </c>
      <c r="AZ596">
        <v>0</v>
      </c>
      <c r="BA596">
        <v>0</v>
      </c>
      <c r="BB596">
        <v>0</v>
      </c>
      <c r="BC596">
        <v>0</v>
      </c>
      <c r="BD596">
        <v>0</v>
      </c>
      <c r="BE596">
        <v>0</v>
      </c>
      <c r="BF596">
        <v>0</v>
      </c>
      <c r="BG596">
        <v>0</v>
      </c>
      <c r="BH596">
        <v>0</v>
      </c>
      <c r="BI596">
        <v>0</v>
      </c>
      <c r="BJ596">
        <v>0</v>
      </c>
      <c r="BK596">
        <v>0</v>
      </c>
      <c r="BL596">
        <v>0</v>
      </c>
      <c r="BM596">
        <v>0</v>
      </c>
      <c r="BN596">
        <v>0</v>
      </c>
      <c r="BO596">
        <v>0</v>
      </c>
      <c r="BP596">
        <v>0</v>
      </c>
      <c r="BQ596">
        <v>0</v>
      </c>
      <c r="BR596">
        <v>0</v>
      </c>
      <c r="BS596">
        <v>0</v>
      </c>
    </row>
    <row r="597" spans="1:71" x14ac:dyDescent="0.3">
      <c r="A597" t="s">
        <v>2668</v>
      </c>
      <c r="B597" t="s">
        <v>2669</v>
      </c>
      <c r="C597" t="s">
        <v>29</v>
      </c>
      <c r="D597" t="s">
        <v>29</v>
      </c>
      <c r="E597" t="s">
        <v>1228</v>
      </c>
      <c r="F597" t="s">
        <v>2657</v>
      </c>
      <c r="G597">
        <v>2017</v>
      </c>
      <c r="H597">
        <v>2017</v>
      </c>
      <c r="I597" t="s">
        <v>29</v>
      </c>
      <c r="J597" t="s">
        <v>29</v>
      </c>
      <c r="K597" t="s">
        <v>29</v>
      </c>
      <c r="L597" t="s">
        <v>29</v>
      </c>
      <c r="M597" t="s">
        <v>29</v>
      </c>
      <c r="N597">
        <v>425</v>
      </c>
      <c r="O597">
        <v>429</v>
      </c>
      <c r="P597" t="s">
        <v>29</v>
      </c>
      <c r="Q597" t="s">
        <v>29</v>
      </c>
      <c r="R597" t="s">
        <v>2658</v>
      </c>
      <c r="S597" t="s">
        <v>2659</v>
      </c>
      <c r="T597">
        <v>0</v>
      </c>
      <c r="U597">
        <v>0</v>
      </c>
      <c r="V597">
        <v>0</v>
      </c>
      <c r="W597">
        <v>0</v>
      </c>
      <c r="X597">
        <v>0</v>
      </c>
      <c r="Y597">
        <v>0</v>
      </c>
      <c r="Z597">
        <v>0</v>
      </c>
      <c r="AA597">
        <v>0</v>
      </c>
      <c r="AB597">
        <v>0</v>
      </c>
      <c r="AC597">
        <v>0</v>
      </c>
      <c r="AD597">
        <v>0</v>
      </c>
      <c r="AE597">
        <v>0</v>
      </c>
      <c r="AF597">
        <v>0</v>
      </c>
      <c r="AG597">
        <v>0</v>
      </c>
      <c r="AH597">
        <v>0</v>
      </c>
      <c r="AI597">
        <v>0</v>
      </c>
      <c r="AJ597">
        <v>0</v>
      </c>
      <c r="AK597">
        <v>0</v>
      </c>
      <c r="AL597">
        <v>0</v>
      </c>
      <c r="AM597">
        <v>0</v>
      </c>
      <c r="AN597">
        <v>0</v>
      </c>
      <c r="AO597">
        <v>0</v>
      </c>
      <c r="AP597">
        <v>0</v>
      </c>
      <c r="AQ597">
        <v>0</v>
      </c>
      <c r="AR597">
        <v>0</v>
      </c>
      <c r="AS597">
        <v>0</v>
      </c>
      <c r="AT597">
        <v>0</v>
      </c>
      <c r="AU597">
        <v>0</v>
      </c>
      <c r="AV597">
        <v>0</v>
      </c>
      <c r="AW597">
        <v>0</v>
      </c>
      <c r="AX597">
        <v>0</v>
      </c>
      <c r="AY597">
        <v>0</v>
      </c>
      <c r="AZ597">
        <v>0</v>
      </c>
      <c r="BA597">
        <v>0</v>
      </c>
      <c r="BB597">
        <v>0</v>
      </c>
      <c r="BC597">
        <v>0</v>
      </c>
      <c r="BD597">
        <v>0</v>
      </c>
      <c r="BE597">
        <v>0</v>
      </c>
      <c r="BF597">
        <v>0</v>
      </c>
      <c r="BG597">
        <v>0</v>
      </c>
      <c r="BH597">
        <v>0</v>
      </c>
      <c r="BI597">
        <v>0</v>
      </c>
      <c r="BJ597">
        <v>0</v>
      </c>
      <c r="BK597">
        <v>0</v>
      </c>
      <c r="BL597">
        <v>0</v>
      </c>
      <c r="BM597">
        <v>0</v>
      </c>
      <c r="BN597">
        <v>0</v>
      </c>
      <c r="BO597">
        <v>0</v>
      </c>
      <c r="BP597">
        <v>0</v>
      </c>
      <c r="BQ597">
        <v>0</v>
      </c>
      <c r="BR597">
        <v>0</v>
      </c>
      <c r="BS597">
        <v>0</v>
      </c>
    </row>
    <row r="598" spans="1:71" x14ac:dyDescent="0.3">
      <c r="A598" t="s">
        <v>2670</v>
      </c>
      <c r="B598" t="s">
        <v>2671</v>
      </c>
      <c r="C598" t="s">
        <v>29</v>
      </c>
      <c r="D598" t="s">
        <v>29</v>
      </c>
      <c r="E598" t="s">
        <v>29</v>
      </c>
      <c r="F598" t="s">
        <v>2672</v>
      </c>
      <c r="G598">
        <v>2017</v>
      </c>
      <c r="H598">
        <v>2017</v>
      </c>
      <c r="I598" t="s">
        <v>29</v>
      </c>
      <c r="J598" t="s">
        <v>29</v>
      </c>
      <c r="K598" t="s">
        <v>29</v>
      </c>
      <c r="L598" t="s">
        <v>29</v>
      </c>
      <c r="M598" t="s">
        <v>29</v>
      </c>
      <c r="N598">
        <v>337</v>
      </c>
      <c r="O598">
        <v>341</v>
      </c>
      <c r="P598" t="s">
        <v>29</v>
      </c>
      <c r="Q598" t="s">
        <v>29</v>
      </c>
      <c r="R598" t="s">
        <v>2673</v>
      </c>
      <c r="S598" t="s">
        <v>2674</v>
      </c>
      <c r="T598">
        <v>0</v>
      </c>
      <c r="U598">
        <v>0</v>
      </c>
      <c r="V598">
        <v>0</v>
      </c>
      <c r="W598">
        <v>0</v>
      </c>
      <c r="X598">
        <v>0</v>
      </c>
      <c r="Y598">
        <v>0</v>
      </c>
      <c r="Z598">
        <v>0</v>
      </c>
      <c r="AA598">
        <v>0</v>
      </c>
      <c r="AB598">
        <v>0</v>
      </c>
      <c r="AC598">
        <v>0</v>
      </c>
      <c r="AD598">
        <v>0</v>
      </c>
      <c r="AE598">
        <v>0</v>
      </c>
      <c r="AF598">
        <v>0</v>
      </c>
      <c r="AG598">
        <v>0</v>
      </c>
      <c r="AH598">
        <v>0</v>
      </c>
      <c r="AI598">
        <v>0</v>
      </c>
      <c r="AJ598">
        <v>0</v>
      </c>
      <c r="AK598">
        <v>0</v>
      </c>
      <c r="AL598">
        <v>0</v>
      </c>
      <c r="AM598">
        <v>0</v>
      </c>
      <c r="AN598">
        <v>0</v>
      </c>
      <c r="AO598">
        <v>0</v>
      </c>
      <c r="AP598">
        <v>0</v>
      </c>
      <c r="AQ598">
        <v>0</v>
      </c>
      <c r="AR598">
        <v>0</v>
      </c>
      <c r="AS598">
        <v>0</v>
      </c>
      <c r="AT598">
        <v>0</v>
      </c>
      <c r="AU598">
        <v>0</v>
      </c>
      <c r="AV598">
        <v>0</v>
      </c>
      <c r="AW598">
        <v>0</v>
      </c>
      <c r="AX598">
        <v>0</v>
      </c>
      <c r="AY598">
        <v>0</v>
      </c>
      <c r="AZ598">
        <v>0</v>
      </c>
      <c r="BA598">
        <v>0</v>
      </c>
      <c r="BB598">
        <v>0</v>
      </c>
      <c r="BC598">
        <v>0</v>
      </c>
      <c r="BD598">
        <v>0</v>
      </c>
      <c r="BE598">
        <v>0</v>
      </c>
      <c r="BF598">
        <v>0</v>
      </c>
      <c r="BG598">
        <v>0</v>
      </c>
      <c r="BH598">
        <v>0</v>
      </c>
      <c r="BI598">
        <v>0</v>
      </c>
      <c r="BJ598">
        <v>0</v>
      </c>
      <c r="BK598">
        <v>0</v>
      </c>
      <c r="BL598">
        <v>0</v>
      </c>
      <c r="BM598">
        <v>0</v>
      </c>
      <c r="BN598">
        <v>0</v>
      </c>
      <c r="BO598">
        <v>0</v>
      </c>
      <c r="BP598">
        <v>0</v>
      </c>
      <c r="BQ598">
        <v>0</v>
      </c>
      <c r="BR598">
        <v>0</v>
      </c>
      <c r="BS598">
        <v>0</v>
      </c>
    </row>
    <row r="599" spans="1:71" x14ac:dyDescent="0.3">
      <c r="A599" t="s">
        <v>2675</v>
      </c>
      <c r="B599" t="s">
        <v>2676</v>
      </c>
      <c r="C599" t="s">
        <v>29</v>
      </c>
      <c r="D599" t="s">
        <v>29</v>
      </c>
      <c r="E599" t="s">
        <v>2677</v>
      </c>
      <c r="F599" t="s">
        <v>2678</v>
      </c>
      <c r="G599">
        <v>2017</v>
      </c>
      <c r="H599">
        <v>2017</v>
      </c>
      <c r="I599">
        <v>102</v>
      </c>
      <c r="J599" t="s">
        <v>29</v>
      </c>
      <c r="K599" t="s">
        <v>29</v>
      </c>
      <c r="L599" t="s">
        <v>29</v>
      </c>
      <c r="M599" t="s">
        <v>29</v>
      </c>
      <c r="N599">
        <v>309</v>
      </c>
      <c r="O599">
        <v>313</v>
      </c>
      <c r="P599" t="s">
        <v>29</v>
      </c>
      <c r="Q599" t="s">
        <v>29</v>
      </c>
      <c r="R599" t="s">
        <v>2679</v>
      </c>
      <c r="S599" t="s">
        <v>2680</v>
      </c>
      <c r="T599">
        <v>0</v>
      </c>
      <c r="U599">
        <v>0</v>
      </c>
      <c r="V599">
        <v>0</v>
      </c>
      <c r="W599">
        <v>0</v>
      </c>
      <c r="X599">
        <v>0</v>
      </c>
      <c r="Y599">
        <v>0</v>
      </c>
      <c r="Z599">
        <v>0</v>
      </c>
      <c r="AA599">
        <v>0</v>
      </c>
      <c r="AB599">
        <v>0</v>
      </c>
      <c r="AC599">
        <v>0</v>
      </c>
      <c r="AD599">
        <v>0</v>
      </c>
      <c r="AE599">
        <v>0</v>
      </c>
      <c r="AF599">
        <v>0</v>
      </c>
      <c r="AG599">
        <v>0</v>
      </c>
      <c r="AH599">
        <v>0</v>
      </c>
      <c r="AI599">
        <v>0</v>
      </c>
      <c r="AJ599">
        <v>0</v>
      </c>
      <c r="AK599">
        <v>0</v>
      </c>
      <c r="AL599">
        <v>0</v>
      </c>
      <c r="AM599">
        <v>0</v>
      </c>
      <c r="AN599">
        <v>0</v>
      </c>
      <c r="AO599">
        <v>0</v>
      </c>
      <c r="AP599">
        <v>0</v>
      </c>
      <c r="AQ599">
        <v>0</v>
      </c>
      <c r="AR599">
        <v>0</v>
      </c>
      <c r="AS599">
        <v>0</v>
      </c>
      <c r="AT599">
        <v>0</v>
      </c>
      <c r="AU599">
        <v>0</v>
      </c>
      <c r="AV599">
        <v>0</v>
      </c>
      <c r="AW599">
        <v>0</v>
      </c>
      <c r="AX599">
        <v>0</v>
      </c>
      <c r="AY599">
        <v>0</v>
      </c>
      <c r="AZ599">
        <v>0</v>
      </c>
      <c r="BA599">
        <v>0</v>
      </c>
      <c r="BB599">
        <v>0</v>
      </c>
      <c r="BC599">
        <v>0</v>
      </c>
      <c r="BD599">
        <v>0</v>
      </c>
      <c r="BE599">
        <v>0</v>
      </c>
      <c r="BF599">
        <v>0</v>
      </c>
      <c r="BG599">
        <v>0</v>
      </c>
      <c r="BH599">
        <v>0</v>
      </c>
      <c r="BI599">
        <v>0</v>
      </c>
      <c r="BJ599">
        <v>0</v>
      </c>
      <c r="BK599">
        <v>0</v>
      </c>
      <c r="BL599">
        <v>0</v>
      </c>
      <c r="BM599">
        <v>0</v>
      </c>
      <c r="BN599">
        <v>0</v>
      </c>
      <c r="BO599">
        <v>0</v>
      </c>
      <c r="BP599">
        <v>0</v>
      </c>
      <c r="BQ599">
        <v>0</v>
      </c>
      <c r="BR599">
        <v>0</v>
      </c>
      <c r="BS599">
        <v>0</v>
      </c>
    </row>
    <row r="600" spans="1:71" x14ac:dyDescent="0.3">
      <c r="A600" t="s">
        <v>2681</v>
      </c>
      <c r="B600" t="s">
        <v>2682</v>
      </c>
      <c r="C600" t="s">
        <v>29</v>
      </c>
      <c r="D600" t="s">
        <v>29</v>
      </c>
      <c r="E600" t="s">
        <v>29</v>
      </c>
      <c r="F600" t="s">
        <v>2683</v>
      </c>
      <c r="G600">
        <v>2016</v>
      </c>
      <c r="H600">
        <v>2016</v>
      </c>
      <c r="I600" t="s">
        <v>29</v>
      </c>
      <c r="J600">
        <v>53</v>
      </c>
      <c r="K600" t="s">
        <v>29</v>
      </c>
      <c r="L600" t="s">
        <v>29</v>
      </c>
      <c r="M600" t="s">
        <v>29</v>
      </c>
      <c r="N600">
        <v>327</v>
      </c>
      <c r="O600">
        <v>355</v>
      </c>
      <c r="P600" t="s">
        <v>29</v>
      </c>
      <c r="Q600" t="s">
        <v>2684</v>
      </c>
      <c r="R600" t="s">
        <v>29</v>
      </c>
      <c r="S600" t="s">
        <v>29</v>
      </c>
      <c r="T600">
        <v>0</v>
      </c>
      <c r="U600">
        <v>0</v>
      </c>
      <c r="V600">
        <v>0</v>
      </c>
      <c r="W600">
        <v>0</v>
      </c>
      <c r="X600">
        <v>0</v>
      </c>
      <c r="Y600">
        <v>0</v>
      </c>
      <c r="Z600">
        <v>0</v>
      </c>
      <c r="AA600">
        <v>0</v>
      </c>
      <c r="AB600">
        <v>0</v>
      </c>
      <c r="AC600">
        <v>0</v>
      </c>
      <c r="AD600">
        <v>0</v>
      </c>
      <c r="AE600">
        <v>0</v>
      </c>
      <c r="AF600">
        <v>0</v>
      </c>
      <c r="AG600">
        <v>0</v>
      </c>
      <c r="AH600">
        <v>0</v>
      </c>
      <c r="AI600">
        <v>0</v>
      </c>
      <c r="AJ600">
        <v>0</v>
      </c>
      <c r="AK600">
        <v>0</v>
      </c>
      <c r="AL600">
        <v>0</v>
      </c>
      <c r="AM600">
        <v>0</v>
      </c>
      <c r="AN600">
        <v>0</v>
      </c>
      <c r="AO600">
        <v>0</v>
      </c>
      <c r="AP600">
        <v>0</v>
      </c>
      <c r="AQ600">
        <v>0</v>
      </c>
      <c r="AR600">
        <v>0</v>
      </c>
      <c r="AS600">
        <v>0</v>
      </c>
      <c r="AT600">
        <v>0</v>
      </c>
      <c r="AU600">
        <v>0</v>
      </c>
      <c r="AV600">
        <v>0</v>
      </c>
      <c r="AW600">
        <v>0</v>
      </c>
      <c r="AX600">
        <v>0</v>
      </c>
      <c r="AY600">
        <v>0</v>
      </c>
      <c r="AZ600">
        <v>0</v>
      </c>
      <c r="BA600">
        <v>0</v>
      </c>
      <c r="BB600">
        <v>0</v>
      </c>
      <c r="BC600">
        <v>0</v>
      </c>
      <c r="BD600">
        <v>0</v>
      </c>
      <c r="BE600">
        <v>0</v>
      </c>
      <c r="BF600">
        <v>0</v>
      </c>
      <c r="BG600">
        <v>0</v>
      </c>
      <c r="BH600">
        <v>0</v>
      </c>
      <c r="BI600">
        <v>0</v>
      </c>
      <c r="BJ600">
        <v>0</v>
      </c>
      <c r="BK600">
        <v>0</v>
      </c>
      <c r="BL600">
        <v>0</v>
      </c>
      <c r="BM600">
        <v>0</v>
      </c>
      <c r="BN600">
        <v>0</v>
      </c>
      <c r="BO600">
        <v>0</v>
      </c>
      <c r="BP600">
        <v>0</v>
      </c>
      <c r="BQ600">
        <v>0</v>
      </c>
      <c r="BR600">
        <v>0</v>
      </c>
      <c r="BS600">
        <v>0</v>
      </c>
    </row>
    <row r="601" spans="1:71" x14ac:dyDescent="0.3">
      <c r="A601" t="s">
        <v>2685</v>
      </c>
      <c r="B601" t="s">
        <v>2686</v>
      </c>
      <c r="C601" t="s">
        <v>29</v>
      </c>
      <c r="D601" t="s">
        <v>29</v>
      </c>
      <c r="E601" t="s">
        <v>29</v>
      </c>
      <c r="F601" t="s">
        <v>2687</v>
      </c>
      <c r="G601">
        <v>2016</v>
      </c>
      <c r="H601">
        <v>2016</v>
      </c>
      <c r="I601" t="s">
        <v>29</v>
      </c>
      <c r="J601" t="s">
        <v>29</v>
      </c>
      <c r="K601" t="s">
        <v>29</v>
      </c>
      <c r="L601" t="s">
        <v>29</v>
      </c>
      <c r="M601" t="s">
        <v>29</v>
      </c>
      <c r="N601">
        <v>1131</v>
      </c>
      <c r="O601">
        <v>1138</v>
      </c>
      <c r="P601" t="s">
        <v>29</v>
      </c>
      <c r="Q601" t="s">
        <v>29</v>
      </c>
      <c r="R601" t="s">
        <v>2688</v>
      </c>
      <c r="S601" t="s">
        <v>2689</v>
      </c>
      <c r="T601">
        <v>0</v>
      </c>
      <c r="U601">
        <v>0</v>
      </c>
      <c r="V601">
        <v>0</v>
      </c>
      <c r="W601">
        <v>0</v>
      </c>
      <c r="X601">
        <v>0</v>
      </c>
      <c r="Y601">
        <v>0</v>
      </c>
      <c r="Z601">
        <v>0</v>
      </c>
      <c r="AA601">
        <v>0</v>
      </c>
      <c r="AB601">
        <v>0</v>
      </c>
      <c r="AC601">
        <v>0</v>
      </c>
      <c r="AD601">
        <v>0</v>
      </c>
      <c r="AE601">
        <v>0</v>
      </c>
      <c r="AF601">
        <v>0</v>
      </c>
      <c r="AG601">
        <v>0</v>
      </c>
      <c r="AH601">
        <v>0</v>
      </c>
      <c r="AI601">
        <v>0</v>
      </c>
      <c r="AJ601">
        <v>0</v>
      </c>
      <c r="AK601">
        <v>0</v>
      </c>
      <c r="AL601">
        <v>0</v>
      </c>
      <c r="AM601">
        <v>0</v>
      </c>
      <c r="AN601">
        <v>0</v>
      </c>
      <c r="AO601">
        <v>0</v>
      </c>
      <c r="AP601">
        <v>0</v>
      </c>
      <c r="AQ601">
        <v>0</v>
      </c>
      <c r="AR601">
        <v>0</v>
      </c>
      <c r="AS601">
        <v>0</v>
      </c>
      <c r="AT601">
        <v>0</v>
      </c>
      <c r="AU601">
        <v>0</v>
      </c>
      <c r="AV601">
        <v>0</v>
      </c>
      <c r="AW601">
        <v>0</v>
      </c>
      <c r="AX601">
        <v>0</v>
      </c>
      <c r="AY601">
        <v>0</v>
      </c>
      <c r="AZ601">
        <v>0</v>
      </c>
      <c r="BA601">
        <v>0</v>
      </c>
      <c r="BB601">
        <v>0</v>
      </c>
      <c r="BC601">
        <v>0</v>
      </c>
      <c r="BD601">
        <v>0</v>
      </c>
      <c r="BE601">
        <v>0</v>
      </c>
      <c r="BF601">
        <v>0</v>
      </c>
      <c r="BG601">
        <v>0</v>
      </c>
      <c r="BH601">
        <v>0</v>
      </c>
      <c r="BI601">
        <v>0</v>
      </c>
      <c r="BJ601">
        <v>0</v>
      </c>
      <c r="BK601">
        <v>0</v>
      </c>
      <c r="BL601">
        <v>0</v>
      </c>
      <c r="BM601">
        <v>0</v>
      </c>
      <c r="BN601">
        <v>0</v>
      </c>
      <c r="BO601">
        <v>0</v>
      </c>
      <c r="BP601">
        <v>0</v>
      </c>
      <c r="BQ601">
        <v>0</v>
      </c>
      <c r="BR601">
        <v>0</v>
      </c>
      <c r="BS601">
        <v>0</v>
      </c>
    </row>
    <row r="602" spans="1:71" x14ac:dyDescent="0.3">
      <c r="A602" t="s">
        <v>2690</v>
      </c>
      <c r="B602" t="s">
        <v>2691</v>
      </c>
      <c r="C602" t="s">
        <v>29</v>
      </c>
      <c r="D602" t="s">
        <v>29</v>
      </c>
      <c r="E602" t="s">
        <v>1228</v>
      </c>
      <c r="F602" t="s">
        <v>2692</v>
      </c>
      <c r="G602">
        <v>2016</v>
      </c>
      <c r="H602">
        <v>2016</v>
      </c>
      <c r="I602" t="s">
        <v>29</v>
      </c>
      <c r="J602" t="s">
        <v>29</v>
      </c>
      <c r="K602" t="s">
        <v>29</v>
      </c>
      <c r="L602" t="s">
        <v>29</v>
      </c>
      <c r="M602" t="s">
        <v>29</v>
      </c>
      <c r="N602">
        <v>3380</v>
      </c>
      <c r="O602">
        <v>3386</v>
      </c>
      <c r="P602" t="s">
        <v>29</v>
      </c>
      <c r="Q602" t="s">
        <v>29</v>
      </c>
      <c r="R602" t="s">
        <v>2693</v>
      </c>
      <c r="S602" t="s">
        <v>2694</v>
      </c>
      <c r="T602">
        <v>0</v>
      </c>
      <c r="U602">
        <v>0</v>
      </c>
      <c r="V602">
        <v>0</v>
      </c>
      <c r="W602">
        <v>0</v>
      </c>
      <c r="X602">
        <v>0</v>
      </c>
      <c r="Y602">
        <v>0</v>
      </c>
      <c r="Z602">
        <v>0</v>
      </c>
      <c r="AA602">
        <v>0</v>
      </c>
      <c r="AB602">
        <v>0</v>
      </c>
      <c r="AC602">
        <v>0</v>
      </c>
      <c r="AD602">
        <v>0</v>
      </c>
      <c r="AE602">
        <v>0</v>
      </c>
      <c r="AF602">
        <v>0</v>
      </c>
      <c r="AG602">
        <v>0</v>
      </c>
      <c r="AH602">
        <v>0</v>
      </c>
      <c r="AI602">
        <v>0</v>
      </c>
      <c r="AJ602">
        <v>0</v>
      </c>
      <c r="AK602">
        <v>0</v>
      </c>
      <c r="AL602">
        <v>0</v>
      </c>
      <c r="AM602">
        <v>0</v>
      </c>
      <c r="AN602">
        <v>0</v>
      </c>
      <c r="AO602">
        <v>0</v>
      </c>
      <c r="AP602">
        <v>0</v>
      </c>
      <c r="AQ602">
        <v>0</v>
      </c>
      <c r="AR602">
        <v>0</v>
      </c>
      <c r="AS602">
        <v>0</v>
      </c>
      <c r="AT602">
        <v>0</v>
      </c>
      <c r="AU602">
        <v>0</v>
      </c>
      <c r="AV602">
        <v>0</v>
      </c>
      <c r="AW602">
        <v>0</v>
      </c>
      <c r="AX602">
        <v>0</v>
      </c>
      <c r="AY602">
        <v>0</v>
      </c>
      <c r="AZ602">
        <v>0</v>
      </c>
      <c r="BA602">
        <v>0</v>
      </c>
      <c r="BB602">
        <v>0</v>
      </c>
      <c r="BC602">
        <v>0</v>
      </c>
      <c r="BD602">
        <v>0</v>
      </c>
      <c r="BE602">
        <v>0</v>
      </c>
      <c r="BF602">
        <v>0</v>
      </c>
      <c r="BG602">
        <v>0</v>
      </c>
      <c r="BH602">
        <v>0</v>
      </c>
      <c r="BI602">
        <v>0</v>
      </c>
      <c r="BJ602">
        <v>0</v>
      </c>
      <c r="BK602">
        <v>0</v>
      </c>
      <c r="BL602">
        <v>0</v>
      </c>
      <c r="BM602">
        <v>0</v>
      </c>
      <c r="BN602">
        <v>0</v>
      </c>
      <c r="BO602">
        <v>0</v>
      </c>
      <c r="BP602">
        <v>0</v>
      </c>
      <c r="BQ602">
        <v>0</v>
      </c>
      <c r="BR602">
        <v>0</v>
      </c>
      <c r="BS602">
        <v>0</v>
      </c>
    </row>
    <row r="603" spans="1:71" x14ac:dyDescent="0.3">
      <c r="A603" t="s">
        <v>2695</v>
      </c>
      <c r="B603" t="s">
        <v>2696</v>
      </c>
      <c r="C603" t="s">
        <v>29</v>
      </c>
      <c r="D603" t="s">
        <v>29</v>
      </c>
      <c r="E603" t="s">
        <v>29</v>
      </c>
      <c r="F603" t="s">
        <v>2697</v>
      </c>
      <c r="G603" t="s">
        <v>2698</v>
      </c>
      <c r="H603">
        <v>2016</v>
      </c>
      <c r="I603">
        <v>21</v>
      </c>
      <c r="J603">
        <v>1</v>
      </c>
      <c r="K603" t="s">
        <v>29</v>
      </c>
      <c r="L603" t="s">
        <v>29</v>
      </c>
      <c r="M603" t="s">
        <v>29</v>
      </c>
      <c r="N603">
        <v>45</v>
      </c>
      <c r="O603">
        <v>54</v>
      </c>
      <c r="P603" t="s">
        <v>29</v>
      </c>
      <c r="Q603" t="s">
        <v>2699</v>
      </c>
      <c r="R603" t="s">
        <v>29</v>
      </c>
      <c r="S603" t="s">
        <v>29</v>
      </c>
      <c r="T603">
        <v>0</v>
      </c>
      <c r="U603">
        <v>0</v>
      </c>
      <c r="V603">
        <v>0</v>
      </c>
      <c r="W603">
        <v>0</v>
      </c>
      <c r="X603">
        <v>0</v>
      </c>
      <c r="Y603">
        <v>0</v>
      </c>
      <c r="Z603">
        <v>0</v>
      </c>
      <c r="AA603">
        <v>0</v>
      </c>
      <c r="AB603">
        <v>0</v>
      </c>
      <c r="AC603">
        <v>0</v>
      </c>
      <c r="AD603">
        <v>0</v>
      </c>
      <c r="AE603">
        <v>0</v>
      </c>
      <c r="AF603">
        <v>0</v>
      </c>
      <c r="AG603">
        <v>0</v>
      </c>
      <c r="AH603">
        <v>0</v>
      </c>
      <c r="AI603">
        <v>0</v>
      </c>
      <c r="AJ603">
        <v>0</v>
      </c>
      <c r="AK603">
        <v>0</v>
      </c>
      <c r="AL603">
        <v>0</v>
      </c>
      <c r="AM603">
        <v>0</v>
      </c>
      <c r="AN603">
        <v>0</v>
      </c>
      <c r="AO603">
        <v>0</v>
      </c>
      <c r="AP603">
        <v>0</v>
      </c>
      <c r="AQ603">
        <v>0</v>
      </c>
      <c r="AR603">
        <v>0</v>
      </c>
      <c r="AS603">
        <v>0</v>
      </c>
      <c r="AT603">
        <v>0</v>
      </c>
      <c r="AU603">
        <v>0</v>
      </c>
      <c r="AV603">
        <v>0</v>
      </c>
      <c r="AW603">
        <v>0</v>
      </c>
      <c r="AX603">
        <v>0</v>
      </c>
      <c r="AY603">
        <v>0</v>
      </c>
      <c r="AZ603">
        <v>0</v>
      </c>
      <c r="BA603">
        <v>0</v>
      </c>
      <c r="BB603">
        <v>0</v>
      </c>
      <c r="BC603">
        <v>0</v>
      </c>
      <c r="BD603">
        <v>0</v>
      </c>
      <c r="BE603">
        <v>0</v>
      </c>
      <c r="BF603">
        <v>0</v>
      </c>
      <c r="BG603">
        <v>0</v>
      </c>
      <c r="BH603">
        <v>0</v>
      </c>
      <c r="BI603">
        <v>0</v>
      </c>
      <c r="BJ603">
        <v>0</v>
      </c>
      <c r="BK603">
        <v>0</v>
      </c>
      <c r="BL603">
        <v>0</v>
      </c>
      <c r="BM603">
        <v>0</v>
      </c>
      <c r="BN603">
        <v>0</v>
      </c>
      <c r="BO603">
        <v>0</v>
      </c>
      <c r="BP603">
        <v>0</v>
      </c>
      <c r="BQ603">
        <v>0</v>
      </c>
      <c r="BR603">
        <v>0</v>
      </c>
      <c r="BS603">
        <v>0</v>
      </c>
    </row>
    <row r="604" spans="1:71" x14ac:dyDescent="0.3">
      <c r="A604" t="s">
        <v>2700</v>
      </c>
      <c r="B604" t="s">
        <v>2701</v>
      </c>
      <c r="C604" t="s">
        <v>29</v>
      </c>
      <c r="D604" t="s">
        <v>29</v>
      </c>
      <c r="E604" t="s">
        <v>29</v>
      </c>
      <c r="F604" t="s">
        <v>2702</v>
      </c>
      <c r="G604">
        <v>2016</v>
      </c>
      <c r="H604">
        <v>2016</v>
      </c>
      <c r="I604" t="s">
        <v>29</v>
      </c>
      <c r="J604" t="s">
        <v>29</v>
      </c>
      <c r="K604" t="s">
        <v>29</v>
      </c>
      <c r="L604" t="s">
        <v>29</v>
      </c>
      <c r="M604" t="s">
        <v>29</v>
      </c>
      <c r="N604">
        <v>695</v>
      </c>
      <c r="O604">
        <v>700</v>
      </c>
      <c r="P604" t="s">
        <v>29</v>
      </c>
      <c r="Q604" t="s">
        <v>29</v>
      </c>
      <c r="R604" t="s">
        <v>2703</v>
      </c>
      <c r="S604" t="s">
        <v>2704</v>
      </c>
      <c r="T604">
        <v>0</v>
      </c>
      <c r="U604">
        <v>0</v>
      </c>
      <c r="V604">
        <v>0</v>
      </c>
      <c r="W604">
        <v>0</v>
      </c>
      <c r="X604">
        <v>0</v>
      </c>
      <c r="Y604">
        <v>0</v>
      </c>
      <c r="Z604">
        <v>0</v>
      </c>
      <c r="AA604">
        <v>0</v>
      </c>
      <c r="AB604">
        <v>0</v>
      </c>
      <c r="AC604">
        <v>0</v>
      </c>
      <c r="AD604">
        <v>0</v>
      </c>
      <c r="AE604">
        <v>0</v>
      </c>
      <c r="AF604">
        <v>0</v>
      </c>
      <c r="AG604">
        <v>0</v>
      </c>
      <c r="AH604">
        <v>0</v>
      </c>
      <c r="AI604">
        <v>0</v>
      </c>
      <c r="AJ604">
        <v>0</v>
      </c>
      <c r="AK604">
        <v>0</v>
      </c>
      <c r="AL604">
        <v>0</v>
      </c>
      <c r="AM604">
        <v>0</v>
      </c>
      <c r="AN604">
        <v>0</v>
      </c>
      <c r="AO604">
        <v>0</v>
      </c>
      <c r="AP604">
        <v>0</v>
      </c>
      <c r="AQ604">
        <v>0</v>
      </c>
      <c r="AR604">
        <v>0</v>
      </c>
      <c r="AS604">
        <v>0</v>
      </c>
      <c r="AT604">
        <v>0</v>
      </c>
      <c r="AU604">
        <v>0</v>
      </c>
      <c r="AV604">
        <v>0</v>
      </c>
      <c r="AW604">
        <v>0</v>
      </c>
      <c r="AX604">
        <v>0</v>
      </c>
      <c r="AY604">
        <v>0</v>
      </c>
      <c r="AZ604">
        <v>0</v>
      </c>
      <c r="BA604">
        <v>0</v>
      </c>
      <c r="BB604">
        <v>0</v>
      </c>
      <c r="BC604">
        <v>0</v>
      </c>
      <c r="BD604">
        <v>0</v>
      </c>
      <c r="BE604">
        <v>0</v>
      </c>
      <c r="BF604">
        <v>0</v>
      </c>
      <c r="BG604">
        <v>0</v>
      </c>
      <c r="BH604">
        <v>0</v>
      </c>
      <c r="BI604">
        <v>0</v>
      </c>
      <c r="BJ604">
        <v>0</v>
      </c>
      <c r="BK604">
        <v>0</v>
      </c>
      <c r="BL604">
        <v>0</v>
      </c>
      <c r="BM604">
        <v>0</v>
      </c>
      <c r="BN604">
        <v>0</v>
      </c>
      <c r="BO604">
        <v>0</v>
      </c>
      <c r="BP604">
        <v>0</v>
      </c>
      <c r="BQ604">
        <v>0</v>
      </c>
      <c r="BR604">
        <v>0</v>
      </c>
      <c r="BS604">
        <v>0</v>
      </c>
    </row>
    <row r="605" spans="1:71" x14ac:dyDescent="0.3">
      <c r="A605" t="s">
        <v>2705</v>
      </c>
      <c r="B605" t="s">
        <v>2706</v>
      </c>
      <c r="C605" t="s">
        <v>29</v>
      </c>
      <c r="D605" t="s">
        <v>29</v>
      </c>
      <c r="E605" t="s">
        <v>2707</v>
      </c>
      <c r="F605" t="s">
        <v>2708</v>
      </c>
      <c r="G605">
        <v>2016</v>
      </c>
      <c r="H605">
        <v>2016</v>
      </c>
      <c r="I605">
        <v>13</v>
      </c>
      <c r="J605" t="s">
        <v>29</v>
      </c>
      <c r="K605" t="s">
        <v>29</v>
      </c>
      <c r="L605" t="s">
        <v>29</v>
      </c>
      <c r="M605" t="s">
        <v>29</v>
      </c>
      <c r="N605">
        <v>447</v>
      </c>
      <c r="O605">
        <v>464</v>
      </c>
      <c r="P605" t="s">
        <v>29</v>
      </c>
      <c r="Q605" t="s">
        <v>2709</v>
      </c>
      <c r="R605" t="s">
        <v>29</v>
      </c>
      <c r="S605" t="s">
        <v>29</v>
      </c>
      <c r="T605">
        <v>0</v>
      </c>
      <c r="U605">
        <v>0</v>
      </c>
      <c r="V605">
        <v>0</v>
      </c>
      <c r="W605">
        <v>0</v>
      </c>
      <c r="X605">
        <v>0</v>
      </c>
      <c r="Y605">
        <v>0</v>
      </c>
      <c r="Z605">
        <v>0</v>
      </c>
      <c r="AA605">
        <v>0</v>
      </c>
      <c r="AB605">
        <v>0</v>
      </c>
      <c r="AC605">
        <v>0</v>
      </c>
      <c r="AD605">
        <v>0</v>
      </c>
      <c r="AE605">
        <v>0</v>
      </c>
      <c r="AF605">
        <v>0</v>
      </c>
      <c r="AG605">
        <v>0</v>
      </c>
      <c r="AH605">
        <v>0</v>
      </c>
      <c r="AI605">
        <v>0</v>
      </c>
      <c r="AJ605">
        <v>0</v>
      </c>
      <c r="AK605">
        <v>0</v>
      </c>
      <c r="AL605">
        <v>0</v>
      </c>
      <c r="AM605">
        <v>0</v>
      </c>
      <c r="AN605">
        <v>0</v>
      </c>
      <c r="AO605">
        <v>0</v>
      </c>
      <c r="AP605">
        <v>0</v>
      </c>
      <c r="AQ605">
        <v>0</v>
      </c>
      <c r="AR605">
        <v>0</v>
      </c>
      <c r="AS605">
        <v>0</v>
      </c>
      <c r="AT605">
        <v>0</v>
      </c>
      <c r="AU605">
        <v>0</v>
      </c>
      <c r="AV605">
        <v>0</v>
      </c>
      <c r="AW605">
        <v>0</v>
      </c>
      <c r="AX605">
        <v>0</v>
      </c>
      <c r="AY605">
        <v>0</v>
      </c>
      <c r="AZ605">
        <v>0</v>
      </c>
      <c r="BA605">
        <v>0</v>
      </c>
      <c r="BB605">
        <v>0</v>
      </c>
      <c r="BC605">
        <v>0</v>
      </c>
      <c r="BD605">
        <v>0</v>
      </c>
      <c r="BE605">
        <v>0</v>
      </c>
      <c r="BF605">
        <v>0</v>
      </c>
      <c r="BG605">
        <v>0</v>
      </c>
      <c r="BH605">
        <v>0</v>
      </c>
      <c r="BI605">
        <v>0</v>
      </c>
      <c r="BJ605">
        <v>0</v>
      </c>
      <c r="BK605">
        <v>0</v>
      </c>
      <c r="BL605">
        <v>0</v>
      </c>
      <c r="BM605">
        <v>0</v>
      </c>
      <c r="BN605">
        <v>0</v>
      </c>
      <c r="BO605">
        <v>0</v>
      </c>
      <c r="BP605">
        <v>0</v>
      </c>
      <c r="BQ605">
        <v>0</v>
      </c>
      <c r="BR605">
        <v>0</v>
      </c>
      <c r="BS605">
        <v>0</v>
      </c>
    </row>
    <row r="606" spans="1:71" x14ac:dyDescent="0.3">
      <c r="A606" t="s">
        <v>2710</v>
      </c>
      <c r="B606" t="s">
        <v>2711</v>
      </c>
      <c r="C606" t="s">
        <v>29</v>
      </c>
      <c r="D606" t="s">
        <v>29</v>
      </c>
      <c r="E606" t="s">
        <v>29</v>
      </c>
      <c r="F606" t="s">
        <v>1778</v>
      </c>
      <c r="G606" t="s">
        <v>2712</v>
      </c>
      <c r="H606">
        <v>2015</v>
      </c>
      <c r="I606">
        <v>21</v>
      </c>
      <c r="J606">
        <v>7</v>
      </c>
      <c r="K606" t="s">
        <v>29</v>
      </c>
      <c r="L606" t="s">
        <v>29</v>
      </c>
      <c r="M606" t="s">
        <v>32</v>
      </c>
      <c r="N606">
        <v>2183</v>
      </c>
      <c r="O606">
        <v>2189</v>
      </c>
      <c r="P606" t="s">
        <v>29</v>
      </c>
      <c r="Q606" t="s">
        <v>2713</v>
      </c>
      <c r="R606" t="s">
        <v>2714</v>
      </c>
      <c r="S606" t="s">
        <v>2715</v>
      </c>
      <c r="T606">
        <v>0</v>
      </c>
      <c r="U606">
        <v>0</v>
      </c>
      <c r="V606">
        <v>0</v>
      </c>
      <c r="W606">
        <v>0</v>
      </c>
      <c r="X606">
        <v>0</v>
      </c>
      <c r="Y606">
        <v>0</v>
      </c>
      <c r="Z606">
        <v>0</v>
      </c>
      <c r="AA606">
        <v>0</v>
      </c>
      <c r="AB606">
        <v>0</v>
      </c>
      <c r="AC606">
        <v>0</v>
      </c>
      <c r="AD606">
        <v>0</v>
      </c>
      <c r="AE606">
        <v>0</v>
      </c>
      <c r="AF606">
        <v>0</v>
      </c>
      <c r="AG606">
        <v>0</v>
      </c>
      <c r="AH606">
        <v>0</v>
      </c>
      <c r="AI606">
        <v>0</v>
      </c>
      <c r="AJ606">
        <v>0</v>
      </c>
      <c r="AK606">
        <v>0</v>
      </c>
      <c r="AL606">
        <v>0</v>
      </c>
      <c r="AM606">
        <v>0</v>
      </c>
      <c r="AN606">
        <v>0</v>
      </c>
      <c r="AO606">
        <v>0</v>
      </c>
      <c r="AP606">
        <v>0</v>
      </c>
      <c r="AQ606">
        <v>0</v>
      </c>
      <c r="AR606">
        <v>0</v>
      </c>
      <c r="AS606">
        <v>0</v>
      </c>
      <c r="AT606">
        <v>0</v>
      </c>
      <c r="AU606">
        <v>0</v>
      </c>
      <c r="AV606">
        <v>0</v>
      </c>
      <c r="AW606">
        <v>0</v>
      </c>
      <c r="AX606">
        <v>0</v>
      </c>
      <c r="AY606">
        <v>0</v>
      </c>
      <c r="AZ606">
        <v>0</v>
      </c>
      <c r="BA606">
        <v>0</v>
      </c>
      <c r="BB606">
        <v>0</v>
      </c>
      <c r="BC606">
        <v>0</v>
      </c>
      <c r="BD606">
        <v>0</v>
      </c>
      <c r="BE606">
        <v>0</v>
      </c>
      <c r="BF606">
        <v>0</v>
      </c>
      <c r="BG606">
        <v>0</v>
      </c>
      <c r="BH606">
        <v>0</v>
      </c>
      <c r="BI606">
        <v>0</v>
      </c>
      <c r="BJ606">
        <v>0</v>
      </c>
      <c r="BK606">
        <v>0</v>
      </c>
      <c r="BL606">
        <v>0</v>
      </c>
      <c r="BM606">
        <v>0</v>
      </c>
      <c r="BN606">
        <v>0</v>
      </c>
      <c r="BO606">
        <v>0</v>
      </c>
      <c r="BP606">
        <v>0</v>
      </c>
      <c r="BQ606">
        <v>0</v>
      </c>
      <c r="BR606">
        <v>0</v>
      </c>
      <c r="BS606">
        <v>0</v>
      </c>
    </row>
    <row r="607" spans="1:71" x14ac:dyDescent="0.3">
      <c r="A607" t="s">
        <v>2716</v>
      </c>
      <c r="B607" t="s">
        <v>2711</v>
      </c>
      <c r="C607" t="s">
        <v>29</v>
      </c>
      <c r="D607" t="s">
        <v>29</v>
      </c>
      <c r="E607" t="s">
        <v>29</v>
      </c>
      <c r="F607" t="s">
        <v>2717</v>
      </c>
      <c r="G607">
        <v>2015</v>
      </c>
      <c r="H607">
        <v>2015</v>
      </c>
      <c r="I607" t="s">
        <v>29</v>
      </c>
      <c r="J607" t="s">
        <v>29</v>
      </c>
      <c r="K607" t="s">
        <v>29</v>
      </c>
      <c r="L607" t="s">
        <v>29</v>
      </c>
      <c r="M607" t="s">
        <v>29</v>
      </c>
      <c r="N607">
        <v>43</v>
      </c>
      <c r="O607">
        <v>48</v>
      </c>
      <c r="P607" t="s">
        <v>29</v>
      </c>
      <c r="Q607" t="s">
        <v>29</v>
      </c>
      <c r="R607" t="s">
        <v>2718</v>
      </c>
      <c r="S607" t="s">
        <v>2719</v>
      </c>
      <c r="T607">
        <v>0</v>
      </c>
      <c r="U607">
        <v>0</v>
      </c>
      <c r="V607">
        <v>0</v>
      </c>
      <c r="W607">
        <v>0</v>
      </c>
      <c r="X607">
        <v>0</v>
      </c>
      <c r="Y607">
        <v>0</v>
      </c>
      <c r="Z607">
        <v>0</v>
      </c>
      <c r="AA607">
        <v>0</v>
      </c>
      <c r="AB607">
        <v>0</v>
      </c>
      <c r="AC607">
        <v>0</v>
      </c>
      <c r="AD607">
        <v>0</v>
      </c>
      <c r="AE607">
        <v>0</v>
      </c>
      <c r="AF607">
        <v>0</v>
      </c>
      <c r="AG607">
        <v>0</v>
      </c>
      <c r="AH607">
        <v>0</v>
      </c>
      <c r="AI607">
        <v>0</v>
      </c>
      <c r="AJ607">
        <v>0</v>
      </c>
      <c r="AK607">
        <v>0</v>
      </c>
      <c r="AL607">
        <v>0</v>
      </c>
      <c r="AM607">
        <v>0</v>
      </c>
      <c r="AN607">
        <v>0</v>
      </c>
      <c r="AO607">
        <v>0</v>
      </c>
      <c r="AP607">
        <v>0</v>
      </c>
      <c r="AQ607">
        <v>0</v>
      </c>
      <c r="AR607">
        <v>0</v>
      </c>
      <c r="AS607">
        <v>0</v>
      </c>
      <c r="AT607">
        <v>0</v>
      </c>
      <c r="AU607">
        <v>0</v>
      </c>
      <c r="AV607">
        <v>0</v>
      </c>
      <c r="AW607">
        <v>0</v>
      </c>
      <c r="AX607">
        <v>0</v>
      </c>
      <c r="AY607">
        <v>0</v>
      </c>
      <c r="AZ607">
        <v>0</v>
      </c>
      <c r="BA607">
        <v>0</v>
      </c>
      <c r="BB607">
        <v>0</v>
      </c>
      <c r="BC607">
        <v>0</v>
      </c>
      <c r="BD607">
        <v>0</v>
      </c>
      <c r="BE607">
        <v>0</v>
      </c>
      <c r="BF607">
        <v>0</v>
      </c>
      <c r="BG607">
        <v>0</v>
      </c>
      <c r="BH607">
        <v>0</v>
      </c>
      <c r="BI607">
        <v>0</v>
      </c>
      <c r="BJ607">
        <v>0</v>
      </c>
      <c r="BK607">
        <v>0</v>
      </c>
      <c r="BL607">
        <v>0</v>
      </c>
      <c r="BM607">
        <v>0</v>
      </c>
      <c r="BN607">
        <v>0</v>
      </c>
      <c r="BO607">
        <v>0</v>
      </c>
      <c r="BP607">
        <v>0</v>
      </c>
      <c r="BQ607">
        <v>0</v>
      </c>
      <c r="BR607">
        <v>0</v>
      </c>
      <c r="BS607">
        <v>0</v>
      </c>
    </row>
    <row r="608" spans="1:71" x14ac:dyDescent="0.3">
      <c r="A608" t="s">
        <v>2720</v>
      </c>
      <c r="B608" t="s">
        <v>2721</v>
      </c>
      <c r="C608" t="s">
        <v>29</v>
      </c>
      <c r="D608" t="s">
        <v>29</v>
      </c>
      <c r="E608" t="s">
        <v>29</v>
      </c>
      <c r="F608" t="s">
        <v>2722</v>
      </c>
      <c r="G608">
        <v>2015</v>
      </c>
      <c r="H608">
        <v>2015</v>
      </c>
      <c r="I608" t="s">
        <v>29</v>
      </c>
      <c r="J608" t="s">
        <v>29</v>
      </c>
      <c r="K608" t="s">
        <v>29</v>
      </c>
      <c r="L608" t="s">
        <v>29</v>
      </c>
      <c r="M608" t="s">
        <v>29</v>
      </c>
      <c r="N608">
        <v>65</v>
      </c>
      <c r="O608">
        <v>72</v>
      </c>
      <c r="P608" t="s">
        <v>29</v>
      </c>
      <c r="Q608" t="s">
        <v>29</v>
      </c>
      <c r="R608" t="s">
        <v>2723</v>
      </c>
      <c r="S608" t="s">
        <v>2724</v>
      </c>
      <c r="T608">
        <v>0</v>
      </c>
      <c r="U608">
        <v>0</v>
      </c>
      <c r="V608">
        <v>0</v>
      </c>
      <c r="W608">
        <v>0</v>
      </c>
      <c r="X608">
        <v>0</v>
      </c>
      <c r="Y608">
        <v>0</v>
      </c>
      <c r="Z608">
        <v>0</v>
      </c>
      <c r="AA608">
        <v>0</v>
      </c>
      <c r="AB608">
        <v>0</v>
      </c>
      <c r="AC608">
        <v>0</v>
      </c>
      <c r="AD608">
        <v>0</v>
      </c>
      <c r="AE608">
        <v>0</v>
      </c>
      <c r="AF608">
        <v>0</v>
      </c>
      <c r="AG608">
        <v>0</v>
      </c>
      <c r="AH608">
        <v>0</v>
      </c>
      <c r="AI608">
        <v>0</v>
      </c>
      <c r="AJ608">
        <v>0</v>
      </c>
      <c r="AK608">
        <v>0</v>
      </c>
      <c r="AL608">
        <v>0</v>
      </c>
      <c r="AM608">
        <v>0</v>
      </c>
      <c r="AN608">
        <v>0</v>
      </c>
      <c r="AO608">
        <v>0</v>
      </c>
      <c r="AP608">
        <v>0</v>
      </c>
      <c r="AQ608">
        <v>0</v>
      </c>
      <c r="AR608">
        <v>0</v>
      </c>
      <c r="AS608">
        <v>0</v>
      </c>
      <c r="AT608">
        <v>0</v>
      </c>
      <c r="AU608">
        <v>0</v>
      </c>
      <c r="AV608">
        <v>0</v>
      </c>
      <c r="AW608">
        <v>0</v>
      </c>
      <c r="AX608">
        <v>0</v>
      </c>
      <c r="AY608">
        <v>0</v>
      </c>
      <c r="AZ608">
        <v>0</v>
      </c>
      <c r="BA608">
        <v>0</v>
      </c>
      <c r="BB608">
        <v>0</v>
      </c>
      <c r="BC608">
        <v>0</v>
      </c>
      <c r="BD608">
        <v>0</v>
      </c>
      <c r="BE608">
        <v>0</v>
      </c>
      <c r="BF608">
        <v>0</v>
      </c>
      <c r="BG608">
        <v>0</v>
      </c>
      <c r="BH608">
        <v>0</v>
      </c>
      <c r="BI608">
        <v>0</v>
      </c>
      <c r="BJ608">
        <v>0</v>
      </c>
      <c r="BK608">
        <v>0</v>
      </c>
      <c r="BL608">
        <v>0</v>
      </c>
      <c r="BM608">
        <v>0</v>
      </c>
      <c r="BN608">
        <v>0</v>
      </c>
      <c r="BO608">
        <v>0</v>
      </c>
      <c r="BP608">
        <v>0</v>
      </c>
      <c r="BQ608">
        <v>0</v>
      </c>
      <c r="BR608">
        <v>0</v>
      </c>
      <c r="BS608">
        <v>0</v>
      </c>
    </row>
    <row r="609" spans="1:71" x14ac:dyDescent="0.3">
      <c r="A609" t="s">
        <v>2725</v>
      </c>
      <c r="B609" t="s">
        <v>2726</v>
      </c>
      <c r="C609" t="s">
        <v>29</v>
      </c>
      <c r="D609" t="s">
        <v>29</v>
      </c>
      <c r="E609" t="s">
        <v>29</v>
      </c>
      <c r="F609" t="s">
        <v>2727</v>
      </c>
      <c r="G609">
        <v>2015</v>
      </c>
      <c r="H609">
        <v>2015</v>
      </c>
      <c r="I609" t="s">
        <v>29</v>
      </c>
      <c r="J609" t="s">
        <v>29</v>
      </c>
      <c r="K609" t="s">
        <v>29</v>
      </c>
      <c r="L609" t="s">
        <v>29</v>
      </c>
      <c r="M609" t="s">
        <v>29</v>
      </c>
      <c r="N609">
        <v>10</v>
      </c>
      <c r="O609">
        <v>13</v>
      </c>
      <c r="P609" t="s">
        <v>29</v>
      </c>
      <c r="Q609" t="s">
        <v>29</v>
      </c>
      <c r="R609" t="s">
        <v>2728</v>
      </c>
      <c r="S609" t="s">
        <v>2729</v>
      </c>
      <c r="T609">
        <v>0</v>
      </c>
      <c r="U609">
        <v>0</v>
      </c>
      <c r="V609">
        <v>0</v>
      </c>
      <c r="W609">
        <v>0</v>
      </c>
      <c r="X609">
        <v>0</v>
      </c>
      <c r="Y609">
        <v>0</v>
      </c>
      <c r="Z609">
        <v>0</v>
      </c>
      <c r="AA609">
        <v>0</v>
      </c>
      <c r="AB609">
        <v>0</v>
      </c>
      <c r="AC609">
        <v>0</v>
      </c>
      <c r="AD609">
        <v>0</v>
      </c>
      <c r="AE609">
        <v>0</v>
      </c>
      <c r="AF609">
        <v>0</v>
      </c>
      <c r="AG609">
        <v>0</v>
      </c>
      <c r="AH609">
        <v>0</v>
      </c>
      <c r="AI609">
        <v>0</v>
      </c>
      <c r="AJ609">
        <v>0</v>
      </c>
      <c r="AK609">
        <v>0</v>
      </c>
      <c r="AL609">
        <v>0</v>
      </c>
      <c r="AM609">
        <v>0</v>
      </c>
      <c r="AN609">
        <v>0</v>
      </c>
      <c r="AO609">
        <v>0</v>
      </c>
      <c r="AP609">
        <v>0</v>
      </c>
      <c r="AQ609">
        <v>0</v>
      </c>
      <c r="AR609">
        <v>0</v>
      </c>
      <c r="AS609">
        <v>0</v>
      </c>
      <c r="AT609">
        <v>0</v>
      </c>
      <c r="AU609">
        <v>0</v>
      </c>
      <c r="AV609">
        <v>0</v>
      </c>
      <c r="AW609">
        <v>0</v>
      </c>
      <c r="AX609">
        <v>0</v>
      </c>
      <c r="AY609">
        <v>0</v>
      </c>
      <c r="AZ609">
        <v>0</v>
      </c>
      <c r="BA609">
        <v>0</v>
      </c>
      <c r="BB609">
        <v>0</v>
      </c>
      <c r="BC609">
        <v>0</v>
      </c>
      <c r="BD609">
        <v>0</v>
      </c>
      <c r="BE609">
        <v>0</v>
      </c>
      <c r="BF609">
        <v>0</v>
      </c>
      <c r="BG609">
        <v>0</v>
      </c>
      <c r="BH609">
        <v>0</v>
      </c>
      <c r="BI609">
        <v>0</v>
      </c>
      <c r="BJ609">
        <v>0</v>
      </c>
      <c r="BK609">
        <v>0</v>
      </c>
      <c r="BL609">
        <v>0</v>
      </c>
      <c r="BM609">
        <v>0</v>
      </c>
      <c r="BN609">
        <v>0</v>
      </c>
      <c r="BO609">
        <v>0</v>
      </c>
      <c r="BP609">
        <v>0</v>
      </c>
      <c r="BQ609">
        <v>0</v>
      </c>
      <c r="BR609">
        <v>0</v>
      </c>
      <c r="BS609">
        <v>0</v>
      </c>
    </row>
    <row r="610" spans="1:71" x14ac:dyDescent="0.3">
      <c r="A610" t="s">
        <v>2730</v>
      </c>
      <c r="B610" t="s">
        <v>2731</v>
      </c>
      <c r="C610" t="s">
        <v>29</v>
      </c>
      <c r="D610" t="s">
        <v>29</v>
      </c>
      <c r="E610" t="s">
        <v>2732</v>
      </c>
      <c r="F610" t="s">
        <v>2733</v>
      </c>
      <c r="G610">
        <v>2015</v>
      </c>
      <c r="H610">
        <v>2015</v>
      </c>
      <c r="I610">
        <v>11</v>
      </c>
      <c r="J610" t="s">
        <v>29</v>
      </c>
      <c r="K610" t="s">
        <v>29</v>
      </c>
      <c r="L610" t="s">
        <v>29</v>
      </c>
      <c r="M610" t="s">
        <v>29</v>
      </c>
      <c r="N610">
        <v>290</v>
      </c>
      <c r="O610">
        <v>294</v>
      </c>
      <c r="P610" t="s">
        <v>29</v>
      </c>
      <c r="Q610" t="s">
        <v>29</v>
      </c>
      <c r="R610" t="s">
        <v>2734</v>
      </c>
      <c r="S610" t="s">
        <v>2735</v>
      </c>
      <c r="T610">
        <v>0</v>
      </c>
      <c r="U610">
        <v>0</v>
      </c>
      <c r="V610">
        <v>0</v>
      </c>
      <c r="W610">
        <v>0</v>
      </c>
      <c r="X610">
        <v>0</v>
      </c>
      <c r="Y610">
        <v>0</v>
      </c>
      <c r="Z610">
        <v>0</v>
      </c>
      <c r="AA610">
        <v>0</v>
      </c>
      <c r="AB610">
        <v>0</v>
      </c>
      <c r="AC610">
        <v>0</v>
      </c>
      <c r="AD610">
        <v>0</v>
      </c>
      <c r="AE610">
        <v>0</v>
      </c>
      <c r="AF610">
        <v>0</v>
      </c>
      <c r="AG610">
        <v>0</v>
      </c>
      <c r="AH610">
        <v>0</v>
      </c>
      <c r="AI610">
        <v>0</v>
      </c>
      <c r="AJ610">
        <v>0</v>
      </c>
      <c r="AK610">
        <v>0</v>
      </c>
      <c r="AL610">
        <v>0</v>
      </c>
      <c r="AM610">
        <v>0</v>
      </c>
      <c r="AN610">
        <v>0</v>
      </c>
      <c r="AO610">
        <v>0</v>
      </c>
      <c r="AP610">
        <v>0</v>
      </c>
      <c r="AQ610">
        <v>0</v>
      </c>
      <c r="AR610">
        <v>0</v>
      </c>
      <c r="AS610">
        <v>0</v>
      </c>
      <c r="AT610">
        <v>0</v>
      </c>
      <c r="AU610">
        <v>0</v>
      </c>
      <c r="AV610">
        <v>0</v>
      </c>
      <c r="AW610">
        <v>0</v>
      </c>
      <c r="AX610">
        <v>0</v>
      </c>
      <c r="AY610">
        <v>0</v>
      </c>
      <c r="AZ610">
        <v>0</v>
      </c>
      <c r="BA610">
        <v>0</v>
      </c>
      <c r="BB610">
        <v>0</v>
      </c>
      <c r="BC610">
        <v>0</v>
      </c>
      <c r="BD610">
        <v>0</v>
      </c>
      <c r="BE610">
        <v>0</v>
      </c>
      <c r="BF610">
        <v>0</v>
      </c>
      <c r="BG610">
        <v>0</v>
      </c>
      <c r="BH610">
        <v>0</v>
      </c>
      <c r="BI610">
        <v>0</v>
      </c>
      <c r="BJ610">
        <v>0</v>
      </c>
      <c r="BK610">
        <v>0</v>
      </c>
      <c r="BL610">
        <v>0</v>
      </c>
      <c r="BM610">
        <v>0</v>
      </c>
      <c r="BN610">
        <v>0</v>
      </c>
      <c r="BO610">
        <v>0</v>
      </c>
      <c r="BP610">
        <v>0</v>
      </c>
      <c r="BQ610">
        <v>0</v>
      </c>
      <c r="BR610">
        <v>0</v>
      </c>
      <c r="BS610">
        <v>0</v>
      </c>
    </row>
    <row r="611" spans="1:71" x14ac:dyDescent="0.3">
      <c r="A611" t="s">
        <v>2736</v>
      </c>
      <c r="B611" t="s">
        <v>2737</v>
      </c>
      <c r="C611" t="s">
        <v>29</v>
      </c>
      <c r="D611" t="s">
        <v>29</v>
      </c>
      <c r="E611" t="s">
        <v>29</v>
      </c>
      <c r="F611" t="s">
        <v>2738</v>
      </c>
      <c r="G611">
        <v>2015</v>
      </c>
      <c r="H611">
        <v>2015</v>
      </c>
      <c r="I611">
        <v>4</v>
      </c>
      <c r="J611">
        <v>1</v>
      </c>
      <c r="K611">
        <v>2</v>
      </c>
      <c r="L611" t="s">
        <v>29</v>
      </c>
      <c r="M611" t="s">
        <v>32</v>
      </c>
      <c r="N611">
        <v>1</v>
      </c>
      <c r="O611">
        <v>30</v>
      </c>
      <c r="P611" t="s">
        <v>29</v>
      </c>
      <c r="Q611" t="s">
        <v>29</v>
      </c>
      <c r="R611" t="s">
        <v>29</v>
      </c>
      <c r="S611" t="s">
        <v>29</v>
      </c>
      <c r="T611">
        <v>0</v>
      </c>
      <c r="U611">
        <v>0</v>
      </c>
      <c r="V611">
        <v>0</v>
      </c>
      <c r="W611">
        <v>0</v>
      </c>
      <c r="X611">
        <v>0</v>
      </c>
      <c r="Y611">
        <v>0</v>
      </c>
      <c r="Z611">
        <v>0</v>
      </c>
      <c r="AA611">
        <v>0</v>
      </c>
      <c r="AB611">
        <v>0</v>
      </c>
      <c r="AC611">
        <v>0</v>
      </c>
      <c r="AD611">
        <v>0</v>
      </c>
      <c r="AE611">
        <v>0</v>
      </c>
      <c r="AF611">
        <v>0</v>
      </c>
      <c r="AG611">
        <v>0</v>
      </c>
      <c r="AH611">
        <v>0</v>
      </c>
      <c r="AI611">
        <v>0</v>
      </c>
      <c r="AJ611">
        <v>0</v>
      </c>
      <c r="AK611">
        <v>0</v>
      </c>
      <c r="AL611">
        <v>0</v>
      </c>
      <c r="AM611">
        <v>0</v>
      </c>
      <c r="AN611">
        <v>0</v>
      </c>
      <c r="AO611">
        <v>0</v>
      </c>
      <c r="AP611">
        <v>0</v>
      </c>
      <c r="AQ611">
        <v>0</v>
      </c>
      <c r="AR611">
        <v>0</v>
      </c>
      <c r="AS611">
        <v>0</v>
      </c>
      <c r="AT611">
        <v>0</v>
      </c>
      <c r="AU611">
        <v>0</v>
      </c>
      <c r="AV611">
        <v>0</v>
      </c>
      <c r="AW611">
        <v>0</v>
      </c>
      <c r="AX611">
        <v>0</v>
      </c>
      <c r="AY611">
        <v>0</v>
      </c>
      <c r="AZ611">
        <v>0</v>
      </c>
      <c r="BA611">
        <v>0</v>
      </c>
      <c r="BB611">
        <v>0</v>
      </c>
      <c r="BC611">
        <v>0</v>
      </c>
      <c r="BD611">
        <v>0</v>
      </c>
      <c r="BE611">
        <v>0</v>
      </c>
      <c r="BF611">
        <v>0</v>
      </c>
      <c r="BG611">
        <v>0</v>
      </c>
      <c r="BH611">
        <v>0</v>
      </c>
      <c r="BI611">
        <v>0</v>
      </c>
      <c r="BJ611">
        <v>0</v>
      </c>
      <c r="BK611">
        <v>0</v>
      </c>
      <c r="BL611">
        <v>0</v>
      </c>
      <c r="BM611">
        <v>0</v>
      </c>
      <c r="BN611">
        <v>0</v>
      </c>
      <c r="BO611">
        <v>0</v>
      </c>
      <c r="BP611">
        <v>0</v>
      </c>
      <c r="BQ611">
        <v>0</v>
      </c>
      <c r="BR611">
        <v>0</v>
      </c>
      <c r="BS611">
        <v>0</v>
      </c>
    </row>
    <row r="612" spans="1:71" x14ac:dyDescent="0.3">
      <c r="A612" t="s">
        <v>2739</v>
      </c>
      <c r="B612" t="s">
        <v>2740</v>
      </c>
      <c r="C612" t="s">
        <v>29</v>
      </c>
      <c r="D612" t="s">
        <v>29</v>
      </c>
      <c r="E612" t="s">
        <v>2741</v>
      </c>
      <c r="F612" t="s">
        <v>2742</v>
      </c>
      <c r="G612">
        <v>2015</v>
      </c>
      <c r="H612">
        <v>2015</v>
      </c>
      <c r="I612" t="s">
        <v>29</v>
      </c>
      <c r="J612" t="s">
        <v>29</v>
      </c>
      <c r="K612" t="s">
        <v>29</v>
      </c>
      <c r="L612" t="s">
        <v>29</v>
      </c>
      <c r="M612" t="s">
        <v>29</v>
      </c>
      <c r="N612">
        <v>41</v>
      </c>
      <c r="O612">
        <v>56</v>
      </c>
      <c r="P612" t="s">
        <v>29</v>
      </c>
      <c r="Q612" t="s">
        <v>29</v>
      </c>
      <c r="R612" t="s">
        <v>2743</v>
      </c>
      <c r="S612" t="s">
        <v>2744</v>
      </c>
      <c r="T612">
        <v>0</v>
      </c>
      <c r="U612">
        <v>0</v>
      </c>
      <c r="V612">
        <v>0</v>
      </c>
      <c r="W612">
        <v>0</v>
      </c>
      <c r="X612">
        <v>0</v>
      </c>
      <c r="Y612">
        <v>0</v>
      </c>
      <c r="Z612">
        <v>0</v>
      </c>
      <c r="AA612">
        <v>0</v>
      </c>
      <c r="AB612">
        <v>0</v>
      </c>
      <c r="AC612">
        <v>0</v>
      </c>
      <c r="AD612">
        <v>0</v>
      </c>
      <c r="AE612">
        <v>0</v>
      </c>
      <c r="AF612">
        <v>0</v>
      </c>
      <c r="AG612">
        <v>0</v>
      </c>
      <c r="AH612">
        <v>0</v>
      </c>
      <c r="AI612">
        <v>0</v>
      </c>
      <c r="AJ612">
        <v>0</v>
      </c>
      <c r="AK612">
        <v>0</v>
      </c>
      <c r="AL612">
        <v>0</v>
      </c>
      <c r="AM612">
        <v>0</v>
      </c>
      <c r="AN612">
        <v>0</v>
      </c>
      <c r="AO612">
        <v>0</v>
      </c>
      <c r="AP612">
        <v>0</v>
      </c>
      <c r="AQ612">
        <v>0</v>
      </c>
      <c r="AR612">
        <v>0</v>
      </c>
      <c r="AS612">
        <v>0</v>
      </c>
      <c r="AT612">
        <v>0</v>
      </c>
      <c r="AU612">
        <v>0</v>
      </c>
      <c r="AV612">
        <v>0</v>
      </c>
      <c r="AW612">
        <v>0</v>
      </c>
      <c r="AX612">
        <v>0</v>
      </c>
      <c r="AY612">
        <v>0</v>
      </c>
      <c r="AZ612">
        <v>0</v>
      </c>
      <c r="BA612">
        <v>0</v>
      </c>
      <c r="BB612">
        <v>0</v>
      </c>
      <c r="BC612">
        <v>0</v>
      </c>
      <c r="BD612">
        <v>0</v>
      </c>
      <c r="BE612">
        <v>0</v>
      </c>
      <c r="BF612">
        <v>0</v>
      </c>
      <c r="BG612">
        <v>0</v>
      </c>
      <c r="BH612">
        <v>0</v>
      </c>
      <c r="BI612">
        <v>0</v>
      </c>
      <c r="BJ612">
        <v>0</v>
      </c>
      <c r="BK612">
        <v>0</v>
      </c>
      <c r="BL612">
        <v>0</v>
      </c>
      <c r="BM612">
        <v>0</v>
      </c>
      <c r="BN612">
        <v>0</v>
      </c>
      <c r="BO612">
        <v>0</v>
      </c>
      <c r="BP612">
        <v>0</v>
      </c>
      <c r="BQ612">
        <v>0</v>
      </c>
      <c r="BR612">
        <v>0</v>
      </c>
      <c r="BS612">
        <v>0</v>
      </c>
    </row>
    <row r="613" spans="1:71" x14ac:dyDescent="0.3">
      <c r="A613" t="s">
        <v>2745</v>
      </c>
      <c r="B613" t="s">
        <v>2746</v>
      </c>
      <c r="C613" t="s">
        <v>29</v>
      </c>
      <c r="D613" t="s">
        <v>29</v>
      </c>
      <c r="E613" t="s">
        <v>1228</v>
      </c>
      <c r="F613" t="s">
        <v>2747</v>
      </c>
      <c r="G613">
        <v>2015</v>
      </c>
      <c r="H613">
        <v>2015</v>
      </c>
      <c r="I613" t="s">
        <v>29</v>
      </c>
      <c r="J613" t="s">
        <v>29</v>
      </c>
      <c r="K613" t="s">
        <v>29</v>
      </c>
      <c r="L613" t="s">
        <v>29</v>
      </c>
      <c r="M613" t="s">
        <v>29</v>
      </c>
      <c r="N613">
        <v>6090</v>
      </c>
      <c r="O613">
        <v>6096</v>
      </c>
      <c r="P613" t="s">
        <v>29</v>
      </c>
      <c r="Q613" t="s">
        <v>29</v>
      </c>
      <c r="R613" t="s">
        <v>2748</v>
      </c>
      <c r="S613" t="s">
        <v>2749</v>
      </c>
      <c r="T613">
        <v>0</v>
      </c>
      <c r="U613">
        <v>0</v>
      </c>
      <c r="V613">
        <v>0</v>
      </c>
      <c r="W613">
        <v>0</v>
      </c>
      <c r="X613">
        <v>0</v>
      </c>
      <c r="Y613">
        <v>0</v>
      </c>
      <c r="Z613">
        <v>0</v>
      </c>
      <c r="AA613">
        <v>0</v>
      </c>
      <c r="AB613">
        <v>0</v>
      </c>
      <c r="AC613">
        <v>0</v>
      </c>
      <c r="AD613">
        <v>0</v>
      </c>
      <c r="AE613">
        <v>0</v>
      </c>
      <c r="AF613">
        <v>0</v>
      </c>
      <c r="AG613">
        <v>0</v>
      </c>
      <c r="AH613">
        <v>0</v>
      </c>
      <c r="AI613">
        <v>0</v>
      </c>
      <c r="AJ613">
        <v>0</v>
      </c>
      <c r="AK613">
        <v>0</v>
      </c>
      <c r="AL613">
        <v>0</v>
      </c>
      <c r="AM613">
        <v>0</v>
      </c>
      <c r="AN613">
        <v>0</v>
      </c>
      <c r="AO613">
        <v>0</v>
      </c>
      <c r="AP613">
        <v>0</v>
      </c>
      <c r="AQ613">
        <v>0</v>
      </c>
      <c r="AR613">
        <v>0</v>
      </c>
      <c r="AS613">
        <v>0</v>
      </c>
      <c r="AT613">
        <v>0</v>
      </c>
      <c r="AU613">
        <v>0</v>
      </c>
      <c r="AV613">
        <v>0</v>
      </c>
      <c r="AW613">
        <v>0</v>
      </c>
      <c r="AX613">
        <v>0</v>
      </c>
      <c r="AY613">
        <v>0</v>
      </c>
      <c r="AZ613">
        <v>0</v>
      </c>
      <c r="BA613">
        <v>0</v>
      </c>
      <c r="BB613">
        <v>0</v>
      </c>
      <c r="BC613">
        <v>0</v>
      </c>
      <c r="BD613">
        <v>0</v>
      </c>
      <c r="BE613">
        <v>0</v>
      </c>
      <c r="BF613">
        <v>0</v>
      </c>
      <c r="BG613">
        <v>0</v>
      </c>
      <c r="BH613">
        <v>0</v>
      </c>
      <c r="BI613">
        <v>0</v>
      </c>
      <c r="BJ613">
        <v>0</v>
      </c>
      <c r="BK613">
        <v>0</v>
      </c>
      <c r="BL613">
        <v>0</v>
      </c>
      <c r="BM613">
        <v>0</v>
      </c>
      <c r="BN613">
        <v>0</v>
      </c>
      <c r="BO613">
        <v>0</v>
      </c>
      <c r="BP613">
        <v>0</v>
      </c>
      <c r="BQ613">
        <v>0</v>
      </c>
      <c r="BR613">
        <v>0</v>
      </c>
      <c r="BS613">
        <v>0</v>
      </c>
    </row>
    <row r="614" spans="1:71" x14ac:dyDescent="0.3">
      <c r="A614" t="s">
        <v>2750</v>
      </c>
      <c r="B614" t="s">
        <v>2751</v>
      </c>
      <c r="C614" t="s">
        <v>29</v>
      </c>
      <c r="D614" t="s">
        <v>29</v>
      </c>
      <c r="E614" t="s">
        <v>29</v>
      </c>
      <c r="F614" t="s">
        <v>1478</v>
      </c>
      <c r="G614" t="s">
        <v>2752</v>
      </c>
      <c r="H614">
        <v>2014</v>
      </c>
      <c r="I614">
        <v>15</v>
      </c>
      <c r="J614">
        <v>2</v>
      </c>
      <c r="K614" t="s">
        <v>29</v>
      </c>
      <c r="L614" t="s">
        <v>29</v>
      </c>
      <c r="M614" t="s">
        <v>29</v>
      </c>
      <c r="N614">
        <v>351</v>
      </c>
      <c r="O614">
        <v>379</v>
      </c>
      <c r="P614" t="s">
        <v>29</v>
      </c>
      <c r="Q614" t="s">
        <v>2753</v>
      </c>
      <c r="R614" t="s">
        <v>29</v>
      </c>
      <c r="S614" t="s">
        <v>29</v>
      </c>
      <c r="T614">
        <v>0</v>
      </c>
      <c r="U614">
        <v>0</v>
      </c>
      <c r="V614">
        <v>0</v>
      </c>
      <c r="W614">
        <v>0</v>
      </c>
      <c r="X614">
        <v>0</v>
      </c>
      <c r="Y614">
        <v>0</v>
      </c>
      <c r="Z614">
        <v>0</v>
      </c>
      <c r="AA614">
        <v>0</v>
      </c>
      <c r="AB614">
        <v>0</v>
      </c>
      <c r="AC614">
        <v>0</v>
      </c>
      <c r="AD614">
        <v>0</v>
      </c>
      <c r="AE614">
        <v>0</v>
      </c>
      <c r="AF614">
        <v>0</v>
      </c>
      <c r="AG614">
        <v>0</v>
      </c>
      <c r="AH614">
        <v>0</v>
      </c>
      <c r="AI614">
        <v>0</v>
      </c>
      <c r="AJ614">
        <v>0</v>
      </c>
      <c r="AK614">
        <v>0</v>
      </c>
      <c r="AL614">
        <v>0</v>
      </c>
      <c r="AM614">
        <v>0</v>
      </c>
      <c r="AN614">
        <v>0</v>
      </c>
      <c r="AO614">
        <v>0</v>
      </c>
      <c r="AP614">
        <v>0</v>
      </c>
      <c r="AQ614">
        <v>0</v>
      </c>
      <c r="AR614">
        <v>0</v>
      </c>
      <c r="AS614">
        <v>0</v>
      </c>
      <c r="AT614">
        <v>0</v>
      </c>
      <c r="AU614">
        <v>0</v>
      </c>
      <c r="AV614">
        <v>0</v>
      </c>
      <c r="AW614">
        <v>0</v>
      </c>
      <c r="AX614">
        <v>0</v>
      </c>
      <c r="AY614">
        <v>0</v>
      </c>
      <c r="AZ614">
        <v>0</v>
      </c>
      <c r="BA614">
        <v>0</v>
      </c>
      <c r="BB614">
        <v>0</v>
      </c>
      <c r="BC614">
        <v>0</v>
      </c>
      <c r="BD614">
        <v>0</v>
      </c>
      <c r="BE614">
        <v>0</v>
      </c>
      <c r="BF614">
        <v>0</v>
      </c>
      <c r="BG614">
        <v>0</v>
      </c>
      <c r="BH614">
        <v>0</v>
      </c>
      <c r="BI614">
        <v>0</v>
      </c>
      <c r="BJ614">
        <v>0</v>
      </c>
      <c r="BK614">
        <v>0</v>
      </c>
      <c r="BL614">
        <v>0</v>
      </c>
      <c r="BM614">
        <v>0</v>
      </c>
      <c r="BN614">
        <v>0</v>
      </c>
      <c r="BO614">
        <v>0</v>
      </c>
      <c r="BP614">
        <v>0</v>
      </c>
      <c r="BQ614">
        <v>0</v>
      </c>
      <c r="BR614">
        <v>0</v>
      </c>
      <c r="BS614">
        <v>0</v>
      </c>
    </row>
    <row r="615" spans="1:71" x14ac:dyDescent="0.3">
      <c r="A615" t="s">
        <v>2754</v>
      </c>
      <c r="B615" t="s">
        <v>2755</v>
      </c>
      <c r="C615" t="s">
        <v>29</v>
      </c>
      <c r="D615" t="s">
        <v>29</v>
      </c>
      <c r="E615" t="s">
        <v>1228</v>
      </c>
      <c r="F615" t="s">
        <v>2756</v>
      </c>
      <c r="G615">
        <v>2014</v>
      </c>
      <c r="H615">
        <v>2014</v>
      </c>
      <c r="I615" t="s">
        <v>29</v>
      </c>
      <c r="J615" t="s">
        <v>29</v>
      </c>
      <c r="K615" t="s">
        <v>29</v>
      </c>
      <c r="L615" t="s">
        <v>29</v>
      </c>
      <c r="M615" t="s">
        <v>29</v>
      </c>
      <c r="N615">
        <v>4885</v>
      </c>
      <c r="O615">
        <v>4887</v>
      </c>
      <c r="P615" t="s">
        <v>29</v>
      </c>
      <c r="Q615" t="s">
        <v>29</v>
      </c>
      <c r="R615" t="s">
        <v>2757</v>
      </c>
      <c r="S615" t="s">
        <v>2758</v>
      </c>
      <c r="T615">
        <v>0</v>
      </c>
      <c r="U615">
        <v>0</v>
      </c>
      <c r="V615">
        <v>0</v>
      </c>
      <c r="W615">
        <v>0</v>
      </c>
      <c r="X615">
        <v>0</v>
      </c>
      <c r="Y615">
        <v>0</v>
      </c>
      <c r="Z615">
        <v>0</v>
      </c>
      <c r="AA615">
        <v>0</v>
      </c>
      <c r="AB615">
        <v>0</v>
      </c>
      <c r="AC615">
        <v>0</v>
      </c>
      <c r="AD615">
        <v>0</v>
      </c>
      <c r="AE615">
        <v>0</v>
      </c>
      <c r="AF615">
        <v>0</v>
      </c>
      <c r="AG615">
        <v>0</v>
      </c>
      <c r="AH615">
        <v>0</v>
      </c>
      <c r="AI615">
        <v>0</v>
      </c>
      <c r="AJ615">
        <v>0</v>
      </c>
      <c r="AK615">
        <v>0</v>
      </c>
      <c r="AL615">
        <v>0</v>
      </c>
      <c r="AM615">
        <v>0</v>
      </c>
      <c r="AN615">
        <v>0</v>
      </c>
      <c r="AO615">
        <v>0</v>
      </c>
      <c r="AP615">
        <v>0</v>
      </c>
      <c r="AQ615">
        <v>0</v>
      </c>
      <c r="AR615">
        <v>0</v>
      </c>
      <c r="AS615">
        <v>0</v>
      </c>
      <c r="AT615">
        <v>0</v>
      </c>
      <c r="AU615">
        <v>0</v>
      </c>
      <c r="AV615">
        <v>0</v>
      </c>
      <c r="AW615">
        <v>0</v>
      </c>
      <c r="AX615">
        <v>0</v>
      </c>
      <c r="AY615">
        <v>0</v>
      </c>
      <c r="AZ615">
        <v>0</v>
      </c>
      <c r="BA615">
        <v>0</v>
      </c>
      <c r="BB615">
        <v>0</v>
      </c>
      <c r="BC615">
        <v>0</v>
      </c>
      <c r="BD615">
        <v>0</v>
      </c>
      <c r="BE615">
        <v>0</v>
      </c>
      <c r="BF615">
        <v>0</v>
      </c>
      <c r="BG615">
        <v>0</v>
      </c>
      <c r="BH615">
        <v>0</v>
      </c>
      <c r="BI615">
        <v>0</v>
      </c>
      <c r="BJ615">
        <v>0</v>
      </c>
      <c r="BK615">
        <v>0</v>
      </c>
      <c r="BL615">
        <v>0</v>
      </c>
      <c r="BM615">
        <v>0</v>
      </c>
      <c r="BN615">
        <v>0</v>
      </c>
      <c r="BO615">
        <v>0</v>
      </c>
      <c r="BP615">
        <v>0</v>
      </c>
      <c r="BQ615">
        <v>0</v>
      </c>
      <c r="BR615">
        <v>0</v>
      </c>
      <c r="BS615">
        <v>0</v>
      </c>
    </row>
    <row r="616" spans="1:71" x14ac:dyDescent="0.3">
      <c r="A616" t="s">
        <v>2759</v>
      </c>
      <c r="B616" t="s">
        <v>2760</v>
      </c>
      <c r="C616" t="s">
        <v>29</v>
      </c>
      <c r="D616" t="s">
        <v>29</v>
      </c>
      <c r="E616" t="s">
        <v>29</v>
      </c>
      <c r="F616" t="s">
        <v>2761</v>
      </c>
      <c r="G616">
        <v>2014</v>
      </c>
      <c r="H616">
        <v>2014</v>
      </c>
      <c r="I616" t="s">
        <v>29</v>
      </c>
      <c r="J616" t="s">
        <v>29</v>
      </c>
      <c r="K616" t="s">
        <v>29</v>
      </c>
      <c r="L616" t="s">
        <v>29</v>
      </c>
      <c r="M616" t="s">
        <v>29</v>
      </c>
      <c r="N616" t="s">
        <v>29</v>
      </c>
      <c r="O616" t="s">
        <v>29</v>
      </c>
      <c r="P616" t="s">
        <v>29</v>
      </c>
      <c r="Q616" t="s">
        <v>29</v>
      </c>
      <c r="R616" t="s">
        <v>2762</v>
      </c>
      <c r="S616" t="s">
        <v>2763</v>
      </c>
      <c r="T616">
        <v>0</v>
      </c>
      <c r="U616">
        <v>0</v>
      </c>
      <c r="V616">
        <v>0</v>
      </c>
      <c r="W616">
        <v>0</v>
      </c>
      <c r="X616">
        <v>0</v>
      </c>
      <c r="Y616">
        <v>0</v>
      </c>
      <c r="Z616">
        <v>0</v>
      </c>
      <c r="AA616">
        <v>0</v>
      </c>
      <c r="AB616">
        <v>0</v>
      </c>
      <c r="AC616">
        <v>0</v>
      </c>
      <c r="AD616">
        <v>0</v>
      </c>
      <c r="AE616">
        <v>0</v>
      </c>
      <c r="AF616">
        <v>0</v>
      </c>
      <c r="AG616">
        <v>0</v>
      </c>
      <c r="AH616">
        <v>0</v>
      </c>
      <c r="AI616">
        <v>0</v>
      </c>
      <c r="AJ616">
        <v>0</v>
      </c>
      <c r="AK616">
        <v>0</v>
      </c>
      <c r="AL616">
        <v>0</v>
      </c>
      <c r="AM616">
        <v>0</v>
      </c>
      <c r="AN616">
        <v>0</v>
      </c>
      <c r="AO616">
        <v>0</v>
      </c>
      <c r="AP616">
        <v>0</v>
      </c>
      <c r="AQ616">
        <v>0</v>
      </c>
      <c r="AR616">
        <v>0</v>
      </c>
      <c r="AS616">
        <v>0</v>
      </c>
      <c r="AT616">
        <v>0</v>
      </c>
      <c r="AU616">
        <v>0</v>
      </c>
      <c r="AV616">
        <v>0</v>
      </c>
      <c r="AW616">
        <v>0</v>
      </c>
      <c r="AX616">
        <v>0</v>
      </c>
      <c r="AY616">
        <v>0</v>
      </c>
      <c r="AZ616">
        <v>0</v>
      </c>
      <c r="BA616">
        <v>0</v>
      </c>
      <c r="BB616">
        <v>0</v>
      </c>
      <c r="BC616">
        <v>0</v>
      </c>
      <c r="BD616">
        <v>0</v>
      </c>
      <c r="BE616">
        <v>0</v>
      </c>
      <c r="BF616">
        <v>0</v>
      </c>
      <c r="BG616">
        <v>0</v>
      </c>
      <c r="BH616">
        <v>0</v>
      </c>
      <c r="BI616">
        <v>0</v>
      </c>
      <c r="BJ616">
        <v>0</v>
      </c>
      <c r="BK616">
        <v>0</v>
      </c>
      <c r="BL616">
        <v>0</v>
      </c>
      <c r="BM616">
        <v>0</v>
      </c>
      <c r="BN616">
        <v>0</v>
      </c>
      <c r="BO616">
        <v>0</v>
      </c>
      <c r="BP616">
        <v>0</v>
      </c>
      <c r="BQ616">
        <v>0</v>
      </c>
      <c r="BR616">
        <v>0</v>
      </c>
      <c r="BS616">
        <v>0</v>
      </c>
    </row>
    <row r="617" spans="1:71" x14ac:dyDescent="0.3">
      <c r="A617" t="s">
        <v>2764</v>
      </c>
      <c r="B617" t="s">
        <v>2765</v>
      </c>
      <c r="C617" t="s">
        <v>29</v>
      </c>
      <c r="D617" t="s">
        <v>29</v>
      </c>
      <c r="E617" t="s">
        <v>2766</v>
      </c>
      <c r="F617" t="s">
        <v>2767</v>
      </c>
      <c r="G617">
        <v>2014</v>
      </c>
      <c r="H617">
        <v>2014</v>
      </c>
      <c r="I617" t="s">
        <v>29</v>
      </c>
      <c r="J617" t="s">
        <v>29</v>
      </c>
      <c r="K617" t="s">
        <v>29</v>
      </c>
      <c r="L617" t="s">
        <v>29</v>
      </c>
      <c r="M617" t="s">
        <v>29</v>
      </c>
      <c r="N617">
        <v>209</v>
      </c>
      <c r="O617">
        <v>211</v>
      </c>
      <c r="P617" t="s">
        <v>29</v>
      </c>
      <c r="Q617" t="s">
        <v>29</v>
      </c>
      <c r="R617" t="s">
        <v>2768</v>
      </c>
      <c r="S617" t="s">
        <v>2769</v>
      </c>
      <c r="T617">
        <v>0</v>
      </c>
      <c r="U617">
        <v>0</v>
      </c>
      <c r="V617">
        <v>0</v>
      </c>
      <c r="W617">
        <v>0</v>
      </c>
      <c r="X617">
        <v>0</v>
      </c>
      <c r="Y617">
        <v>0</v>
      </c>
      <c r="Z617">
        <v>0</v>
      </c>
      <c r="AA617">
        <v>0</v>
      </c>
      <c r="AB617">
        <v>0</v>
      </c>
      <c r="AC617">
        <v>0</v>
      </c>
      <c r="AD617">
        <v>0</v>
      </c>
      <c r="AE617">
        <v>0</v>
      </c>
      <c r="AF617">
        <v>0</v>
      </c>
      <c r="AG617">
        <v>0</v>
      </c>
      <c r="AH617">
        <v>0</v>
      </c>
      <c r="AI617">
        <v>0</v>
      </c>
      <c r="AJ617">
        <v>0</v>
      </c>
      <c r="AK617">
        <v>0</v>
      </c>
      <c r="AL617">
        <v>0</v>
      </c>
      <c r="AM617">
        <v>0</v>
      </c>
      <c r="AN617">
        <v>0</v>
      </c>
      <c r="AO617">
        <v>0</v>
      </c>
      <c r="AP617">
        <v>0</v>
      </c>
      <c r="AQ617">
        <v>0</v>
      </c>
      <c r="AR617">
        <v>0</v>
      </c>
      <c r="AS617">
        <v>0</v>
      </c>
      <c r="AT617">
        <v>0</v>
      </c>
      <c r="AU617">
        <v>0</v>
      </c>
      <c r="AV617">
        <v>0</v>
      </c>
      <c r="AW617">
        <v>0</v>
      </c>
      <c r="AX617">
        <v>0</v>
      </c>
      <c r="AY617">
        <v>0</v>
      </c>
      <c r="AZ617">
        <v>0</v>
      </c>
      <c r="BA617">
        <v>0</v>
      </c>
      <c r="BB617">
        <v>0</v>
      </c>
      <c r="BC617">
        <v>0</v>
      </c>
      <c r="BD617">
        <v>0</v>
      </c>
      <c r="BE617">
        <v>0</v>
      </c>
      <c r="BF617">
        <v>0</v>
      </c>
      <c r="BG617">
        <v>0</v>
      </c>
      <c r="BH617">
        <v>0</v>
      </c>
      <c r="BI617">
        <v>0</v>
      </c>
      <c r="BJ617">
        <v>0</v>
      </c>
      <c r="BK617">
        <v>0</v>
      </c>
      <c r="BL617">
        <v>0</v>
      </c>
      <c r="BM617">
        <v>0</v>
      </c>
      <c r="BN617">
        <v>0</v>
      </c>
      <c r="BO617">
        <v>0</v>
      </c>
      <c r="BP617">
        <v>0</v>
      </c>
      <c r="BQ617">
        <v>0</v>
      </c>
      <c r="BR617">
        <v>0</v>
      </c>
      <c r="BS617">
        <v>0</v>
      </c>
    </row>
    <row r="618" spans="1:71" x14ac:dyDescent="0.3">
      <c r="A618" t="s">
        <v>2770</v>
      </c>
      <c r="B618" t="s">
        <v>2771</v>
      </c>
      <c r="C618" t="s">
        <v>29</v>
      </c>
      <c r="D618" t="s">
        <v>29</v>
      </c>
      <c r="E618" t="s">
        <v>29</v>
      </c>
      <c r="F618" t="s">
        <v>696</v>
      </c>
      <c r="G618" t="s">
        <v>2772</v>
      </c>
      <c r="H618">
        <v>2013</v>
      </c>
      <c r="I618">
        <v>5</v>
      </c>
      <c r="J618">
        <v>2</v>
      </c>
      <c r="K618" t="s">
        <v>29</v>
      </c>
      <c r="L618" t="s">
        <v>29</v>
      </c>
      <c r="M618" t="s">
        <v>29</v>
      </c>
      <c r="N618">
        <v>14</v>
      </c>
      <c r="O618">
        <v>35</v>
      </c>
      <c r="P618" t="s">
        <v>29</v>
      </c>
      <c r="Q618" t="s">
        <v>29</v>
      </c>
      <c r="R618" t="s">
        <v>29</v>
      </c>
      <c r="S618" t="s">
        <v>29</v>
      </c>
      <c r="T618">
        <v>0</v>
      </c>
      <c r="U618">
        <v>0</v>
      </c>
      <c r="V618">
        <v>0</v>
      </c>
      <c r="W618">
        <v>0</v>
      </c>
      <c r="X618">
        <v>0</v>
      </c>
      <c r="Y618">
        <v>0</v>
      </c>
      <c r="Z618">
        <v>0</v>
      </c>
      <c r="AA618">
        <v>0</v>
      </c>
      <c r="AB618">
        <v>0</v>
      </c>
      <c r="AC618">
        <v>0</v>
      </c>
      <c r="AD618">
        <v>0</v>
      </c>
      <c r="AE618">
        <v>0</v>
      </c>
      <c r="AF618">
        <v>0</v>
      </c>
      <c r="AG618">
        <v>0</v>
      </c>
      <c r="AH618">
        <v>0</v>
      </c>
      <c r="AI618">
        <v>0</v>
      </c>
      <c r="AJ618">
        <v>0</v>
      </c>
      <c r="AK618">
        <v>0</v>
      </c>
      <c r="AL618">
        <v>0</v>
      </c>
      <c r="AM618">
        <v>0</v>
      </c>
      <c r="AN618">
        <v>0</v>
      </c>
      <c r="AO618">
        <v>0</v>
      </c>
      <c r="AP618">
        <v>0</v>
      </c>
      <c r="AQ618">
        <v>0</v>
      </c>
      <c r="AR618">
        <v>0</v>
      </c>
      <c r="AS618">
        <v>0</v>
      </c>
      <c r="AT618">
        <v>0</v>
      </c>
      <c r="AU618">
        <v>0</v>
      </c>
      <c r="AV618">
        <v>0</v>
      </c>
      <c r="AW618">
        <v>0</v>
      </c>
      <c r="AX618">
        <v>0</v>
      </c>
      <c r="AY618">
        <v>0</v>
      </c>
      <c r="AZ618">
        <v>0</v>
      </c>
      <c r="BA618">
        <v>0</v>
      </c>
      <c r="BB618">
        <v>0</v>
      </c>
      <c r="BC618">
        <v>0</v>
      </c>
      <c r="BD618">
        <v>0</v>
      </c>
      <c r="BE618">
        <v>0</v>
      </c>
      <c r="BF618">
        <v>0</v>
      </c>
      <c r="BG618">
        <v>0</v>
      </c>
      <c r="BH618">
        <v>0</v>
      </c>
      <c r="BI618">
        <v>0</v>
      </c>
      <c r="BJ618">
        <v>0</v>
      </c>
      <c r="BK618">
        <v>0</v>
      </c>
      <c r="BL618">
        <v>0</v>
      </c>
      <c r="BM618">
        <v>0</v>
      </c>
      <c r="BN618">
        <v>0</v>
      </c>
      <c r="BO618">
        <v>0</v>
      </c>
      <c r="BP618">
        <v>0</v>
      </c>
      <c r="BQ618">
        <v>0</v>
      </c>
      <c r="BR618">
        <v>0</v>
      </c>
      <c r="BS618">
        <v>0</v>
      </c>
    </row>
    <row r="619" spans="1:71" x14ac:dyDescent="0.3">
      <c r="A619" t="s">
        <v>2773</v>
      </c>
      <c r="B619" t="s">
        <v>2774</v>
      </c>
      <c r="C619" t="s">
        <v>29</v>
      </c>
      <c r="D619" t="s">
        <v>29</v>
      </c>
      <c r="E619" t="s">
        <v>29</v>
      </c>
      <c r="F619" t="s">
        <v>2775</v>
      </c>
      <c r="G619">
        <v>2013</v>
      </c>
      <c r="H619">
        <v>2013</v>
      </c>
      <c r="I619" t="s">
        <v>29</v>
      </c>
      <c r="J619" t="s">
        <v>29</v>
      </c>
      <c r="K619" t="s">
        <v>29</v>
      </c>
      <c r="L619" t="s">
        <v>29</v>
      </c>
      <c r="M619" t="s">
        <v>29</v>
      </c>
      <c r="N619" t="s">
        <v>29</v>
      </c>
      <c r="O619" t="s">
        <v>29</v>
      </c>
      <c r="P619" t="s">
        <v>29</v>
      </c>
      <c r="Q619" t="s">
        <v>29</v>
      </c>
      <c r="R619" t="s">
        <v>2776</v>
      </c>
      <c r="S619" t="s">
        <v>2777</v>
      </c>
      <c r="T619">
        <v>0</v>
      </c>
      <c r="U619">
        <v>0</v>
      </c>
      <c r="V619">
        <v>0</v>
      </c>
      <c r="W619">
        <v>0</v>
      </c>
      <c r="X619">
        <v>0</v>
      </c>
      <c r="Y619">
        <v>0</v>
      </c>
      <c r="Z619">
        <v>0</v>
      </c>
      <c r="AA619">
        <v>0</v>
      </c>
      <c r="AB619">
        <v>0</v>
      </c>
      <c r="AC619">
        <v>0</v>
      </c>
      <c r="AD619">
        <v>0</v>
      </c>
      <c r="AE619">
        <v>0</v>
      </c>
      <c r="AF619">
        <v>0</v>
      </c>
      <c r="AG619">
        <v>0</v>
      </c>
      <c r="AH619">
        <v>0</v>
      </c>
      <c r="AI619">
        <v>0</v>
      </c>
      <c r="AJ619">
        <v>0</v>
      </c>
      <c r="AK619">
        <v>0</v>
      </c>
      <c r="AL619">
        <v>0</v>
      </c>
      <c r="AM619">
        <v>0</v>
      </c>
      <c r="AN619">
        <v>0</v>
      </c>
      <c r="AO619">
        <v>0</v>
      </c>
      <c r="AP619">
        <v>0</v>
      </c>
      <c r="AQ619">
        <v>0</v>
      </c>
      <c r="AR619">
        <v>0</v>
      </c>
      <c r="AS619">
        <v>0</v>
      </c>
      <c r="AT619">
        <v>0</v>
      </c>
      <c r="AU619">
        <v>0</v>
      </c>
      <c r="AV619">
        <v>0</v>
      </c>
      <c r="AW619">
        <v>0</v>
      </c>
      <c r="AX619">
        <v>0</v>
      </c>
      <c r="AY619">
        <v>0</v>
      </c>
      <c r="AZ619">
        <v>0</v>
      </c>
      <c r="BA619">
        <v>0</v>
      </c>
      <c r="BB619">
        <v>0</v>
      </c>
      <c r="BC619">
        <v>0</v>
      </c>
      <c r="BD619">
        <v>0</v>
      </c>
      <c r="BE619">
        <v>0</v>
      </c>
      <c r="BF619">
        <v>0</v>
      </c>
      <c r="BG619">
        <v>0</v>
      </c>
      <c r="BH619">
        <v>0</v>
      </c>
      <c r="BI619">
        <v>0</v>
      </c>
      <c r="BJ619">
        <v>0</v>
      </c>
      <c r="BK619">
        <v>0</v>
      </c>
      <c r="BL619">
        <v>0</v>
      </c>
      <c r="BM619">
        <v>0</v>
      </c>
      <c r="BN619">
        <v>0</v>
      </c>
      <c r="BO619">
        <v>0</v>
      </c>
      <c r="BP619">
        <v>0</v>
      </c>
      <c r="BQ619">
        <v>0</v>
      </c>
      <c r="BR619">
        <v>0</v>
      </c>
      <c r="BS619">
        <v>0</v>
      </c>
    </row>
    <row r="620" spans="1:71" x14ac:dyDescent="0.3">
      <c r="A620" t="s">
        <v>2778</v>
      </c>
      <c r="B620" t="s">
        <v>2779</v>
      </c>
      <c r="C620" t="s">
        <v>29</v>
      </c>
      <c r="D620" t="s">
        <v>29</v>
      </c>
      <c r="E620" t="s">
        <v>1228</v>
      </c>
      <c r="F620" t="s">
        <v>2780</v>
      </c>
      <c r="G620">
        <v>2013</v>
      </c>
      <c r="H620">
        <v>2013</v>
      </c>
      <c r="I620" t="s">
        <v>29</v>
      </c>
      <c r="J620" t="s">
        <v>29</v>
      </c>
      <c r="K620" t="s">
        <v>29</v>
      </c>
      <c r="L620" t="s">
        <v>29</v>
      </c>
      <c r="M620" t="s">
        <v>29</v>
      </c>
      <c r="N620">
        <v>4668</v>
      </c>
      <c r="O620">
        <v>4675</v>
      </c>
      <c r="P620" t="s">
        <v>29</v>
      </c>
      <c r="Q620" t="s">
        <v>29</v>
      </c>
      <c r="R620" t="s">
        <v>2781</v>
      </c>
      <c r="S620" t="s">
        <v>2782</v>
      </c>
      <c r="T620">
        <v>0</v>
      </c>
      <c r="U620">
        <v>0</v>
      </c>
      <c r="V620">
        <v>0</v>
      </c>
      <c r="W620">
        <v>0</v>
      </c>
      <c r="X620">
        <v>0</v>
      </c>
      <c r="Y620">
        <v>0</v>
      </c>
      <c r="Z620">
        <v>0</v>
      </c>
      <c r="AA620">
        <v>0</v>
      </c>
      <c r="AB620">
        <v>0</v>
      </c>
      <c r="AC620">
        <v>0</v>
      </c>
      <c r="AD620">
        <v>0</v>
      </c>
      <c r="AE620">
        <v>0</v>
      </c>
      <c r="AF620">
        <v>0</v>
      </c>
      <c r="AG620">
        <v>0</v>
      </c>
      <c r="AH620">
        <v>0</v>
      </c>
      <c r="AI620">
        <v>0</v>
      </c>
      <c r="AJ620">
        <v>0</v>
      </c>
      <c r="AK620">
        <v>0</v>
      </c>
      <c r="AL620">
        <v>0</v>
      </c>
      <c r="AM620">
        <v>0</v>
      </c>
      <c r="AN620">
        <v>0</v>
      </c>
      <c r="AO620">
        <v>0</v>
      </c>
      <c r="AP620">
        <v>0</v>
      </c>
      <c r="AQ620">
        <v>0</v>
      </c>
      <c r="AR620">
        <v>0</v>
      </c>
      <c r="AS620">
        <v>0</v>
      </c>
      <c r="AT620">
        <v>0</v>
      </c>
      <c r="AU620">
        <v>0</v>
      </c>
      <c r="AV620">
        <v>0</v>
      </c>
      <c r="AW620">
        <v>0</v>
      </c>
      <c r="AX620">
        <v>0</v>
      </c>
      <c r="AY620">
        <v>0</v>
      </c>
      <c r="AZ620">
        <v>0</v>
      </c>
      <c r="BA620">
        <v>0</v>
      </c>
      <c r="BB620">
        <v>0</v>
      </c>
      <c r="BC620">
        <v>0</v>
      </c>
      <c r="BD620">
        <v>0</v>
      </c>
      <c r="BE620">
        <v>0</v>
      </c>
      <c r="BF620">
        <v>0</v>
      </c>
      <c r="BG620">
        <v>0</v>
      </c>
      <c r="BH620">
        <v>0</v>
      </c>
      <c r="BI620">
        <v>0</v>
      </c>
      <c r="BJ620">
        <v>0</v>
      </c>
      <c r="BK620">
        <v>0</v>
      </c>
      <c r="BL620">
        <v>0</v>
      </c>
      <c r="BM620">
        <v>0</v>
      </c>
      <c r="BN620">
        <v>0</v>
      </c>
      <c r="BO620">
        <v>0</v>
      </c>
      <c r="BP620">
        <v>0</v>
      </c>
      <c r="BQ620">
        <v>0</v>
      </c>
      <c r="BR620">
        <v>0</v>
      </c>
      <c r="BS620">
        <v>0</v>
      </c>
    </row>
    <row r="621" spans="1:71" x14ac:dyDescent="0.3">
      <c r="A621" t="s">
        <v>2783</v>
      </c>
      <c r="B621" t="s">
        <v>2784</v>
      </c>
      <c r="C621" t="s">
        <v>29</v>
      </c>
      <c r="D621" t="s">
        <v>29</v>
      </c>
      <c r="E621" t="s">
        <v>2785</v>
      </c>
      <c r="F621" t="s">
        <v>2786</v>
      </c>
      <c r="G621">
        <v>2013</v>
      </c>
      <c r="H621">
        <v>2013</v>
      </c>
      <c r="I621">
        <v>33</v>
      </c>
      <c r="J621" t="s">
        <v>29</v>
      </c>
      <c r="K621" t="s">
        <v>29</v>
      </c>
      <c r="L621" t="s">
        <v>29</v>
      </c>
      <c r="M621" t="s">
        <v>29</v>
      </c>
      <c r="N621">
        <v>461</v>
      </c>
      <c r="O621">
        <v>470</v>
      </c>
      <c r="P621" t="s">
        <v>29</v>
      </c>
      <c r="Q621" t="s">
        <v>29</v>
      </c>
      <c r="R621" t="s">
        <v>2787</v>
      </c>
      <c r="S621" t="s">
        <v>2788</v>
      </c>
      <c r="T621">
        <v>0</v>
      </c>
      <c r="U621">
        <v>0</v>
      </c>
      <c r="V621">
        <v>0</v>
      </c>
      <c r="W621">
        <v>0</v>
      </c>
      <c r="X621">
        <v>0</v>
      </c>
      <c r="Y621">
        <v>0</v>
      </c>
      <c r="Z621">
        <v>0</v>
      </c>
      <c r="AA621">
        <v>0</v>
      </c>
      <c r="AB621">
        <v>0</v>
      </c>
      <c r="AC621">
        <v>0</v>
      </c>
      <c r="AD621">
        <v>0</v>
      </c>
      <c r="AE621">
        <v>0</v>
      </c>
      <c r="AF621">
        <v>0</v>
      </c>
      <c r="AG621">
        <v>0</v>
      </c>
      <c r="AH621">
        <v>0</v>
      </c>
      <c r="AI621">
        <v>0</v>
      </c>
      <c r="AJ621">
        <v>0</v>
      </c>
      <c r="AK621">
        <v>0</v>
      </c>
      <c r="AL621">
        <v>0</v>
      </c>
      <c r="AM621">
        <v>0</v>
      </c>
      <c r="AN621">
        <v>0</v>
      </c>
      <c r="AO621">
        <v>0</v>
      </c>
      <c r="AP621">
        <v>0</v>
      </c>
      <c r="AQ621">
        <v>0</v>
      </c>
      <c r="AR621">
        <v>0</v>
      </c>
      <c r="AS621">
        <v>0</v>
      </c>
      <c r="AT621">
        <v>0</v>
      </c>
      <c r="AU621">
        <v>0</v>
      </c>
      <c r="AV621">
        <v>0</v>
      </c>
      <c r="AW621">
        <v>0</v>
      </c>
      <c r="AX621">
        <v>0</v>
      </c>
      <c r="AY621">
        <v>0</v>
      </c>
      <c r="AZ621">
        <v>0</v>
      </c>
      <c r="BA621">
        <v>0</v>
      </c>
      <c r="BB621">
        <v>0</v>
      </c>
      <c r="BC621">
        <v>0</v>
      </c>
      <c r="BD621">
        <v>0</v>
      </c>
      <c r="BE621">
        <v>0</v>
      </c>
      <c r="BF621">
        <v>0</v>
      </c>
      <c r="BG621">
        <v>0</v>
      </c>
      <c r="BH621">
        <v>0</v>
      </c>
      <c r="BI621">
        <v>0</v>
      </c>
      <c r="BJ621">
        <v>0</v>
      </c>
      <c r="BK621">
        <v>0</v>
      </c>
      <c r="BL621">
        <v>0</v>
      </c>
      <c r="BM621">
        <v>0</v>
      </c>
      <c r="BN621">
        <v>0</v>
      </c>
      <c r="BO621">
        <v>0</v>
      </c>
      <c r="BP621">
        <v>0</v>
      </c>
      <c r="BQ621">
        <v>0</v>
      </c>
      <c r="BR621">
        <v>0</v>
      </c>
      <c r="BS621">
        <v>0</v>
      </c>
    </row>
    <row r="622" spans="1:71" x14ac:dyDescent="0.3">
      <c r="A622" t="s">
        <v>2789</v>
      </c>
      <c r="B622" t="s">
        <v>2790</v>
      </c>
      <c r="C622" t="s">
        <v>29</v>
      </c>
      <c r="D622" t="s">
        <v>29</v>
      </c>
      <c r="E622" t="s">
        <v>29</v>
      </c>
      <c r="F622" t="s">
        <v>2791</v>
      </c>
      <c r="G622">
        <v>2012</v>
      </c>
      <c r="H622">
        <v>2012</v>
      </c>
      <c r="I622" t="s">
        <v>29</v>
      </c>
      <c r="J622" t="s">
        <v>29</v>
      </c>
      <c r="K622" t="s">
        <v>29</v>
      </c>
      <c r="L622" t="s">
        <v>29</v>
      </c>
      <c r="M622" t="s">
        <v>29</v>
      </c>
      <c r="N622" t="s">
        <v>29</v>
      </c>
      <c r="O622" t="s">
        <v>29</v>
      </c>
      <c r="P622" t="s">
        <v>29</v>
      </c>
      <c r="Q622" t="s">
        <v>29</v>
      </c>
      <c r="R622" t="s">
        <v>2762</v>
      </c>
      <c r="S622" t="s">
        <v>2792</v>
      </c>
      <c r="T622">
        <v>0</v>
      </c>
      <c r="U622">
        <v>0</v>
      </c>
      <c r="V622">
        <v>0</v>
      </c>
      <c r="W622">
        <v>0</v>
      </c>
      <c r="X622">
        <v>0</v>
      </c>
      <c r="Y622">
        <v>0</v>
      </c>
      <c r="Z622">
        <v>0</v>
      </c>
      <c r="AA622">
        <v>0</v>
      </c>
      <c r="AB622">
        <v>0</v>
      </c>
      <c r="AC622">
        <v>0</v>
      </c>
      <c r="AD622">
        <v>0</v>
      </c>
      <c r="AE622">
        <v>0</v>
      </c>
      <c r="AF622">
        <v>0</v>
      </c>
      <c r="AG622">
        <v>0</v>
      </c>
      <c r="AH622">
        <v>0</v>
      </c>
      <c r="AI622">
        <v>0</v>
      </c>
      <c r="AJ622">
        <v>0</v>
      </c>
      <c r="AK622">
        <v>0</v>
      </c>
      <c r="AL622">
        <v>0</v>
      </c>
      <c r="AM622">
        <v>0</v>
      </c>
      <c r="AN622">
        <v>0</v>
      </c>
      <c r="AO622">
        <v>0</v>
      </c>
      <c r="AP622">
        <v>0</v>
      </c>
      <c r="AQ622">
        <v>0</v>
      </c>
      <c r="AR622">
        <v>0</v>
      </c>
      <c r="AS622">
        <v>0</v>
      </c>
      <c r="AT622">
        <v>0</v>
      </c>
      <c r="AU622">
        <v>0</v>
      </c>
      <c r="AV622">
        <v>0</v>
      </c>
      <c r="AW622">
        <v>0</v>
      </c>
      <c r="AX622">
        <v>0</v>
      </c>
      <c r="AY622">
        <v>0</v>
      </c>
      <c r="AZ622">
        <v>0</v>
      </c>
      <c r="BA622">
        <v>0</v>
      </c>
      <c r="BB622">
        <v>0</v>
      </c>
      <c r="BC622">
        <v>0</v>
      </c>
      <c r="BD622">
        <v>0</v>
      </c>
      <c r="BE622">
        <v>0</v>
      </c>
      <c r="BF622">
        <v>0</v>
      </c>
      <c r="BG622">
        <v>0</v>
      </c>
      <c r="BH622">
        <v>0</v>
      </c>
      <c r="BI622">
        <v>0</v>
      </c>
      <c r="BJ622">
        <v>0</v>
      </c>
      <c r="BK622">
        <v>0</v>
      </c>
      <c r="BL622">
        <v>0</v>
      </c>
      <c r="BM622">
        <v>0</v>
      </c>
      <c r="BN622">
        <v>0</v>
      </c>
      <c r="BO622">
        <v>0</v>
      </c>
      <c r="BP622">
        <v>0</v>
      </c>
      <c r="BQ622">
        <v>0</v>
      </c>
      <c r="BR622">
        <v>0</v>
      </c>
      <c r="BS622">
        <v>0</v>
      </c>
    </row>
    <row r="623" spans="1:71" x14ac:dyDescent="0.3">
      <c r="A623" t="s">
        <v>2793</v>
      </c>
      <c r="B623" t="s">
        <v>2794</v>
      </c>
      <c r="C623" t="s">
        <v>29</v>
      </c>
      <c r="D623" t="s">
        <v>29</v>
      </c>
      <c r="E623" t="s">
        <v>2795</v>
      </c>
      <c r="F623" t="s">
        <v>2796</v>
      </c>
      <c r="G623">
        <v>2012</v>
      </c>
      <c r="H623">
        <v>2012</v>
      </c>
      <c r="I623">
        <v>69</v>
      </c>
      <c r="J623" t="s">
        <v>29</v>
      </c>
      <c r="K623" t="s">
        <v>29</v>
      </c>
      <c r="L623" t="s">
        <v>29</v>
      </c>
      <c r="M623" t="s">
        <v>29</v>
      </c>
      <c r="N623">
        <v>745</v>
      </c>
      <c r="O623">
        <v>754</v>
      </c>
      <c r="P623" t="s">
        <v>29</v>
      </c>
      <c r="Q623" t="s">
        <v>2797</v>
      </c>
      <c r="R623" t="s">
        <v>2798</v>
      </c>
      <c r="S623" t="s">
        <v>2799</v>
      </c>
      <c r="T623">
        <v>0</v>
      </c>
      <c r="U623">
        <v>0</v>
      </c>
      <c r="V623">
        <v>0</v>
      </c>
      <c r="W623">
        <v>0</v>
      </c>
      <c r="X623">
        <v>0</v>
      </c>
      <c r="Y623">
        <v>0</v>
      </c>
      <c r="Z623">
        <v>0</v>
      </c>
      <c r="AA623">
        <v>0</v>
      </c>
      <c r="AB623">
        <v>0</v>
      </c>
      <c r="AC623">
        <v>0</v>
      </c>
      <c r="AD623">
        <v>0</v>
      </c>
      <c r="AE623">
        <v>0</v>
      </c>
      <c r="AF623">
        <v>0</v>
      </c>
      <c r="AG623">
        <v>0</v>
      </c>
      <c r="AH623">
        <v>0</v>
      </c>
      <c r="AI623">
        <v>0</v>
      </c>
      <c r="AJ623">
        <v>0</v>
      </c>
      <c r="AK623">
        <v>0</v>
      </c>
      <c r="AL623">
        <v>0</v>
      </c>
      <c r="AM623">
        <v>0</v>
      </c>
      <c r="AN623">
        <v>0</v>
      </c>
      <c r="AO623">
        <v>0</v>
      </c>
      <c r="AP623">
        <v>0</v>
      </c>
      <c r="AQ623">
        <v>0</v>
      </c>
      <c r="AR623">
        <v>0</v>
      </c>
      <c r="AS623">
        <v>0</v>
      </c>
      <c r="AT623">
        <v>0</v>
      </c>
      <c r="AU623">
        <v>0</v>
      </c>
      <c r="AV623">
        <v>0</v>
      </c>
      <c r="AW623">
        <v>0</v>
      </c>
      <c r="AX623">
        <v>0</v>
      </c>
      <c r="AY623">
        <v>0</v>
      </c>
      <c r="AZ623">
        <v>0</v>
      </c>
      <c r="BA623">
        <v>0</v>
      </c>
      <c r="BB623">
        <v>0</v>
      </c>
      <c r="BC623">
        <v>0</v>
      </c>
      <c r="BD623">
        <v>0</v>
      </c>
      <c r="BE623">
        <v>0</v>
      </c>
      <c r="BF623">
        <v>0</v>
      </c>
      <c r="BG623">
        <v>0</v>
      </c>
      <c r="BH623">
        <v>0</v>
      </c>
      <c r="BI623">
        <v>0</v>
      </c>
      <c r="BJ623">
        <v>0</v>
      </c>
      <c r="BK623">
        <v>0</v>
      </c>
      <c r="BL623">
        <v>0</v>
      </c>
      <c r="BM623">
        <v>0</v>
      </c>
      <c r="BN623">
        <v>0</v>
      </c>
      <c r="BO623">
        <v>0</v>
      </c>
      <c r="BP623">
        <v>0</v>
      </c>
      <c r="BQ623">
        <v>0</v>
      </c>
      <c r="BR623">
        <v>0</v>
      </c>
      <c r="BS623">
        <v>0</v>
      </c>
    </row>
    <row r="624" spans="1:71" x14ac:dyDescent="0.3">
      <c r="A624" t="s">
        <v>2800</v>
      </c>
      <c r="B624" t="s">
        <v>2801</v>
      </c>
      <c r="C624" t="s">
        <v>29</v>
      </c>
      <c r="D624" t="s">
        <v>29</v>
      </c>
      <c r="E624" t="s">
        <v>29</v>
      </c>
      <c r="F624" t="s">
        <v>2802</v>
      </c>
      <c r="G624" t="s">
        <v>2803</v>
      </c>
      <c r="H624">
        <v>2012</v>
      </c>
      <c r="I624">
        <v>12</v>
      </c>
      <c r="J624">
        <v>1</v>
      </c>
      <c r="K624" t="s">
        <v>29</v>
      </c>
      <c r="L624" t="s">
        <v>29</v>
      </c>
      <c r="M624" t="s">
        <v>29</v>
      </c>
      <c r="N624">
        <v>53</v>
      </c>
      <c r="O624">
        <v>73</v>
      </c>
      <c r="P624" t="s">
        <v>29</v>
      </c>
      <c r="Q624" t="s">
        <v>2804</v>
      </c>
      <c r="R624" t="s">
        <v>29</v>
      </c>
      <c r="S624" t="s">
        <v>29</v>
      </c>
      <c r="T624">
        <v>0</v>
      </c>
      <c r="U624">
        <v>0</v>
      </c>
      <c r="V624">
        <v>0</v>
      </c>
      <c r="W624">
        <v>0</v>
      </c>
      <c r="X624">
        <v>0</v>
      </c>
      <c r="Y624">
        <v>0</v>
      </c>
      <c r="Z624">
        <v>0</v>
      </c>
      <c r="AA624">
        <v>0</v>
      </c>
      <c r="AB624">
        <v>0</v>
      </c>
      <c r="AC624">
        <v>0</v>
      </c>
      <c r="AD624">
        <v>0</v>
      </c>
      <c r="AE624">
        <v>0</v>
      </c>
      <c r="AF624">
        <v>0</v>
      </c>
      <c r="AG624">
        <v>0</v>
      </c>
      <c r="AH624">
        <v>0</v>
      </c>
      <c r="AI624">
        <v>0</v>
      </c>
      <c r="AJ624">
        <v>0</v>
      </c>
      <c r="AK624">
        <v>0</v>
      </c>
      <c r="AL624">
        <v>0</v>
      </c>
      <c r="AM624">
        <v>0</v>
      </c>
      <c r="AN624">
        <v>0</v>
      </c>
      <c r="AO624">
        <v>0</v>
      </c>
      <c r="AP624">
        <v>0</v>
      </c>
      <c r="AQ624">
        <v>0</v>
      </c>
      <c r="AR624">
        <v>0</v>
      </c>
      <c r="AS624">
        <v>0</v>
      </c>
      <c r="AT624">
        <v>0</v>
      </c>
      <c r="AU624">
        <v>0</v>
      </c>
      <c r="AV624">
        <v>0</v>
      </c>
      <c r="AW624">
        <v>0</v>
      </c>
      <c r="AX624">
        <v>0</v>
      </c>
      <c r="AY624">
        <v>0</v>
      </c>
      <c r="AZ624">
        <v>0</v>
      </c>
      <c r="BA624">
        <v>0</v>
      </c>
      <c r="BB624">
        <v>0</v>
      </c>
      <c r="BC624">
        <v>0</v>
      </c>
      <c r="BD624">
        <v>0</v>
      </c>
      <c r="BE624">
        <v>0</v>
      </c>
      <c r="BF624">
        <v>0</v>
      </c>
      <c r="BG624">
        <v>0</v>
      </c>
      <c r="BH624">
        <v>0</v>
      </c>
      <c r="BI624">
        <v>0</v>
      </c>
      <c r="BJ624">
        <v>0</v>
      </c>
      <c r="BK624">
        <v>0</v>
      </c>
      <c r="BL624">
        <v>0</v>
      </c>
      <c r="BM624">
        <v>0</v>
      </c>
      <c r="BN624">
        <v>0</v>
      </c>
      <c r="BO624">
        <v>0</v>
      </c>
      <c r="BP624">
        <v>0</v>
      </c>
      <c r="BQ624">
        <v>0</v>
      </c>
      <c r="BR624">
        <v>0</v>
      </c>
      <c r="BS624">
        <v>0</v>
      </c>
    </row>
    <row r="625" spans="1:71" x14ac:dyDescent="0.3">
      <c r="A625" t="s">
        <v>2805</v>
      </c>
      <c r="B625" t="s">
        <v>2806</v>
      </c>
      <c r="C625" t="s">
        <v>29</v>
      </c>
      <c r="D625" t="s">
        <v>29</v>
      </c>
      <c r="E625" t="s">
        <v>2807</v>
      </c>
      <c r="F625" t="s">
        <v>2808</v>
      </c>
      <c r="G625">
        <v>2012</v>
      </c>
      <c r="H625">
        <v>2012</v>
      </c>
      <c r="I625">
        <v>8449</v>
      </c>
      <c r="J625" t="s">
        <v>29</v>
      </c>
      <c r="K625" t="s">
        <v>29</v>
      </c>
      <c r="L625" t="s">
        <v>29</v>
      </c>
      <c r="M625" t="s">
        <v>29</v>
      </c>
      <c r="N625" t="s">
        <v>29</v>
      </c>
      <c r="O625" t="s">
        <v>29</v>
      </c>
      <c r="P625" t="s">
        <v>2809</v>
      </c>
      <c r="Q625" t="s">
        <v>2810</v>
      </c>
      <c r="R625" t="s">
        <v>2811</v>
      </c>
      <c r="S625" t="s">
        <v>2812</v>
      </c>
      <c r="T625">
        <v>0</v>
      </c>
      <c r="U625">
        <v>0</v>
      </c>
      <c r="V625">
        <v>0</v>
      </c>
      <c r="W625">
        <v>0</v>
      </c>
      <c r="X625">
        <v>0</v>
      </c>
      <c r="Y625">
        <v>0</v>
      </c>
      <c r="Z625">
        <v>0</v>
      </c>
      <c r="AA625">
        <v>0</v>
      </c>
      <c r="AB625">
        <v>0</v>
      </c>
      <c r="AC625">
        <v>0</v>
      </c>
      <c r="AD625">
        <v>0</v>
      </c>
      <c r="AE625">
        <v>0</v>
      </c>
      <c r="AF625">
        <v>0</v>
      </c>
      <c r="AG625">
        <v>0</v>
      </c>
      <c r="AH625">
        <v>0</v>
      </c>
      <c r="AI625">
        <v>0</v>
      </c>
      <c r="AJ625">
        <v>0</v>
      </c>
      <c r="AK625">
        <v>0</v>
      </c>
      <c r="AL625">
        <v>0</v>
      </c>
      <c r="AM625">
        <v>0</v>
      </c>
      <c r="AN625">
        <v>0</v>
      </c>
      <c r="AO625">
        <v>0</v>
      </c>
      <c r="AP625">
        <v>0</v>
      </c>
      <c r="AQ625">
        <v>0</v>
      </c>
      <c r="AR625">
        <v>0</v>
      </c>
      <c r="AS625">
        <v>0</v>
      </c>
      <c r="AT625">
        <v>0</v>
      </c>
      <c r="AU625">
        <v>0</v>
      </c>
      <c r="AV625">
        <v>0</v>
      </c>
      <c r="AW625">
        <v>0</v>
      </c>
      <c r="AX625">
        <v>0</v>
      </c>
      <c r="AY625">
        <v>0</v>
      </c>
      <c r="AZ625">
        <v>0</v>
      </c>
      <c r="BA625">
        <v>0</v>
      </c>
      <c r="BB625">
        <v>0</v>
      </c>
      <c r="BC625">
        <v>0</v>
      </c>
      <c r="BD625">
        <v>0</v>
      </c>
      <c r="BE625">
        <v>0</v>
      </c>
      <c r="BF625">
        <v>0</v>
      </c>
      <c r="BG625">
        <v>0</v>
      </c>
      <c r="BH625">
        <v>0</v>
      </c>
      <c r="BI625">
        <v>0</v>
      </c>
      <c r="BJ625">
        <v>0</v>
      </c>
      <c r="BK625">
        <v>0</v>
      </c>
      <c r="BL625">
        <v>0</v>
      </c>
      <c r="BM625">
        <v>0</v>
      </c>
      <c r="BN625">
        <v>0</v>
      </c>
      <c r="BO625">
        <v>0</v>
      </c>
      <c r="BP625">
        <v>0</v>
      </c>
      <c r="BQ625">
        <v>0</v>
      </c>
      <c r="BR625">
        <v>0</v>
      </c>
      <c r="BS625">
        <v>0</v>
      </c>
    </row>
    <row r="626" spans="1:71" x14ac:dyDescent="0.3">
      <c r="A626" t="s">
        <v>2813</v>
      </c>
      <c r="B626" t="s">
        <v>2814</v>
      </c>
      <c r="C626" t="s">
        <v>29</v>
      </c>
      <c r="D626" t="s">
        <v>29</v>
      </c>
      <c r="E626" t="s">
        <v>29</v>
      </c>
      <c r="F626" t="s">
        <v>2815</v>
      </c>
      <c r="G626">
        <v>2011</v>
      </c>
      <c r="H626">
        <v>2011</v>
      </c>
      <c r="I626" t="s">
        <v>29</v>
      </c>
      <c r="J626" t="s">
        <v>29</v>
      </c>
      <c r="K626" t="s">
        <v>29</v>
      </c>
      <c r="L626" t="s">
        <v>29</v>
      </c>
      <c r="M626" t="s">
        <v>29</v>
      </c>
      <c r="N626" t="s">
        <v>29</v>
      </c>
      <c r="O626" t="s">
        <v>29</v>
      </c>
      <c r="P626" t="s">
        <v>29</v>
      </c>
      <c r="Q626" t="s">
        <v>29</v>
      </c>
      <c r="R626" t="s">
        <v>2816</v>
      </c>
      <c r="S626" t="s">
        <v>2817</v>
      </c>
      <c r="T626">
        <v>0</v>
      </c>
      <c r="U626">
        <v>0</v>
      </c>
      <c r="V626">
        <v>0</v>
      </c>
      <c r="W626">
        <v>0</v>
      </c>
      <c r="X626">
        <v>0</v>
      </c>
      <c r="Y626">
        <v>0</v>
      </c>
      <c r="Z626">
        <v>0</v>
      </c>
      <c r="AA626">
        <v>0</v>
      </c>
      <c r="AB626">
        <v>0</v>
      </c>
      <c r="AC626">
        <v>0</v>
      </c>
      <c r="AD626">
        <v>0</v>
      </c>
      <c r="AE626">
        <v>0</v>
      </c>
      <c r="AF626">
        <v>0</v>
      </c>
      <c r="AG626">
        <v>0</v>
      </c>
      <c r="AH626">
        <v>0</v>
      </c>
      <c r="AI626">
        <v>0</v>
      </c>
      <c r="AJ626">
        <v>0</v>
      </c>
      <c r="AK626">
        <v>0</v>
      </c>
      <c r="AL626">
        <v>0</v>
      </c>
      <c r="AM626">
        <v>0</v>
      </c>
      <c r="AN626">
        <v>0</v>
      </c>
      <c r="AO626">
        <v>0</v>
      </c>
      <c r="AP626">
        <v>0</v>
      </c>
      <c r="AQ626">
        <v>0</v>
      </c>
      <c r="AR626">
        <v>0</v>
      </c>
      <c r="AS626">
        <v>0</v>
      </c>
      <c r="AT626">
        <v>0</v>
      </c>
      <c r="AU626">
        <v>0</v>
      </c>
      <c r="AV626">
        <v>0</v>
      </c>
      <c r="AW626">
        <v>0</v>
      </c>
      <c r="AX626">
        <v>0</v>
      </c>
      <c r="AY626">
        <v>0</v>
      </c>
      <c r="AZ626">
        <v>0</v>
      </c>
      <c r="BA626">
        <v>0</v>
      </c>
      <c r="BB626">
        <v>0</v>
      </c>
      <c r="BC626">
        <v>0</v>
      </c>
      <c r="BD626">
        <v>0</v>
      </c>
      <c r="BE626">
        <v>0</v>
      </c>
      <c r="BF626">
        <v>0</v>
      </c>
      <c r="BG626">
        <v>0</v>
      </c>
      <c r="BH626">
        <v>0</v>
      </c>
      <c r="BI626">
        <v>0</v>
      </c>
      <c r="BJ626">
        <v>0</v>
      </c>
      <c r="BK626">
        <v>0</v>
      </c>
      <c r="BL626">
        <v>0</v>
      </c>
      <c r="BM626">
        <v>0</v>
      </c>
      <c r="BN626">
        <v>0</v>
      </c>
      <c r="BO626">
        <v>0</v>
      </c>
      <c r="BP626">
        <v>0</v>
      </c>
      <c r="BQ626">
        <v>0</v>
      </c>
      <c r="BR626">
        <v>0</v>
      </c>
      <c r="BS626">
        <v>0</v>
      </c>
    </row>
    <row r="627" spans="1:71" x14ac:dyDescent="0.3">
      <c r="A627" t="s">
        <v>2818</v>
      </c>
      <c r="B627" t="s">
        <v>2819</v>
      </c>
      <c r="C627" t="s">
        <v>29</v>
      </c>
      <c r="D627" t="s">
        <v>29</v>
      </c>
      <c r="E627" t="s">
        <v>2820</v>
      </c>
      <c r="F627" t="s">
        <v>2821</v>
      </c>
      <c r="G627">
        <v>2011</v>
      </c>
      <c r="H627">
        <v>2011</v>
      </c>
      <c r="I627" t="s">
        <v>29</v>
      </c>
      <c r="J627" t="s">
        <v>29</v>
      </c>
      <c r="K627" t="s">
        <v>29</v>
      </c>
      <c r="L627" t="s">
        <v>29</v>
      </c>
      <c r="M627" t="s">
        <v>29</v>
      </c>
      <c r="N627">
        <v>183</v>
      </c>
      <c r="O627">
        <v>186</v>
      </c>
      <c r="P627" t="s">
        <v>29</v>
      </c>
      <c r="Q627" t="s">
        <v>29</v>
      </c>
      <c r="R627" t="s">
        <v>2822</v>
      </c>
      <c r="S627" t="s">
        <v>2823</v>
      </c>
      <c r="T627">
        <v>0</v>
      </c>
      <c r="U627">
        <v>0</v>
      </c>
      <c r="V627">
        <v>0</v>
      </c>
      <c r="W627">
        <v>0</v>
      </c>
      <c r="X627">
        <v>0</v>
      </c>
      <c r="Y627">
        <v>0</v>
      </c>
      <c r="Z627">
        <v>0</v>
      </c>
      <c r="AA627">
        <v>0</v>
      </c>
      <c r="AB627">
        <v>0</v>
      </c>
      <c r="AC627">
        <v>0</v>
      </c>
      <c r="AD627">
        <v>0</v>
      </c>
      <c r="AE627">
        <v>0</v>
      </c>
      <c r="AF627">
        <v>0</v>
      </c>
      <c r="AG627">
        <v>0</v>
      </c>
      <c r="AH627">
        <v>0</v>
      </c>
      <c r="AI627">
        <v>0</v>
      </c>
      <c r="AJ627">
        <v>0</v>
      </c>
      <c r="AK627">
        <v>0</v>
      </c>
      <c r="AL627">
        <v>0</v>
      </c>
      <c r="AM627">
        <v>0</v>
      </c>
      <c r="AN627">
        <v>0</v>
      </c>
      <c r="AO627">
        <v>0</v>
      </c>
      <c r="AP627">
        <v>0</v>
      </c>
      <c r="AQ627">
        <v>0</v>
      </c>
      <c r="AR627">
        <v>0</v>
      </c>
      <c r="AS627">
        <v>0</v>
      </c>
      <c r="AT627">
        <v>0</v>
      </c>
      <c r="AU627">
        <v>0</v>
      </c>
      <c r="AV627">
        <v>0</v>
      </c>
      <c r="AW627">
        <v>0</v>
      </c>
      <c r="AX627">
        <v>0</v>
      </c>
      <c r="AY627">
        <v>0</v>
      </c>
      <c r="AZ627">
        <v>0</v>
      </c>
      <c r="BA627">
        <v>0</v>
      </c>
      <c r="BB627">
        <v>0</v>
      </c>
      <c r="BC627">
        <v>0</v>
      </c>
      <c r="BD627">
        <v>0</v>
      </c>
      <c r="BE627">
        <v>0</v>
      </c>
      <c r="BF627">
        <v>0</v>
      </c>
      <c r="BG627">
        <v>0</v>
      </c>
      <c r="BH627">
        <v>0</v>
      </c>
      <c r="BI627">
        <v>0</v>
      </c>
      <c r="BJ627">
        <v>0</v>
      </c>
      <c r="BK627">
        <v>0</v>
      </c>
      <c r="BL627">
        <v>0</v>
      </c>
      <c r="BM627">
        <v>0</v>
      </c>
      <c r="BN627">
        <v>0</v>
      </c>
      <c r="BO627">
        <v>0</v>
      </c>
      <c r="BP627">
        <v>0</v>
      </c>
      <c r="BQ627">
        <v>0</v>
      </c>
      <c r="BR627">
        <v>0</v>
      </c>
      <c r="BS627">
        <v>0</v>
      </c>
    </row>
    <row r="628" spans="1:71" x14ac:dyDescent="0.3">
      <c r="A628" t="s">
        <v>2824</v>
      </c>
      <c r="B628" t="s">
        <v>2825</v>
      </c>
      <c r="C628" t="s">
        <v>29</v>
      </c>
      <c r="D628" t="s">
        <v>29</v>
      </c>
      <c r="E628" t="s">
        <v>2826</v>
      </c>
      <c r="F628" t="s">
        <v>2827</v>
      </c>
      <c r="G628">
        <v>2011</v>
      </c>
      <c r="H628">
        <v>2011</v>
      </c>
      <c r="I628" t="s">
        <v>29</v>
      </c>
      <c r="J628" t="s">
        <v>29</v>
      </c>
      <c r="K628" t="s">
        <v>29</v>
      </c>
      <c r="L628" t="s">
        <v>29</v>
      </c>
      <c r="M628" t="s">
        <v>29</v>
      </c>
      <c r="N628">
        <v>548</v>
      </c>
      <c r="O628">
        <v>554</v>
      </c>
      <c r="P628" t="s">
        <v>29</v>
      </c>
      <c r="Q628" t="s">
        <v>29</v>
      </c>
      <c r="R628" t="s">
        <v>2828</v>
      </c>
      <c r="S628" t="s">
        <v>2829</v>
      </c>
      <c r="T628">
        <v>0</v>
      </c>
      <c r="U628">
        <v>0</v>
      </c>
      <c r="V628">
        <v>0</v>
      </c>
      <c r="W628">
        <v>0</v>
      </c>
      <c r="X628">
        <v>0</v>
      </c>
      <c r="Y628">
        <v>0</v>
      </c>
      <c r="Z628">
        <v>0</v>
      </c>
      <c r="AA628">
        <v>0</v>
      </c>
      <c r="AB628">
        <v>0</v>
      </c>
      <c r="AC628">
        <v>0</v>
      </c>
      <c r="AD628">
        <v>0</v>
      </c>
      <c r="AE628">
        <v>0</v>
      </c>
      <c r="AF628">
        <v>0</v>
      </c>
      <c r="AG628">
        <v>0</v>
      </c>
      <c r="AH628">
        <v>0</v>
      </c>
      <c r="AI628">
        <v>0</v>
      </c>
      <c r="AJ628">
        <v>0</v>
      </c>
      <c r="AK628">
        <v>0</v>
      </c>
      <c r="AL628">
        <v>0</v>
      </c>
      <c r="AM628">
        <v>0</v>
      </c>
      <c r="AN628">
        <v>0</v>
      </c>
      <c r="AO628">
        <v>0</v>
      </c>
      <c r="AP628">
        <v>0</v>
      </c>
      <c r="AQ628">
        <v>0</v>
      </c>
      <c r="AR628">
        <v>0</v>
      </c>
      <c r="AS628">
        <v>0</v>
      </c>
      <c r="AT628">
        <v>0</v>
      </c>
      <c r="AU628">
        <v>0</v>
      </c>
      <c r="AV628">
        <v>0</v>
      </c>
      <c r="AW628">
        <v>0</v>
      </c>
      <c r="AX628">
        <v>0</v>
      </c>
      <c r="AY628">
        <v>0</v>
      </c>
      <c r="AZ628">
        <v>0</v>
      </c>
      <c r="BA628">
        <v>0</v>
      </c>
      <c r="BB628">
        <v>0</v>
      </c>
      <c r="BC628">
        <v>0</v>
      </c>
      <c r="BD628">
        <v>0</v>
      </c>
      <c r="BE628">
        <v>0</v>
      </c>
      <c r="BF628">
        <v>0</v>
      </c>
      <c r="BG628">
        <v>0</v>
      </c>
      <c r="BH628">
        <v>0</v>
      </c>
      <c r="BI628">
        <v>0</v>
      </c>
      <c r="BJ628">
        <v>0</v>
      </c>
      <c r="BK628">
        <v>0</v>
      </c>
      <c r="BL628">
        <v>0</v>
      </c>
      <c r="BM628">
        <v>0</v>
      </c>
      <c r="BN628">
        <v>0</v>
      </c>
      <c r="BO628">
        <v>0</v>
      </c>
      <c r="BP628">
        <v>0</v>
      </c>
      <c r="BQ628">
        <v>0</v>
      </c>
      <c r="BR628">
        <v>0</v>
      </c>
      <c r="BS628">
        <v>0</v>
      </c>
    </row>
    <row r="629" spans="1:71" x14ac:dyDescent="0.3">
      <c r="A629" t="s">
        <v>2830</v>
      </c>
      <c r="B629" t="s">
        <v>2831</v>
      </c>
      <c r="C629" t="s">
        <v>29</v>
      </c>
      <c r="D629" t="s">
        <v>29</v>
      </c>
      <c r="E629" t="s">
        <v>2832</v>
      </c>
      <c r="F629" t="s">
        <v>2833</v>
      </c>
      <c r="G629">
        <v>2010</v>
      </c>
      <c r="H629">
        <v>2010</v>
      </c>
      <c r="I629" t="s">
        <v>29</v>
      </c>
      <c r="J629" t="s">
        <v>29</v>
      </c>
      <c r="K629" t="s">
        <v>29</v>
      </c>
      <c r="L629" t="s">
        <v>29</v>
      </c>
      <c r="M629" t="s">
        <v>29</v>
      </c>
      <c r="N629">
        <v>555</v>
      </c>
      <c r="O629">
        <v>563</v>
      </c>
      <c r="P629" t="s">
        <v>29</v>
      </c>
      <c r="Q629" t="s">
        <v>29</v>
      </c>
      <c r="R629" t="s">
        <v>2834</v>
      </c>
      <c r="S629" t="s">
        <v>2835</v>
      </c>
      <c r="T629">
        <v>0</v>
      </c>
      <c r="U629">
        <v>0</v>
      </c>
      <c r="V629">
        <v>0</v>
      </c>
      <c r="W629">
        <v>0</v>
      </c>
      <c r="X629">
        <v>0</v>
      </c>
      <c r="Y629">
        <v>0</v>
      </c>
      <c r="Z629">
        <v>0</v>
      </c>
      <c r="AA629">
        <v>0</v>
      </c>
      <c r="AB629">
        <v>0</v>
      </c>
      <c r="AC629">
        <v>0</v>
      </c>
      <c r="AD629">
        <v>0</v>
      </c>
      <c r="AE629">
        <v>0</v>
      </c>
      <c r="AF629">
        <v>0</v>
      </c>
      <c r="AG629">
        <v>0</v>
      </c>
      <c r="AH629">
        <v>0</v>
      </c>
      <c r="AI629">
        <v>0</v>
      </c>
      <c r="AJ629">
        <v>0</v>
      </c>
      <c r="AK629">
        <v>0</v>
      </c>
      <c r="AL629">
        <v>0</v>
      </c>
      <c r="AM629">
        <v>0</v>
      </c>
      <c r="AN629">
        <v>0</v>
      </c>
      <c r="AO629">
        <v>0</v>
      </c>
      <c r="AP629">
        <v>0</v>
      </c>
      <c r="AQ629">
        <v>0</v>
      </c>
      <c r="AR629">
        <v>0</v>
      </c>
      <c r="AS629">
        <v>0</v>
      </c>
      <c r="AT629">
        <v>0</v>
      </c>
      <c r="AU629">
        <v>0</v>
      </c>
      <c r="AV629">
        <v>0</v>
      </c>
      <c r="AW629">
        <v>0</v>
      </c>
      <c r="AX629">
        <v>0</v>
      </c>
      <c r="AY629">
        <v>0</v>
      </c>
      <c r="AZ629">
        <v>0</v>
      </c>
      <c r="BA629">
        <v>0</v>
      </c>
      <c r="BB629">
        <v>0</v>
      </c>
      <c r="BC629">
        <v>0</v>
      </c>
      <c r="BD629">
        <v>0</v>
      </c>
      <c r="BE629">
        <v>0</v>
      </c>
      <c r="BF629">
        <v>0</v>
      </c>
      <c r="BG629">
        <v>0</v>
      </c>
      <c r="BH629">
        <v>0</v>
      </c>
      <c r="BI629">
        <v>0</v>
      </c>
      <c r="BJ629">
        <v>0</v>
      </c>
      <c r="BK629">
        <v>0</v>
      </c>
      <c r="BL629">
        <v>0</v>
      </c>
      <c r="BM629">
        <v>0</v>
      </c>
      <c r="BN629">
        <v>0</v>
      </c>
      <c r="BO629">
        <v>0</v>
      </c>
      <c r="BP629">
        <v>0</v>
      </c>
      <c r="BQ629">
        <v>0</v>
      </c>
      <c r="BR629">
        <v>0</v>
      </c>
      <c r="BS629">
        <v>0</v>
      </c>
    </row>
    <row r="630" spans="1:71" x14ac:dyDescent="0.3">
      <c r="A630" t="s">
        <v>2836</v>
      </c>
      <c r="B630" t="s">
        <v>2837</v>
      </c>
      <c r="C630" t="s">
        <v>29</v>
      </c>
      <c r="D630" t="s">
        <v>29</v>
      </c>
      <c r="E630" t="s">
        <v>2832</v>
      </c>
      <c r="F630" t="s">
        <v>2838</v>
      </c>
      <c r="G630">
        <v>2010</v>
      </c>
      <c r="H630">
        <v>2010</v>
      </c>
      <c r="I630" t="s">
        <v>29</v>
      </c>
      <c r="J630" t="s">
        <v>29</v>
      </c>
      <c r="K630" t="s">
        <v>29</v>
      </c>
      <c r="L630" t="s">
        <v>29</v>
      </c>
      <c r="M630" t="s">
        <v>29</v>
      </c>
      <c r="N630">
        <v>4257</v>
      </c>
      <c r="O630">
        <v>4262</v>
      </c>
      <c r="P630" t="s">
        <v>29</v>
      </c>
      <c r="Q630" t="s">
        <v>29</v>
      </c>
      <c r="R630" t="s">
        <v>2839</v>
      </c>
      <c r="S630" t="s">
        <v>2840</v>
      </c>
      <c r="T630">
        <v>0</v>
      </c>
      <c r="U630">
        <v>0</v>
      </c>
      <c r="V630">
        <v>0</v>
      </c>
      <c r="W630">
        <v>0</v>
      </c>
      <c r="X630">
        <v>0</v>
      </c>
      <c r="Y630">
        <v>0</v>
      </c>
      <c r="Z630">
        <v>0</v>
      </c>
      <c r="AA630">
        <v>0</v>
      </c>
      <c r="AB630">
        <v>0</v>
      </c>
      <c r="AC630">
        <v>0</v>
      </c>
      <c r="AD630">
        <v>0</v>
      </c>
      <c r="AE630">
        <v>0</v>
      </c>
      <c r="AF630">
        <v>0</v>
      </c>
      <c r="AG630">
        <v>0</v>
      </c>
      <c r="AH630">
        <v>0</v>
      </c>
      <c r="AI630">
        <v>0</v>
      </c>
      <c r="AJ630">
        <v>0</v>
      </c>
      <c r="AK630">
        <v>0</v>
      </c>
      <c r="AL630">
        <v>0</v>
      </c>
      <c r="AM630">
        <v>0</v>
      </c>
      <c r="AN630">
        <v>0</v>
      </c>
      <c r="AO630">
        <v>0</v>
      </c>
      <c r="AP630">
        <v>0</v>
      </c>
      <c r="AQ630">
        <v>0</v>
      </c>
      <c r="AR630">
        <v>0</v>
      </c>
      <c r="AS630">
        <v>0</v>
      </c>
      <c r="AT630">
        <v>0</v>
      </c>
      <c r="AU630">
        <v>0</v>
      </c>
      <c r="AV630">
        <v>0</v>
      </c>
      <c r="AW630">
        <v>0</v>
      </c>
      <c r="AX630">
        <v>0</v>
      </c>
      <c r="AY630">
        <v>0</v>
      </c>
      <c r="AZ630">
        <v>0</v>
      </c>
      <c r="BA630">
        <v>0</v>
      </c>
      <c r="BB630">
        <v>0</v>
      </c>
      <c r="BC630">
        <v>0</v>
      </c>
      <c r="BD630">
        <v>0</v>
      </c>
      <c r="BE630">
        <v>0</v>
      </c>
      <c r="BF630">
        <v>0</v>
      </c>
      <c r="BG630">
        <v>0</v>
      </c>
      <c r="BH630">
        <v>0</v>
      </c>
      <c r="BI630">
        <v>0</v>
      </c>
      <c r="BJ630">
        <v>0</v>
      </c>
      <c r="BK630">
        <v>0</v>
      </c>
      <c r="BL630">
        <v>0</v>
      </c>
      <c r="BM630">
        <v>0</v>
      </c>
      <c r="BN630">
        <v>0</v>
      </c>
      <c r="BO630">
        <v>0</v>
      </c>
      <c r="BP630">
        <v>0</v>
      </c>
      <c r="BQ630">
        <v>0</v>
      </c>
      <c r="BR630">
        <v>0</v>
      </c>
      <c r="BS630">
        <v>0</v>
      </c>
    </row>
    <row r="631" spans="1:71" x14ac:dyDescent="0.3">
      <c r="A631" t="s">
        <v>2841</v>
      </c>
      <c r="B631" t="s">
        <v>2842</v>
      </c>
      <c r="C631" t="s">
        <v>29</v>
      </c>
      <c r="D631" t="s">
        <v>29</v>
      </c>
      <c r="E631" t="s">
        <v>29</v>
      </c>
      <c r="F631" t="s">
        <v>2843</v>
      </c>
      <c r="G631">
        <v>2009</v>
      </c>
      <c r="H631">
        <v>2009</v>
      </c>
      <c r="I631">
        <v>14</v>
      </c>
      <c r="J631">
        <v>1</v>
      </c>
      <c r="K631" t="s">
        <v>29</v>
      </c>
      <c r="L631" t="s">
        <v>29</v>
      </c>
      <c r="M631" t="s">
        <v>29</v>
      </c>
      <c r="N631">
        <v>53</v>
      </c>
      <c r="O631">
        <v>61</v>
      </c>
      <c r="P631" t="s">
        <v>29</v>
      </c>
      <c r="Q631" t="s">
        <v>29</v>
      </c>
      <c r="R631" t="s">
        <v>29</v>
      </c>
      <c r="S631" t="s">
        <v>29</v>
      </c>
      <c r="T631">
        <v>0</v>
      </c>
      <c r="U631">
        <v>0</v>
      </c>
      <c r="V631">
        <v>0</v>
      </c>
      <c r="W631">
        <v>0</v>
      </c>
      <c r="X631">
        <v>0</v>
      </c>
      <c r="Y631">
        <v>0</v>
      </c>
      <c r="Z631">
        <v>0</v>
      </c>
      <c r="AA631">
        <v>0</v>
      </c>
      <c r="AB631">
        <v>0</v>
      </c>
      <c r="AC631">
        <v>0</v>
      </c>
      <c r="AD631">
        <v>0</v>
      </c>
      <c r="AE631">
        <v>0</v>
      </c>
      <c r="AF631">
        <v>0</v>
      </c>
      <c r="AG631">
        <v>0</v>
      </c>
      <c r="AH631">
        <v>0</v>
      </c>
      <c r="AI631">
        <v>0</v>
      </c>
      <c r="AJ631">
        <v>0</v>
      </c>
      <c r="AK631">
        <v>0</v>
      </c>
      <c r="AL631">
        <v>0</v>
      </c>
      <c r="AM631">
        <v>0</v>
      </c>
      <c r="AN631">
        <v>0</v>
      </c>
      <c r="AO631">
        <v>0</v>
      </c>
      <c r="AP631">
        <v>0</v>
      </c>
      <c r="AQ631">
        <v>0</v>
      </c>
      <c r="AR631">
        <v>0</v>
      </c>
      <c r="AS631">
        <v>0</v>
      </c>
      <c r="AT631">
        <v>0</v>
      </c>
      <c r="AU631">
        <v>0</v>
      </c>
      <c r="AV631">
        <v>0</v>
      </c>
      <c r="AW631">
        <v>0</v>
      </c>
      <c r="AX631">
        <v>0</v>
      </c>
      <c r="AY631">
        <v>0</v>
      </c>
      <c r="AZ631">
        <v>0</v>
      </c>
      <c r="BA631">
        <v>0</v>
      </c>
      <c r="BB631">
        <v>0</v>
      </c>
      <c r="BC631">
        <v>0</v>
      </c>
      <c r="BD631">
        <v>0</v>
      </c>
      <c r="BE631">
        <v>0</v>
      </c>
      <c r="BF631">
        <v>0</v>
      </c>
      <c r="BG631">
        <v>0</v>
      </c>
      <c r="BH631">
        <v>0</v>
      </c>
      <c r="BI631">
        <v>0</v>
      </c>
      <c r="BJ631">
        <v>0</v>
      </c>
      <c r="BK631">
        <v>0</v>
      </c>
      <c r="BL631">
        <v>0</v>
      </c>
      <c r="BM631">
        <v>0</v>
      </c>
      <c r="BN631">
        <v>0</v>
      </c>
      <c r="BO631">
        <v>0</v>
      </c>
      <c r="BP631">
        <v>0</v>
      </c>
      <c r="BQ631">
        <v>0</v>
      </c>
      <c r="BR631">
        <v>0</v>
      </c>
      <c r="BS631">
        <v>0</v>
      </c>
    </row>
    <row r="632" spans="1:71" x14ac:dyDescent="0.3">
      <c r="A632" t="s">
        <v>2844</v>
      </c>
      <c r="B632" t="s">
        <v>2845</v>
      </c>
      <c r="C632" t="s">
        <v>29</v>
      </c>
      <c r="D632" t="s">
        <v>29</v>
      </c>
      <c r="E632" t="s">
        <v>29</v>
      </c>
      <c r="F632" t="s">
        <v>2846</v>
      </c>
      <c r="G632">
        <v>2007</v>
      </c>
      <c r="H632">
        <v>2007</v>
      </c>
      <c r="I632">
        <v>2</v>
      </c>
      <c r="J632" t="s">
        <v>29</v>
      </c>
      <c r="K632" t="s">
        <v>29</v>
      </c>
      <c r="L632" t="s">
        <v>29</v>
      </c>
      <c r="M632" t="s">
        <v>29</v>
      </c>
      <c r="N632">
        <v>73</v>
      </c>
      <c r="O632">
        <v>81</v>
      </c>
      <c r="P632" t="s">
        <v>29</v>
      </c>
      <c r="Q632" t="s">
        <v>29</v>
      </c>
      <c r="R632" t="s">
        <v>29</v>
      </c>
      <c r="S632" t="s">
        <v>29</v>
      </c>
      <c r="T632">
        <v>0</v>
      </c>
      <c r="U632">
        <v>0</v>
      </c>
      <c r="V632">
        <v>0</v>
      </c>
      <c r="W632">
        <v>0</v>
      </c>
      <c r="X632">
        <v>0</v>
      </c>
      <c r="Y632">
        <v>0</v>
      </c>
      <c r="Z632">
        <v>0</v>
      </c>
      <c r="AA632">
        <v>0</v>
      </c>
      <c r="AB632">
        <v>0</v>
      </c>
      <c r="AC632">
        <v>0</v>
      </c>
      <c r="AD632">
        <v>0</v>
      </c>
      <c r="AE632">
        <v>0</v>
      </c>
      <c r="AF632">
        <v>0</v>
      </c>
      <c r="AG632">
        <v>0</v>
      </c>
      <c r="AH632">
        <v>0</v>
      </c>
      <c r="AI632">
        <v>0</v>
      </c>
      <c r="AJ632">
        <v>0</v>
      </c>
      <c r="AK632">
        <v>0</v>
      </c>
      <c r="AL632">
        <v>0</v>
      </c>
      <c r="AM632">
        <v>0</v>
      </c>
      <c r="AN632">
        <v>0</v>
      </c>
      <c r="AO632">
        <v>0</v>
      </c>
      <c r="AP632">
        <v>0</v>
      </c>
      <c r="AQ632">
        <v>0</v>
      </c>
      <c r="AR632">
        <v>0</v>
      </c>
      <c r="AS632">
        <v>0</v>
      </c>
      <c r="AT632">
        <v>0</v>
      </c>
      <c r="AU632">
        <v>0</v>
      </c>
      <c r="AV632">
        <v>0</v>
      </c>
      <c r="AW632">
        <v>0</v>
      </c>
      <c r="AX632">
        <v>0</v>
      </c>
      <c r="AY632">
        <v>0</v>
      </c>
      <c r="AZ632">
        <v>0</v>
      </c>
      <c r="BA632">
        <v>0</v>
      </c>
      <c r="BB632">
        <v>0</v>
      </c>
      <c r="BC632">
        <v>0</v>
      </c>
      <c r="BD632">
        <v>0</v>
      </c>
      <c r="BE632">
        <v>0</v>
      </c>
      <c r="BF632">
        <v>0</v>
      </c>
      <c r="BG632">
        <v>0</v>
      </c>
      <c r="BH632">
        <v>0</v>
      </c>
      <c r="BI632">
        <v>0</v>
      </c>
      <c r="BJ632">
        <v>0</v>
      </c>
      <c r="BK632">
        <v>0</v>
      </c>
      <c r="BL632">
        <v>0</v>
      </c>
      <c r="BM632">
        <v>0</v>
      </c>
      <c r="BN632">
        <v>0</v>
      </c>
      <c r="BO632">
        <v>0</v>
      </c>
      <c r="BP632">
        <v>0</v>
      </c>
      <c r="BQ632">
        <v>0</v>
      </c>
      <c r="BR632">
        <v>0</v>
      </c>
      <c r="BS632">
        <v>0</v>
      </c>
    </row>
    <row r="633" spans="1:71" x14ac:dyDescent="0.3">
      <c r="A633" t="s">
        <v>2847</v>
      </c>
      <c r="B633" t="s">
        <v>2848</v>
      </c>
      <c r="C633" t="s">
        <v>29</v>
      </c>
      <c r="D633" t="s">
        <v>29</v>
      </c>
      <c r="E633" t="s">
        <v>29</v>
      </c>
      <c r="F633" t="s">
        <v>791</v>
      </c>
      <c r="G633" t="s">
        <v>1875</v>
      </c>
      <c r="H633">
        <v>1999</v>
      </c>
      <c r="I633">
        <v>53</v>
      </c>
      <c r="J633">
        <v>4</v>
      </c>
      <c r="K633" t="s">
        <v>29</v>
      </c>
      <c r="L633" t="s">
        <v>29</v>
      </c>
      <c r="M633" t="s">
        <v>29</v>
      </c>
      <c r="N633">
        <v>20</v>
      </c>
      <c r="O633" t="s">
        <v>49</v>
      </c>
      <c r="P633" t="s">
        <v>29</v>
      </c>
      <c r="Q633" t="s">
        <v>29</v>
      </c>
      <c r="R633" t="s">
        <v>29</v>
      </c>
      <c r="S633" t="s">
        <v>29</v>
      </c>
      <c r="T633">
        <v>0</v>
      </c>
      <c r="U633">
        <v>0</v>
      </c>
      <c r="V633">
        <v>0</v>
      </c>
      <c r="W633">
        <v>0</v>
      </c>
      <c r="X633">
        <v>0</v>
      </c>
      <c r="Y633">
        <v>0</v>
      </c>
      <c r="Z633">
        <v>0</v>
      </c>
      <c r="AA633">
        <v>0</v>
      </c>
      <c r="AB633">
        <v>0</v>
      </c>
      <c r="AC633">
        <v>0</v>
      </c>
      <c r="AD633">
        <v>0</v>
      </c>
      <c r="AE633">
        <v>0</v>
      </c>
      <c r="AF633">
        <v>0</v>
      </c>
      <c r="AG633">
        <v>0</v>
      </c>
      <c r="AH633">
        <v>0</v>
      </c>
      <c r="AI633">
        <v>0</v>
      </c>
      <c r="AJ633">
        <v>0</v>
      </c>
      <c r="AK633">
        <v>0</v>
      </c>
      <c r="AL633">
        <v>0</v>
      </c>
      <c r="AM633">
        <v>0</v>
      </c>
      <c r="AN633">
        <v>0</v>
      </c>
      <c r="AO633">
        <v>0</v>
      </c>
      <c r="AP633">
        <v>0</v>
      </c>
      <c r="AQ633">
        <v>0</v>
      </c>
      <c r="AR633">
        <v>0</v>
      </c>
      <c r="AS633">
        <v>0</v>
      </c>
      <c r="AT633">
        <v>0</v>
      </c>
      <c r="AU633">
        <v>0</v>
      </c>
      <c r="AV633">
        <v>0</v>
      </c>
      <c r="AW633">
        <v>0</v>
      </c>
      <c r="AX633">
        <v>0</v>
      </c>
      <c r="AY633">
        <v>0</v>
      </c>
      <c r="AZ633">
        <v>0</v>
      </c>
      <c r="BA633">
        <v>0</v>
      </c>
      <c r="BB633">
        <v>0</v>
      </c>
      <c r="BC633">
        <v>0</v>
      </c>
      <c r="BD633">
        <v>0</v>
      </c>
      <c r="BE633">
        <v>0</v>
      </c>
      <c r="BF633">
        <v>0</v>
      </c>
      <c r="BG633">
        <v>0</v>
      </c>
      <c r="BH633">
        <v>0</v>
      </c>
      <c r="BI633">
        <v>0</v>
      </c>
      <c r="BJ633">
        <v>0</v>
      </c>
      <c r="BK633">
        <v>0</v>
      </c>
      <c r="BL633">
        <v>0</v>
      </c>
      <c r="BM633">
        <v>0</v>
      </c>
      <c r="BN633">
        <v>0</v>
      </c>
      <c r="BO633">
        <v>0</v>
      </c>
      <c r="BP633">
        <v>0</v>
      </c>
      <c r="BQ633">
        <v>0</v>
      </c>
      <c r="BR633">
        <v>0</v>
      </c>
      <c r="BS633">
        <v>0</v>
      </c>
    </row>
    <row r="634" spans="1:71" x14ac:dyDescent="0.3">
      <c r="A634" t="s">
        <v>2849</v>
      </c>
      <c r="B634" t="s">
        <v>2850</v>
      </c>
      <c r="C634" t="s">
        <v>29</v>
      </c>
      <c r="D634" t="s">
        <v>29</v>
      </c>
      <c r="E634" t="s">
        <v>29</v>
      </c>
      <c r="F634" t="s">
        <v>2851</v>
      </c>
      <c r="G634">
        <v>1994</v>
      </c>
      <c r="H634">
        <v>1994</v>
      </c>
      <c r="I634">
        <v>9</v>
      </c>
      <c r="J634" t="s">
        <v>1190</v>
      </c>
      <c r="K634" t="s">
        <v>29</v>
      </c>
      <c r="L634" t="s">
        <v>29</v>
      </c>
      <c r="M634" t="s">
        <v>29</v>
      </c>
      <c r="N634">
        <v>270</v>
      </c>
      <c r="O634">
        <v>286</v>
      </c>
      <c r="P634" t="s">
        <v>29</v>
      </c>
      <c r="Q634" t="s">
        <v>29</v>
      </c>
      <c r="R634" t="s">
        <v>29</v>
      </c>
      <c r="S634" t="s">
        <v>29</v>
      </c>
      <c r="T634">
        <v>0</v>
      </c>
      <c r="U634">
        <v>0</v>
      </c>
      <c r="V634">
        <v>0</v>
      </c>
      <c r="W634">
        <v>0</v>
      </c>
      <c r="X634">
        <v>0</v>
      </c>
      <c r="Y634">
        <v>0</v>
      </c>
      <c r="Z634">
        <v>0</v>
      </c>
      <c r="AA634">
        <v>0</v>
      </c>
      <c r="AB634">
        <v>0</v>
      </c>
      <c r="AC634">
        <v>0</v>
      </c>
      <c r="AD634">
        <v>0</v>
      </c>
      <c r="AE634">
        <v>0</v>
      </c>
      <c r="AF634">
        <v>0</v>
      </c>
      <c r="AG634">
        <v>0</v>
      </c>
      <c r="AH634">
        <v>0</v>
      </c>
      <c r="AI634">
        <v>0</v>
      </c>
      <c r="AJ634">
        <v>0</v>
      </c>
      <c r="AK634">
        <v>0</v>
      </c>
      <c r="AL634">
        <v>0</v>
      </c>
      <c r="AM634">
        <v>0</v>
      </c>
      <c r="AN634">
        <v>0</v>
      </c>
      <c r="AO634">
        <v>0</v>
      </c>
      <c r="AP634">
        <v>0</v>
      </c>
      <c r="AQ634">
        <v>0</v>
      </c>
      <c r="AR634">
        <v>0</v>
      </c>
      <c r="AS634">
        <v>0</v>
      </c>
      <c r="AT634">
        <v>0</v>
      </c>
      <c r="AU634">
        <v>0</v>
      </c>
      <c r="AV634">
        <v>0</v>
      </c>
      <c r="AW634">
        <v>0</v>
      </c>
      <c r="AX634">
        <v>0</v>
      </c>
      <c r="AY634">
        <v>0</v>
      </c>
      <c r="AZ634">
        <v>0</v>
      </c>
      <c r="BA634">
        <v>0</v>
      </c>
      <c r="BB634">
        <v>0</v>
      </c>
      <c r="BC634">
        <v>0</v>
      </c>
      <c r="BD634">
        <v>0</v>
      </c>
      <c r="BE634">
        <v>0</v>
      </c>
      <c r="BF634">
        <v>0</v>
      </c>
      <c r="BG634">
        <v>0</v>
      </c>
      <c r="BH634">
        <v>0</v>
      </c>
      <c r="BI634">
        <v>0</v>
      </c>
      <c r="BJ634">
        <v>0</v>
      </c>
      <c r="BK634">
        <v>0</v>
      </c>
      <c r="BL634">
        <v>0</v>
      </c>
      <c r="BM634">
        <v>0</v>
      </c>
      <c r="BN634">
        <v>0</v>
      </c>
      <c r="BO634">
        <v>0</v>
      </c>
      <c r="BP634">
        <v>0</v>
      </c>
      <c r="BQ634">
        <v>0</v>
      </c>
      <c r="BR634">
        <v>0</v>
      </c>
      <c r="BS634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A686BD-F63B-45D7-ABC7-04E012EAF489}">
  <dimension ref="A1:C894"/>
  <sheetViews>
    <sheetView workbookViewId="0">
      <selection activeCell="A2" sqref="A2"/>
    </sheetView>
  </sheetViews>
  <sheetFormatPr defaultRowHeight="14.4" x14ac:dyDescent="0.3"/>
  <cols>
    <col min="1" max="1" width="49.44140625" style="2" customWidth="1"/>
  </cols>
  <sheetData>
    <row r="1" spans="1:3" x14ac:dyDescent="0.3">
      <c r="A1" s="2" t="s">
        <v>2869</v>
      </c>
      <c r="B1" t="s">
        <v>2864</v>
      </c>
      <c r="C1" t="s">
        <v>2870</v>
      </c>
    </row>
    <row r="2" spans="1:3" x14ac:dyDescent="0.3">
      <c r="A2" s="2" t="s">
        <v>2871</v>
      </c>
      <c r="B2">
        <v>11</v>
      </c>
      <c r="C2">
        <v>1.766</v>
      </c>
    </row>
    <row r="3" spans="1:3" ht="28.8" x14ac:dyDescent="0.3">
      <c r="A3" s="2" t="s">
        <v>2872</v>
      </c>
      <c r="B3">
        <v>9</v>
      </c>
      <c r="C3">
        <v>1.4450000000000001</v>
      </c>
    </row>
    <row r="4" spans="1:3" x14ac:dyDescent="0.3">
      <c r="A4" s="2" t="s">
        <v>2873</v>
      </c>
      <c r="B4">
        <v>9</v>
      </c>
      <c r="C4">
        <v>1.4450000000000001</v>
      </c>
    </row>
    <row r="5" spans="1:3" x14ac:dyDescent="0.3">
      <c r="A5" s="2" t="s">
        <v>2874</v>
      </c>
      <c r="B5">
        <v>8</v>
      </c>
      <c r="C5">
        <v>1.284</v>
      </c>
    </row>
    <row r="6" spans="1:3" x14ac:dyDescent="0.3">
      <c r="A6" s="2" t="s">
        <v>2875</v>
      </c>
      <c r="B6">
        <v>8</v>
      </c>
      <c r="C6">
        <v>1.284</v>
      </c>
    </row>
    <row r="7" spans="1:3" x14ac:dyDescent="0.3">
      <c r="A7" s="2" t="s">
        <v>2876</v>
      </c>
      <c r="B7">
        <v>8</v>
      </c>
      <c r="C7">
        <v>1.284</v>
      </c>
    </row>
    <row r="8" spans="1:3" x14ac:dyDescent="0.3">
      <c r="A8" s="2" t="s">
        <v>2877</v>
      </c>
      <c r="B8">
        <v>7</v>
      </c>
      <c r="C8">
        <v>1.1240000000000001</v>
      </c>
    </row>
    <row r="9" spans="1:3" x14ac:dyDescent="0.3">
      <c r="A9" s="2" t="s">
        <v>2878</v>
      </c>
      <c r="B9">
        <v>7</v>
      </c>
      <c r="C9">
        <v>1.1240000000000001</v>
      </c>
    </row>
    <row r="10" spans="1:3" x14ac:dyDescent="0.3">
      <c r="A10" s="2" t="s">
        <v>2879</v>
      </c>
      <c r="B10">
        <v>7</v>
      </c>
      <c r="C10">
        <v>1.1240000000000001</v>
      </c>
    </row>
    <row r="11" spans="1:3" x14ac:dyDescent="0.3">
      <c r="A11" s="2" t="s">
        <v>2880</v>
      </c>
      <c r="B11">
        <v>7</v>
      </c>
      <c r="C11">
        <v>1.1240000000000001</v>
      </c>
    </row>
    <row r="12" spans="1:3" x14ac:dyDescent="0.3">
      <c r="A12" s="2" t="s">
        <v>2881</v>
      </c>
      <c r="B12">
        <v>7</v>
      </c>
      <c r="C12">
        <v>1.1240000000000001</v>
      </c>
    </row>
    <row r="13" spans="1:3" x14ac:dyDescent="0.3">
      <c r="A13" s="2" t="s">
        <v>2882</v>
      </c>
      <c r="B13">
        <v>6</v>
      </c>
      <c r="C13">
        <v>0.96299999999999997</v>
      </c>
    </row>
    <row r="14" spans="1:3" x14ac:dyDescent="0.3">
      <c r="A14" s="2" t="s">
        <v>2883</v>
      </c>
      <c r="B14">
        <v>6</v>
      </c>
      <c r="C14">
        <v>0.96299999999999997</v>
      </c>
    </row>
    <row r="15" spans="1:3" ht="28.8" x14ac:dyDescent="0.3">
      <c r="A15" s="2" t="s">
        <v>2884</v>
      </c>
      <c r="B15">
        <v>6</v>
      </c>
      <c r="C15">
        <v>0.96299999999999997</v>
      </c>
    </row>
    <row r="16" spans="1:3" x14ac:dyDescent="0.3">
      <c r="A16" s="2" t="s">
        <v>2885</v>
      </c>
      <c r="B16">
        <v>6</v>
      </c>
      <c r="C16">
        <v>0.96299999999999997</v>
      </c>
    </row>
    <row r="17" spans="1:3" x14ac:dyDescent="0.3">
      <c r="A17" s="2" t="s">
        <v>2886</v>
      </c>
      <c r="B17">
        <v>6</v>
      </c>
      <c r="C17">
        <v>0.96299999999999997</v>
      </c>
    </row>
    <row r="18" spans="1:3" x14ac:dyDescent="0.3">
      <c r="A18" s="2" t="s">
        <v>2887</v>
      </c>
      <c r="B18">
        <v>6</v>
      </c>
      <c r="C18">
        <v>0.96299999999999997</v>
      </c>
    </row>
    <row r="19" spans="1:3" x14ac:dyDescent="0.3">
      <c r="A19" s="2" t="s">
        <v>2888</v>
      </c>
      <c r="B19">
        <v>5</v>
      </c>
      <c r="C19">
        <v>0.80300000000000005</v>
      </c>
    </row>
    <row r="20" spans="1:3" ht="28.8" x14ac:dyDescent="0.3">
      <c r="A20" s="2" t="s">
        <v>2889</v>
      </c>
      <c r="B20">
        <v>5</v>
      </c>
      <c r="C20">
        <v>0.80300000000000005</v>
      </c>
    </row>
    <row r="21" spans="1:3" x14ac:dyDescent="0.3">
      <c r="A21" s="2" t="s">
        <v>2890</v>
      </c>
      <c r="B21">
        <v>5</v>
      </c>
      <c r="C21">
        <v>0.80300000000000005</v>
      </c>
    </row>
    <row r="22" spans="1:3" x14ac:dyDescent="0.3">
      <c r="A22" s="2" t="s">
        <v>2891</v>
      </c>
      <c r="B22">
        <v>5</v>
      </c>
      <c r="C22">
        <v>0.80300000000000005</v>
      </c>
    </row>
    <row r="23" spans="1:3" x14ac:dyDescent="0.3">
      <c r="A23" s="2" t="s">
        <v>2892</v>
      </c>
      <c r="B23">
        <v>5</v>
      </c>
      <c r="C23">
        <v>0.80300000000000005</v>
      </c>
    </row>
    <row r="24" spans="1:3" x14ac:dyDescent="0.3">
      <c r="A24" s="2" t="s">
        <v>2893</v>
      </c>
      <c r="B24">
        <v>5</v>
      </c>
      <c r="C24">
        <v>0.80300000000000005</v>
      </c>
    </row>
    <row r="25" spans="1:3" x14ac:dyDescent="0.3">
      <c r="A25" s="2" t="s">
        <v>2894</v>
      </c>
      <c r="B25">
        <v>5</v>
      </c>
      <c r="C25">
        <v>0.80300000000000005</v>
      </c>
    </row>
    <row r="26" spans="1:3" x14ac:dyDescent="0.3">
      <c r="A26" s="2" t="s">
        <v>2895</v>
      </c>
      <c r="B26">
        <v>5</v>
      </c>
      <c r="C26">
        <v>0.80300000000000005</v>
      </c>
    </row>
    <row r="27" spans="1:3" x14ac:dyDescent="0.3">
      <c r="A27" s="2" t="s">
        <v>2896</v>
      </c>
      <c r="B27">
        <v>4</v>
      </c>
      <c r="C27">
        <v>0.64200000000000002</v>
      </c>
    </row>
    <row r="28" spans="1:3" x14ac:dyDescent="0.3">
      <c r="A28" s="2" t="s">
        <v>2897</v>
      </c>
      <c r="B28">
        <v>4</v>
      </c>
      <c r="C28">
        <v>0.64200000000000002</v>
      </c>
    </row>
    <row r="29" spans="1:3" x14ac:dyDescent="0.3">
      <c r="A29" s="2" t="s">
        <v>2898</v>
      </c>
      <c r="B29">
        <v>4</v>
      </c>
      <c r="C29">
        <v>0.64200000000000002</v>
      </c>
    </row>
    <row r="30" spans="1:3" x14ac:dyDescent="0.3">
      <c r="A30" s="2" t="s">
        <v>2899</v>
      </c>
      <c r="B30">
        <v>4</v>
      </c>
      <c r="C30">
        <v>0.64200000000000002</v>
      </c>
    </row>
    <row r="31" spans="1:3" x14ac:dyDescent="0.3">
      <c r="A31" s="2" t="s">
        <v>2900</v>
      </c>
      <c r="B31">
        <v>4</v>
      </c>
      <c r="C31">
        <v>0.64200000000000002</v>
      </c>
    </row>
    <row r="32" spans="1:3" x14ac:dyDescent="0.3">
      <c r="A32" s="2" t="s">
        <v>2901</v>
      </c>
      <c r="B32">
        <v>4</v>
      </c>
      <c r="C32">
        <v>0.64200000000000002</v>
      </c>
    </row>
    <row r="33" spans="1:3" x14ac:dyDescent="0.3">
      <c r="A33" s="2" t="s">
        <v>2902</v>
      </c>
      <c r="B33">
        <v>4</v>
      </c>
      <c r="C33">
        <v>0.64200000000000002</v>
      </c>
    </row>
    <row r="34" spans="1:3" x14ac:dyDescent="0.3">
      <c r="A34" s="2" t="s">
        <v>2903</v>
      </c>
      <c r="B34">
        <v>4</v>
      </c>
      <c r="C34">
        <v>0.64200000000000002</v>
      </c>
    </row>
    <row r="35" spans="1:3" x14ac:dyDescent="0.3">
      <c r="A35" s="2" t="s">
        <v>2904</v>
      </c>
      <c r="B35">
        <v>4</v>
      </c>
      <c r="C35">
        <v>0.64200000000000002</v>
      </c>
    </row>
    <row r="36" spans="1:3" x14ac:dyDescent="0.3">
      <c r="A36" s="2" t="s">
        <v>2905</v>
      </c>
      <c r="B36">
        <v>4</v>
      </c>
      <c r="C36">
        <v>0.64200000000000002</v>
      </c>
    </row>
    <row r="37" spans="1:3" x14ac:dyDescent="0.3">
      <c r="A37" s="2" t="s">
        <v>2906</v>
      </c>
      <c r="B37">
        <v>4</v>
      </c>
      <c r="C37">
        <v>0.64200000000000002</v>
      </c>
    </row>
    <row r="38" spans="1:3" x14ac:dyDescent="0.3">
      <c r="A38" s="2" t="s">
        <v>2907</v>
      </c>
      <c r="B38">
        <v>4</v>
      </c>
      <c r="C38">
        <v>0.64200000000000002</v>
      </c>
    </row>
    <row r="39" spans="1:3" x14ac:dyDescent="0.3">
      <c r="A39" s="2" t="s">
        <v>2908</v>
      </c>
      <c r="B39">
        <v>4</v>
      </c>
      <c r="C39">
        <v>0.64200000000000002</v>
      </c>
    </row>
    <row r="40" spans="1:3" x14ac:dyDescent="0.3">
      <c r="A40" s="2" t="s">
        <v>2909</v>
      </c>
      <c r="B40">
        <v>4</v>
      </c>
      <c r="C40">
        <v>0.64200000000000002</v>
      </c>
    </row>
    <row r="41" spans="1:3" x14ac:dyDescent="0.3">
      <c r="A41" s="2" t="s">
        <v>2910</v>
      </c>
      <c r="B41">
        <v>4</v>
      </c>
      <c r="C41">
        <v>0.64200000000000002</v>
      </c>
    </row>
    <row r="42" spans="1:3" x14ac:dyDescent="0.3">
      <c r="A42" s="2" t="s">
        <v>2911</v>
      </c>
      <c r="B42">
        <v>3</v>
      </c>
      <c r="C42">
        <v>0.48199999999999998</v>
      </c>
    </row>
    <row r="43" spans="1:3" ht="28.8" x14ac:dyDescent="0.3">
      <c r="A43" s="2" t="s">
        <v>2912</v>
      </c>
      <c r="B43">
        <v>3</v>
      </c>
      <c r="C43">
        <v>0.48199999999999998</v>
      </c>
    </row>
    <row r="44" spans="1:3" x14ac:dyDescent="0.3">
      <c r="A44" s="2" t="s">
        <v>2913</v>
      </c>
      <c r="B44">
        <v>3</v>
      </c>
      <c r="C44">
        <v>0.48199999999999998</v>
      </c>
    </row>
    <row r="45" spans="1:3" x14ac:dyDescent="0.3">
      <c r="A45" s="2" t="s">
        <v>2914</v>
      </c>
      <c r="B45">
        <v>3</v>
      </c>
      <c r="C45">
        <v>0.48199999999999998</v>
      </c>
    </row>
    <row r="46" spans="1:3" x14ac:dyDescent="0.3">
      <c r="A46" s="2" t="s">
        <v>2915</v>
      </c>
      <c r="B46">
        <v>3</v>
      </c>
      <c r="C46">
        <v>0.48199999999999998</v>
      </c>
    </row>
    <row r="47" spans="1:3" x14ac:dyDescent="0.3">
      <c r="A47" s="2" t="s">
        <v>2916</v>
      </c>
      <c r="B47">
        <v>3</v>
      </c>
      <c r="C47">
        <v>0.48199999999999998</v>
      </c>
    </row>
    <row r="48" spans="1:3" x14ac:dyDescent="0.3">
      <c r="A48" s="2" t="s">
        <v>2917</v>
      </c>
      <c r="B48">
        <v>3</v>
      </c>
      <c r="C48">
        <v>0.48199999999999998</v>
      </c>
    </row>
    <row r="49" spans="1:3" x14ac:dyDescent="0.3">
      <c r="A49" s="2" t="s">
        <v>2918</v>
      </c>
      <c r="B49">
        <v>3</v>
      </c>
      <c r="C49">
        <v>0.48199999999999998</v>
      </c>
    </row>
    <row r="50" spans="1:3" x14ac:dyDescent="0.3">
      <c r="A50" s="2" t="s">
        <v>2919</v>
      </c>
      <c r="B50">
        <v>3</v>
      </c>
      <c r="C50">
        <v>0.48199999999999998</v>
      </c>
    </row>
    <row r="51" spans="1:3" x14ac:dyDescent="0.3">
      <c r="A51" s="2" t="s">
        <v>2920</v>
      </c>
      <c r="B51">
        <v>3</v>
      </c>
      <c r="C51">
        <v>0.48199999999999998</v>
      </c>
    </row>
    <row r="52" spans="1:3" x14ac:dyDescent="0.3">
      <c r="A52" s="2" t="s">
        <v>2921</v>
      </c>
      <c r="B52">
        <v>3</v>
      </c>
      <c r="C52">
        <v>0.48199999999999998</v>
      </c>
    </row>
    <row r="53" spans="1:3" x14ac:dyDescent="0.3">
      <c r="A53" s="2" t="s">
        <v>2922</v>
      </c>
      <c r="B53">
        <v>3</v>
      </c>
      <c r="C53">
        <v>0.48199999999999998</v>
      </c>
    </row>
    <row r="54" spans="1:3" x14ac:dyDescent="0.3">
      <c r="A54" s="2" t="s">
        <v>2923</v>
      </c>
      <c r="B54">
        <v>3</v>
      </c>
      <c r="C54">
        <v>0.48199999999999998</v>
      </c>
    </row>
    <row r="55" spans="1:3" x14ac:dyDescent="0.3">
      <c r="A55" s="2" t="s">
        <v>2924</v>
      </c>
      <c r="B55">
        <v>3</v>
      </c>
      <c r="C55">
        <v>0.48199999999999998</v>
      </c>
    </row>
    <row r="56" spans="1:3" x14ac:dyDescent="0.3">
      <c r="A56" s="2" t="s">
        <v>2925</v>
      </c>
      <c r="B56">
        <v>3</v>
      </c>
      <c r="C56">
        <v>0.48199999999999998</v>
      </c>
    </row>
    <row r="57" spans="1:3" x14ac:dyDescent="0.3">
      <c r="A57" s="2" t="s">
        <v>2926</v>
      </c>
      <c r="B57">
        <v>3</v>
      </c>
      <c r="C57">
        <v>0.48199999999999998</v>
      </c>
    </row>
    <row r="58" spans="1:3" x14ac:dyDescent="0.3">
      <c r="A58" s="2" t="s">
        <v>2927</v>
      </c>
      <c r="B58">
        <v>3</v>
      </c>
      <c r="C58">
        <v>0.48199999999999998</v>
      </c>
    </row>
    <row r="59" spans="1:3" x14ac:dyDescent="0.3">
      <c r="A59" s="2" t="s">
        <v>2928</v>
      </c>
      <c r="B59">
        <v>3</v>
      </c>
      <c r="C59">
        <v>0.48199999999999998</v>
      </c>
    </row>
    <row r="60" spans="1:3" x14ac:dyDescent="0.3">
      <c r="A60" s="2" t="s">
        <v>2929</v>
      </c>
      <c r="B60">
        <v>3</v>
      </c>
      <c r="C60">
        <v>0.48199999999999998</v>
      </c>
    </row>
    <row r="61" spans="1:3" x14ac:dyDescent="0.3">
      <c r="A61" s="2" t="s">
        <v>2930</v>
      </c>
      <c r="B61">
        <v>3</v>
      </c>
      <c r="C61">
        <v>0.48199999999999998</v>
      </c>
    </row>
    <row r="62" spans="1:3" x14ac:dyDescent="0.3">
      <c r="A62" s="2" t="s">
        <v>2931</v>
      </c>
      <c r="B62">
        <v>3</v>
      </c>
      <c r="C62">
        <v>0.48199999999999998</v>
      </c>
    </row>
    <row r="63" spans="1:3" x14ac:dyDescent="0.3">
      <c r="A63" s="2" t="s">
        <v>2932</v>
      </c>
      <c r="B63">
        <v>3</v>
      </c>
      <c r="C63">
        <v>0.48199999999999998</v>
      </c>
    </row>
    <row r="64" spans="1:3" x14ac:dyDescent="0.3">
      <c r="A64" s="2" t="s">
        <v>2933</v>
      </c>
      <c r="B64">
        <v>3</v>
      </c>
      <c r="C64">
        <v>0.48199999999999998</v>
      </c>
    </row>
    <row r="65" spans="1:3" x14ac:dyDescent="0.3">
      <c r="A65" s="2" t="s">
        <v>2934</v>
      </c>
      <c r="B65">
        <v>3</v>
      </c>
      <c r="C65">
        <v>0.48199999999999998</v>
      </c>
    </row>
    <row r="66" spans="1:3" x14ac:dyDescent="0.3">
      <c r="A66" s="2" t="s">
        <v>2935</v>
      </c>
      <c r="B66">
        <v>3</v>
      </c>
      <c r="C66">
        <v>0.48199999999999998</v>
      </c>
    </row>
    <row r="67" spans="1:3" x14ac:dyDescent="0.3">
      <c r="A67" s="2" t="s">
        <v>2936</v>
      </c>
      <c r="B67">
        <v>3</v>
      </c>
      <c r="C67">
        <v>0.48199999999999998</v>
      </c>
    </row>
    <row r="68" spans="1:3" x14ac:dyDescent="0.3">
      <c r="A68" s="2" t="s">
        <v>2937</v>
      </c>
      <c r="B68">
        <v>3</v>
      </c>
      <c r="C68">
        <v>0.48199999999999998</v>
      </c>
    </row>
    <row r="69" spans="1:3" x14ac:dyDescent="0.3">
      <c r="A69" s="2" t="s">
        <v>2938</v>
      </c>
      <c r="B69">
        <v>3</v>
      </c>
      <c r="C69">
        <v>0.48199999999999998</v>
      </c>
    </row>
    <row r="70" spans="1:3" x14ac:dyDescent="0.3">
      <c r="A70" s="2" t="s">
        <v>2939</v>
      </c>
      <c r="B70">
        <v>3</v>
      </c>
      <c r="C70">
        <v>0.48199999999999998</v>
      </c>
    </row>
    <row r="71" spans="1:3" x14ac:dyDescent="0.3">
      <c r="A71" s="2" t="s">
        <v>2940</v>
      </c>
      <c r="B71">
        <v>3</v>
      </c>
      <c r="C71">
        <v>0.48199999999999998</v>
      </c>
    </row>
    <row r="72" spans="1:3" x14ac:dyDescent="0.3">
      <c r="A72" s="2" t="s">
        <v>2941</v>
      </c>
      <c r="B72">
        <v>3</v>
      </c>
      <c r="C72">
        <v>0.48199999999999998</v>
      </c>
    </row>
    <row r="73" spans="1:3" x14ac:dyDescent="0.3">
      <c r="A73" s="2" t="s">
        <v>2942</v>
      </c>
      <c r="B73">
        <v>3</v>
      </c>
      <c r="C73">
        <v>0.48199999999999998</v>
      </c>
    </row>
    <row r="74" spans="1:3" x14ac:dyDescent="0.3">
      <c r="A74" s="2" t="s">
        <v>2943</v>
      </c>
      <c r="B74">
        <v>3</v>
      </c>
      <c r="C74">
        <v>0.48199999999999998</v>
      </c>
    </row>
    <row r="75" spans="1:3" x14ac:dyDescent="0.3">
      <c r="A75" s="2" t="s">
        <v>2944</v>
      </c>
      <c r="B75">
        <v>3</v>
      </c>
      <c r="C75">
        <v>0.48199999999999998</v>
      </c>
    </row>
    <row r="76" spans="1:3" x14ac:dyDescent="0.3">
      <c r="A76" s="2" t="s">
        <v>2945</v>
      </c>
      <c r="B76">
        <v>3</v>
      </c>
      <c r="C76">
        <v>0.48199999999999998</v>
      </c>
    </row>
    <row r="77" spans="1:3" x14ac:dyDescent="0.3">
      <c r="A77" s="2" t="s">
        <v>2946</v>
      </c>
      <c r="B77">
        <v>3</v>
      </c>
      <c r="C77">
        <v>0.48199999999999998</v>
      </c>
    </row>
    <row r="78" spans="1:3" x14ac:dyDescent="0.3">
      <c r="A78" s="2" t="s">
        <v>2947</v>
      </c>
      <c r="B78">
        <v>3</v>
      </c>
      <c r="C78">
        <v>0.48199999999999998</v>
      </c>
    </row>
    <row r="79" spans="1:3" x14ac:dyDescent="0.3">
      <c r="A79" s="2" t="s">
        <v>2948</v>
      </c>
      <c r="B79">
        <v>3</v>
      </c>
      <c r="C79">
        <v>0.48199999999999998</v>
      </c>
    </row>
    <row r="80" spans="1:3" x14ac:dyDescent="0.3">
      <c r="A80" s="2" t="s">
        <v>2949</v>
      </c>
      <c r="B80">
        <v>3</v>
      </c>
      <c r="C80">
        <v>0.48199999999999998</v>
      </c>
    </row>
    <row r="81" spans="1:3" x14ac:dyDescent="0.3">
      <c r="A81" s="2" t="s">
        <v>2950</v>
      </c>
      <c r="B81">
        <v>3</v>
      </c>
      <c r="C81">
        <v>0.48199999999999998</v>
      </c>
    </row>
    <row r="82" spans="1:3" x14ac:dyDescent="0.3">
      <c r="A82" s="2" t="s">
        <v>2951</v>
      </c>
      <c r="B82">
        <v>2</v>
      </c>
      <c r="C82">
        <v>0.32100000000000001</v>
      </c>
    </row>
    <row r="83" spans="1:3" x14ac:dyDescent="0.3">
      <c r="A83" s="2" t="s">
        <v>2952</v>
      </c>
      <c r="B83">
        <v>2</v>
      </c>
      <c r="C83">
        <v>0.32100000000000001</v>
      </c>
    </row>
    <row r="84" spans="1:3" x14ac:dyDescent="0.3">
      <c r="A84" s="2" t="s">
        <v>2953</v>
      </c>
      <c r="B84">
        <v>2</v>
      </c>
      <c r="C84">
        <v>0.32100000000000001</v>
      </c>
    </row>
    <row r="85" spans="1:3" x14ac:dyDescent="0.3">
      <c r="A85" s="2" t="s">
        <v>2954</v>
      </c>
      <c r="B85">
        <v>2</v>
      </c>
      <c r="C85">
        <v>0.32100000000000001</v>
      </c>
    </row>
    <row r="86" spans="1:3" x14ac:dyDescent="0.3">
      <c r="A86" s="2" t="s">
        <v>2955</v>
      </c>
      <c r="B86">
        <v>2</v>
      </c>
      <c r="C86">
        <v>0.32100000000000001</v>
      </c>
    </row>
    <row r="87" spans="1:3" x14ac:dyDescent="0.3">
      <c r="A87" s="2" t="s">
        <v>2956</v>
      </c>
      <c r="B87">
        <v>2</v>
      </c>
      <c r="C87">
        <v>0.32100000000000001</v>
      </c>
    </row>
    <row r="88" spans="1:3" x14ac:dyDescent="0.3">
      <c r="A88" s="2" t="s">
        <v>2957</v>
      </c>
      <c r="B88">
        <v>2</v>
      </c>
      <c r="C88">
        <v>0.32100000000000001</v>
      </c>
    </row>
    <row r="89" spans="1:3" x14ac:dyDescent="0.3">
      <c r="A89" s="2" t="s">
        <v>2958</v>
      </c>
      <c r="B89">
        <v>2</v>
      </c>
      <c r="C89">
        <v>0.32100000000000001</v>
      </c>
    </row>
    <row r="90" spans="1:3" x14ac:dyDescent="0.3">
      <c r="A90" s="2" t="s">
        <v>2959</v>
      </c>
      <c r="B90">
        <v>2</v>
      </c>
      <c r="C90">
        <v>0.32100000000000001</v>
      </c>
    </row>
    <row r="91" spans="1:3" x14ac:dyDescent="0.3">
      <c r="A91" s="2" t="s">
        <v>2960</v>
      </c>
      <c r="B91">
        <v>2</v>
      </c>
      <c r="C91">
        <v>0.32100000000000001</v>
      </c>
    </row>
    <row r="92" spans="1:3" x14ac:dyDescent="0.3">
      <c r="A92" s="2" t="s">
        <v>2961</v>
      </c>
      <c r="B92">
        <v>2</v>
      </c>
      <c r="C92">
        <v>0.32100000000000001</v>
      </c>
    </row>
    <row r="93" spans="1:3" x14ac:dyDescent="0.3">
      <c r="A93" s="2" t="s">
        <v>2962</v>
      </c>
      <c r="B93">
        <v>2</v>
      </c>
      <c r="C93">
        <v>0.32100000000000001</v>
      </c>
    </row>
    <row r="94" spans="1:3" ht="28.8" x14ac:dyDescent="0.3">
      <c r="A94" s="2" t="s">
        <v>2963</v>
      </c>
      <c r="B94">
        <v>2</v>
      </c>
      <c r="C94">
        <v>0.32100000000000001</v>
      </c>
    </row>
    <row r="95" spans="1:3" x14ac:dyDescent="0.3">
      <c r="A95" s="2" t="s">
        <v>2964</v>
      </c>
      <c r="B95">
        <v>2</v>
      </c>
      <c r="C95">
        <v>0.32100000000000001</v>
      </c>
    </row>
    <row r="96" spans="1:3" x14ac:dyDescent="0.3">
      <c r="A96" s="2" t="s">
        <v>2965</v>
      </c>
      <c r="B96">
        <v>2</v>
      </c>
      <c r="C96">
        <v>0.32100000000000001</v>
      </c>
    </row>
    <row r="97" spans="1:3" x14ac:dyDescent="0.3">
      <c r="A97" s="2" t="s">
        <v>2966</v>
      </c>
      <c r="B97">
        <v>2</v>
      </c>
      <c r="C97">
        <v>0.32100000000000001</v>
      </c>
    </row>
    <row r="98" spans="1:3" x14ac:dyDescent="0.3">
      <c r="A98" s="2" t="s">
        <v>2967</v>
      </c>
      <c r="B98">
        <v>2</v>
      </c>
      <c r="C98">
        <v>0.32100000000000001</v>
      </c>
    </row>
    <row r="99" spans="1:3" x14ac:dyDescent="0.3">
      <c r="A99" s="2" t="s">
        <v>2968</v>
      </c>
      <c r="B99">
        <v>2</v>
      </c>
      <c r="C99">
        <v>0.32100000000000001</v>
      </c>
    </row>
    <row r="100" spans="1:3" x14ac:dyDescent="0.3">
      <c r="A100" s="2" t="s">
        <v>2969</v>
      </c>
      <c r="B100">
        <v>2</v>
      </c>
      <c r="C100">
        <v>0.32100000000000001</v>
      </c>
    </row>
    <row r="101" spans="1:3" x14ac:dyDescent="0.3">
      <c r="A101" s="2" t="s">
        <v>2970</v>
      </c>
      <c r="B101">
        <v>2</v>
      </c>
      <c r="C101">
        <v>0.32100000000000001</v>
      </c>
    </row>
    <row r="102" spans="1:3" x14ac:dyDescent="0.3">
      <c r="A102" s="2" t="s">
        <v>2971</v>
      </c>
      <c r="B102">
        <v>2</v>
      </c>
      <c r="C102">
        <v>0.32100000000000001</v>
      </c>
    </row>
    <row r="103" spans="1:3" x14ac:dyDescent="0.3">
      <c r="A103" s="2" t="s">
        <v>2972</v>
      </c>
      <c r="B103">
        <v>2</v>
      </c>
      <c r="C103">
        <v>0.32100000000000001</v>
      </c>
    </row>
    <row r="104" spans="1:3" x14ac:dyDescent="0.3">
      <c r="A104" s="2" t="s">
        <v>2973</v>
      </c>
      <c r="B104">
        <v>2</v>
      </c>
      <c r="C104">
        <v>0.32100000000000001</v>
      </c>
    </row>
    <row r="105" spans="1:3" x14ac:dyDescent="0.3">
      <c r="A105" s="2" t="s">
        <v>2974</v>
      </c>
      <c r="B105">
        <v>2</v>
      </c>
      <c r="C105">
        <v>0.32100000000000001</v>
      </c>
    </row>
    <row r="106" spans="1:3" x14ac:dyDescent="0.3">
      <c r="A106" s="2" t="s">
        <v>2975</v>
      </c>
      <c r="B106">
        <v>2</v>
      </c>
      <c r="C106">
        <v>0.32100000000000001</v>
      </c>
    </row>
    <row r="107" spans="1:3" x14ac:dyDescent="0.3">
      <c r="A107" s="2" t="s">
        <v>2976</v>
      </c>
      <c r="B107">
        <v>2</v>
      </c>
      <c r="C107">
        <v>0.32100000000000001</v>
      </c>
    </row>
    <row r="108" spans="1:3" x14ac:dyDescent="0.3">
      <c r="A108" s="2" t="s">
        <v>2977</v>
      </c>
      <c r="B108">
        <v>2</v>
      </c>
      <c r="C108">
        <v>0.32100000000000001</v>
      </c>
    </row>
    <row r="109" spans="1:3" x14ac:dyDescent="0.3">
      <c r="A109" s="2" t="s">
        <v>2978</v>
      </c>
      <c r="B109">
        <v>2</v>
      </c>
      <c r="C109">
        <v>0.32100000000000001</v>
      </c>
    </row>
    <row r="110" spans="1:3" x14ac:dyDescent="0.3">
      <c r="A110" s="2" t="s">
        <v>2979</v>
      </c>
      <c r="B110">
        <v>2</v>
      </c>
      <c r="C110">
        <v>0.32100000000000001</v>
      </c>
    </row>
    <row r="111" spans="1:3" x14ac:dyDescent="0.3">
      <c r="A111" s="2" t="s">
        <v>2980</v>
      </c>
      <c r="B111">
        <v>2</v>
      </c>
      <c r="C111">
        <v>0.32100000000000001</v>
      </c>
    </row>
    <row r="112" spans="1:3" x14ac:dyDescent="0.3">
      <c r="A112" s="2" t="s">
        <v>2981</v>
      </c>
      <c r="B112">
        <v>2</v>
      </c>
      <c r="C112">
        <v>0.32100000000000001</v>
      </c>
    </row>
    <row r="113" spans="1:3" x14ac:dyDescent="0.3">
      <c r="A113" s="2" t="s">
        <v>2982</v>
      </c>
      <c r="B113">
        <v>2</v>
      </c>
      <c r="C113">
        <v>0.32100000000000001</v>
      </c>
    </row>
    <row r="114" spans="1:3" x14ac:dyDescent="0.3">
      <c r="A114" s="2" t="s">
        <v>2983</v>
      </c>
      <c r="B114">
        <v>2</v>
      </c>
      <c r="C114">
        <v>0.32100000000000001</v>
      </c>
    </row>
    <row r="115" spans="1:3" x14ac:dyDescent="0.3">
      <c r="A115" s="2" t="s">
        <v>2984</v>
      </c>
      <c r="B115">
        <v>2</v>
      </c>
      <c r="C115">
        <v>0.32100000000000001</v>
      </c>
    </row>
    <row r="116" spans="1:3" x14ac:dyDescent="0.3">
      <c r="A116" s="2" t="s">
        <v>2985</v>
      </c>
      <c r="B116">
        <v>2</v>
      </c>
      <c r="C116">
        <v>0.32100000000000001</v>
      </c>
    </row>
    <row r="117" spans="1:3" x14ac:dyDescent="0.3">
      <c r="A117" s="2" t="s">
        <v>2986</v>
      </c>
      <c r="B117">
        <v>2</v>
      </c>
      <c r="C117">
        <v>0.32100000000000001</v>
      </c>
    </row>
    <row r="118" spans="1:3" x14ac:dyDescent="0.3">
      <c r="A118" s="2" t="s">
        <v>2987</v>
      </c>
      <c r="B118">
        <v>2</v>
      </c>
      <c r="C118">
        <v>0.32100000000000001</v>
      </c>
    </row>
    <row r="119" spans="1:3" x14ac:dyDescent="0.3">
      <c r="A119" s="2" t="s">
        <v>2988</v>
      </c>
      <c r="B119">
        <v>2</v>
      </c>
      <c r="C119">
        <v>0.32100000000000001</v>
      </c>
    </row>
    <row r="120" spans="1:3" x14ac:dyDescent="0.3">
      <c r="A120" s="2" t="s">
        <v>2989</v>
      </c>
      <c r="B120">
        <v>2</v>
      </c>
      <c r="C120">
        <v>0.32100000000000001</v>
      </c>
    </row>
    <row r="121" spans="1:3" x14ac:dyDescent="0.3">
      <c r="A121" s="2" t="s">
        <v>2990</v>
      </c>
      <c r="B121">
        <v>2</v>
      </c>
      <c r="C121">
        <v>0.32100000000000001</v>
      </c>
    </row>
    <row r="122" spans="1:3" x14ac:dyDescent="0.3">
      <c r="A122" s="2" t="s">
        <v>2991</v>
      </c>
      <c r="B122">
        <v>2</v>
      </c>
      <c r="C122">
        <v>0.32100000000000001</v>
      </c>
    </row>
    <row r="123" spans="1:3" x14ac:dyDescent="0.3">
      <c r="A123" s="2" t="s">
        <v>2992</v>
      </c>
      <c r="B123">
        <v>2</v>
      </c>
      <c r="C123">
        <v>0.32100000000000001</v>
      </c>
    </row>
    <row r="124" spans="1:3" ht="28.8" x14ac:dyDescent="0.3">
      <c r="A124" s="2" t="s">
        <v>2993</v>
      </c>
      <c r="B124">
        <v>2</v>
      </c>
      <c r="C124">
        <v>0.32100000000000001</v>
      </c>
    </row>
    <row r="125" spans="1:3" ht="28.8" x14ac:dyDescent="0.3">
      <c r="A125" s="2" t="s">
        <v>2994</v>
      </c>
      <c r="B125">
        <v>2</v>
      </c>
      <c r="C125">
        <v>0.32100000000000001</v>
      </c>
    </row>
    <row r="126" spans="1:3" ht="28.8" x14ac:dyDescent="0.3">
      <c r="A126" s="2" t="s">
        <v>2995</v>
      </c>
      <c r="B126">
        <v>2</v>
      </c>
      <c r="C126">
        <v>0.32100000000000001</v>
      </c>
    </row>
    <row r="127" spans="1:3" ht="28.8" x14ac:dyDescent="0.3">
      <c r="A127" s="2" t="s">
        <v>2996</v>
      </c>
      <c r="B127">
        <v>2</v>
      </c>
      <c r="C127">
        <v>0.32100000000000001</v>
      </c>
    </row>
    <row r="128" spans="1:3" x14ac:dyDescent="0.3">
      <c r="A128" s="2" t="s">
        <v>2997</v>
      </c>
      <c r="B128">
        <v>2</v>
      </c>
      <c r="C128">
        <v>0.32100000000000001</v>
      </c>
    </row>
    <row r="129" spans="1:3" x14ac:dyDescent="0.3">
      <c r="A129" s="2" t="s">
        <v>2998</v>
      </c>
      <c r="B129">
        <v>2</v>
      </c>
      <c r="C129">
        <v>0.32100000000000001</v>
      </c>
    </row>
    <row r="130" spans="1:3" x14ac:dyDescent="0.3">
      <c r="A130" s="2" t="s">
        <v>2999</v>
      </c>
      <c r="B130">
        <v>2</v>
      </c>
      <c r="C130">
        <v>0.32100000000000001</v>
      </c>
    </row>
    <row r="131" spans="1:3" x14ac:dyDescent="0.3">
      <c r="A131" s="2" t="s">
        <v>3000</v>
      </c>
      <c r="B131">
        <v>2</v>
      </c>
      <c r="C131">
        <v>0.32100000000000001</v>
      </c>
    </row>
    <row r="132" spans="1:3" x14ac:dyDescent="0.3">
      <c r="A132" s="2" t="s">
        <v>3001</v>
      </c>
      <c r="B132">
        <v>2</v>
      </c>
      <c r="C132">
        <v>0.32100000000000001</v>
      </c>
    </row>
    <row r="133" spans="1:3" x14ac:dyDescent="0.3">
      <c r="A133" s="2" t="s">
        <v>3002</v>
      </c>
      <c r="B133">
        <v>2</v>
      </c>
      <c r="C133">
        <v>0.32100000000000001</v>
      </c>
    </row>
    <row r="134" spans="1:3" x14ac:dyDescent="0.3">
      <c r="A134" s="2" t="s">
        <v>3003</v>
      </c>
      <c r="B134">
        <v>2</v>
      </c>
      <c r="C134">
        <v>0.32100000000000001</v>
      </c>
    </row>
    <row r="135" spans="1:3" x14ac:dyDescent="0.3">
      <c r="A135" s="2" t="s">
        <v>3004</v>
      </c>
      <c r="B135">
        <v>2</v>
      </c>
      <c r="C135">
        <v>0.32100000000000001</v>
      </c>
    </row>
    <row r="136" spans="1:3" x14ac:dyDescent="0.3">
      <c r="A136" s="2" t="s">
        <v>3005</v>
      </c>
      <c r="B136">
        <v>2</v>
      </c>
      <c r="C136">
        <v>0.32100000000000001</v>
      </c>
    </row>
    <row r="137" spans="1:3" x14ac:dyDescent="0.3">
      <c r="A137" s="2" t="s">
        <v>3006</v>
      </c>
      <c r="B137">
        <v>2</v>
      </c>
      <c r="C137">
        <v>0.32100000000000001</v>
      </c>
    </row>
    <row r="138" spans="1:3" x14ac:dyDescent="0.3">
      <c r="A138" s="2" t="s">
        <v>3007</v>
      </c>
      <c r="B138">
        <v>2</v>
      </c>
      <c r="C138">
        <v>0.32100000000000001</v>
      </c>
    </row>
    <row r="139" spans="1:3" x14ac:dyDescent="0.3">
      <c r="A139" s="2" t="s">
        <v>3008</v>
      </c>
      <c r="B139">
        <v>2</v>
      </c>
      <c r="C139">
        <v>0.32100000000000001</v>
      </c>
    </row>
    <row r="140" spans="1:3" x14ac:dyDescent="0.3">
      <c r="A140" s="2" t="s">
        <v>3009</v>
      </c>
      <c r="B140">
        <v>2</v>
      </c>
      <c r="C140">
        <v>0.32100000000000001</v>
      </c>
    </row>
    <row r="141" spans="1:3" x14ac:dyDescent="0.3">
      <c r="A141" s="2" t="s">
        <v>3010</v>
      </c>
      <c r="B141">
        <v>2</v>
      </c>
      <c r="C141">
        <v>0.32100000000000001</v>
      </c>
    </row>
    <row r="142" spans="1:3" x14ac:dyDescent="0.3">
      <c r="A142" s="2" t="s">
        <v>3011</v>
      </c>
      <c r="B142">
        <v>2</v>
      </c>
      <c r="C142">
        <v>0.32100000000000001</v>
      </c>
    </row>
    <row r="143" spans="1:3" x14ac:dyDescent="0.3">
      <c r="A143" s="2" t="s">
        <v>3012</v>
      </c>
      <c r="B143">
        <v>2</v>
      </c>
      <c r="C143">
        <v>0.32100000000000001</v>
      </c>
    </row>
    <row r="144" spans="1:3" ht="28.8" x14ac:dyDescent="0.3">
      <c r="A144" s="2" t="s">
        <v>3013</v>
      </c>
      <c r="B144">
        <v>2</v>
      </c>
      <c r="C144">
        <v>0.32100000000000001</v>
      </c>
    </row>
    <row r="145" spans="1:3" x14ac:dyDescent="0.3">
      <c r="A145" s="2" t="s">
        <v>3014</v>
      </c>
      <c r="B145">
        <v>2</v>
      </c>
      <c r="C145">
        <v>0.32100000000000001</v>
      </c>
    </row>
    <row r="146" spans="1:3" x14ac:dyDescent="0.3">
      <c r="A146" s="2" t="s">
        <v>3015</v>
      </c>
      <c r="B146">
        <v>2</v>
      </c>
      <c r="C146">
        <v>0.32100000000000001</v>
      </c>
    </row>
    <row r="147" spans="1:3" x14ac:dyDescent="0.3">
      <c r="A147" s="2" t="s">
        <v>3016</v>
      </c>
      <c r="B147">
        <v>2</v>
      </c>
      <c r="C147">
        <v>0.32100000000000001</v>
      </c>
    </row>
    <row r="148" spans="1:3" x14ac:dyDescent="0.3">
      <c r="A148" s="2" t="s">
        <v>3017</v>
      </c>
      <c r="B148">
        <v>2</v>
      </c>
      <c r="C148">
        <v>0.32100000000000001</v>
      </c>
    </row>
    <row r="149" spans="1:3" x14ac:dyDescent="0.3">
      <c r="A149" s="2" t="s">
        <v>3018</v>
      </c>
      <c r="B149">
        <v>2</v>
      </c>
      <c r="C149">
        <v>0.32100000000000001</v>
      </c>
    </row>
    <row r="150" spans="1:3" x14ac:dyDescent="0.3">
      <c r="A150" s="2" t="s">
        <v>3019</v>
      </c>
      <c r="B150">
        <v>2</v>
      </c>
      <c r="C150">
        <v>0.32100000000000001</v>
      </c>
    </row>
    <row r="151" spans="1:3" x14ac:dyDescent="0.3">
      <c r="A151" s="2" t="s">
        <v>3020</v>
      </c>
      <c r="B151">
        <v>2</v>
      </c>
      <c r="C151">
        <v>0.32100000000000001</v>
      </c>
    </row>
    <row r="152" spans="1:3" x14ac:dyDescent="0.3">
      <c r="A152" s="2" t="s">
        <v>3021</v>
      </c>
      <c r="B152">
        <v>2</v>
      </c>
      <c r="C152">
        <v>0.32100000000000001</v>
      </c>
    </row>
    <row r="153" spans="1:3" x14ac:dyDescent="0.3">
      <c r="A153" s="2" t="s">
        <v>3022</v>
      </c>
      <c r="B153">
        <v>2</v>
      </c>
      <c r="C153">
        <v>0.32100000000000001</v>
      </c>
    </row>
    <row r="154" spans="1:3" x14ac:dyDescent="0.3">
      <c r="A154" s="2" t="s">
        <v>3023</v>
      </c>
      <c r="B154">
        <v>2</v>
      </c>
      <c r="C154">
        <v>0.32100000000000001</v>
      </c>
    </row>
    <row r="155" spans="1:3" x14ac:dyDescent="0.3">
      <c r="A155" s="2" t="s">
        <v>3024</v>
      </c>
      <c r="B155">
        <v>2</v>
      </c>
      <c r="C155">
        <v>0.32100000000000001</v>
      </c>
    </row>
    <row r="156" spans="1:3" x14ac:dyDescent="0.3">
      <c r="A156" s="2" t="s">
        <v>3025</v>
      </c>
      <c r="B156">
        <v>2</v>
      </c>
      <c r="C156">
        <v>0.32100000000000001</v>
      </c>
    </row>
    <row r="157" spans="1:3" x14ac:dyDescent="0.3">
      <c r="A157" s="2" t="s">
        <v>3026</v>
      </c>
      <c r="B157">
        <v>2</v>
      </c>
      <c r="C157">
        <v>0.32100000000000001</v>
      </c>
    </row>
    <row r="158" spans="1:3" x14ac:dyDescent="0.3">
      <c r="A158" s="2" t="s">
        <v>3027</v>
      </c>
      <c r="B158">
        <v>2</v>
      </c>
      <c r="C158">
        <v>0.32100000000000001</v>
      </c>
    </row>
    <row r="159" spans="1:3" x14ac:dyDescent="0.3">
      <c r="A159" s="2" t="s">
        <v>3028</v>
      </c>
      <c r="B159">
        <v>2</v>
      </c>
      <c r="C159">
        <v>0.32100000000000001</v>
      </c>
    </row>
    <row r="160" spans="1:3" x14ac:dyDescent="0.3">
      <c r="A160" s="2" t="s">
        <v>3029</v>
      </c>
      <c r="B160">
        <v>2</v>
      </c>
      <c r="C160">
        <v>0.32100000000000001</v>
      </c>
    </row>
    <row r="161" spans="1:3" x14ac:dyDescent="0.3">
      <c r="A161" s="2" t="s">
        <v>3030</v>
      </c>
      <c r="B161">
        <v>2</v>
      </c>
      <c r="C161">
        <v>0.32100000000000001</v>
      </c>
    </row>
    <row r="162" spans="1:3" x14ac:dyDescent="0.3">
      <c r="A162" s="2" t="s">
        <v>3031</v>
      </c>
      <c r="B162">
        <v>2</v>
      </c>
      <c r="C162">
        <v>0.32100000000000001</v>
      </c>
    </row>
    <row r="163" spans="1:3" x14ac:dyDescent="0.3">
      <c r="A163" s="2" t="s">
        <v>3032</v>
      </c>
      <c r="B163">
        <v>2</v>
      </c>
      <c r="C163">
        <v>0.32100000000000001</v>
      </c>
    </row>
    <row r="164" spans="1:3" x14ac:dyDescent="0.3">
      <c r="A164" s="2" t="s">
        <v>3033</v>
      </c>
      <c r="B164">
        <v>2</v>
      </c>
      <c r="C164">
        <v>0.32100000000000001</v>
      </c>
    </row>
    <row r="165" spans="1:3" x14ac:dyDescent="0.3">
      <c r="A165" s="2" t="s">
        <v>3034</v>
      </c>
      <c r="B165">
        <v>2</v>
      </c>
      <c r="C165">
        <v>0.32100000000000001</v>
      </c>
    </row>
    <row r="166" spans="1:3" x14ac:dyDescent="0.3">
      <c r="A166" s="2" t="s">
        <v>3035</v>
      </c>
      <c r="B166">
        <v>2</v>
      </c>
      <c r="C166">
        <v>0.32100000000000001</v>
      </c>
    </row>
    <row r="167" spans="1:3" x14ac:dyDescent="0.3">
      <c r="A167" s="2" t="s">
        <v>3036</v>
      </c>
      <c r="B167">
        <v>2</v>
      </c>
      <c r="C167">
        <v>0.32100000000000001</v>
      </c>
    </row>
    <row r="168" spans="1:3" x14ac:dyDescent="0.3">
      <c r="A168" s="2" t="s">
        <v>3037</v>
      </c>
      <c r="B168">
        <v>2</v>
      </c>
      <c r="C168">
        <v>0.32100000000000001</v>
      </c>
    </row>
    <row r="169" spans="1:3" x14ac:dyDescent="0.3">
      <c r="A169" s="2" t="s">
        <v>3038</v>
      </c>
      <c r="B169">
        <v>2</v>
      </c>
      <c r="C169">
        <v>0.32100000000000001</v>
      </c>
    </row>
    <row r="170" spans="1:3" x14ac:dyDescent="0.3">
      <c r="A170" s="2" t="s">
        <v>3039</v>
      </c>
      <c r="B170">
        <v>2</v>
      </c>
      <c r="C170">
        <v>0.32100000000000001</v>
      </c>
    </row>
    <row r="171" spans="1:3" x14ac:dyDescent="0.3">
      <c r="A171" s="2" t="s">
        <v>3040</v>
      </c>
      <c r="B171">
        <v>2</v>
      </c>
      <c r="C171">
        <v>0.32100000000000001</v>
      </c>
    </row>
    <row r="172" spans="1:3" x14ac:dyDescent="0.3">
      <c r="A172" s="2" t="s">
        <v>3041</v>
      </c>
      <c r="B172">
        <v>2</v>
      </c>
      <c r="C172">
        <v>0.32100000000000001</v>
      </c>
    </row>
    <row r="173" spans="1:3" ht="28.8" x14ac:dyDescent="0.3">
      <c r="A173" s="2" t="s">
        <v>3042</v>
      </c>
      <c r="B173">
        <v>2</v>
      </c>
      <c r="C173">
        <v>0.32100000000000001</v>
      </c>
    </row>
    <row r="174" spans="1:3" x14ac:dyDescent="0.3">
      <c r="A174" s="2" t="s">
        <v>3043</v>
      </c>
      <c r="B174">
        <v>2</v>
      </c>
      <c r="C174">
        <v>0.32100000000000001</v>
      </c>
    </row>
    <row r="175" spans="1:3" x14ac:dyDescent="0.3">
      <c r="A175" s="2" t="s">
        <v>3044</v>
      </c>
      <c r="B175">
        <v>2</v>
      </c>
      <c r="C175">
        <v>0.32100000000000001</v>
      </c>
    </row>
    <row r="176" spans="1:3" x14ac:dyDescent="0.3">
      <c r="A176" s="2" t="s">
        <v>3045</v>
      </c>
      <c r="B176">
        <v>2</v>
      </c>
      <c r="C176">
        <v>0.32100000000000001</v>
      </c>
    </row>
    <row r="177" spans="1:3" x14ac:dyDescent="0.3">
      <c r="A177" s="2" t="s">
        <v>3046</v>
      </c>
      <c r="B177">
        <v>2</v>
      </c>
      <c r="C177">
        <v>0.32100000000000001</v>
      </c>
    </row>
    <row r="178" spans="1:3" x14ac:dyDescent="0.3">
      <c r="A178" s="2" t="s">
        <v>3047</v>
      </c>
      <c r="B178">
        <v>2</v>
      </c>
      <c r="C178">
        <v>0.32100000000000001</v>
      </c>
    </row>
    <row r="179" spans="1:3" x14ac:dyDescent="0.3">
      <c r="A179" s="2" t="s">
        <v>3048</v>
      </c>
      <c r="B179">
        <v>2</v>
      </c>
      <c r="C179">
        <v>0.32100000000000001</v>
      </c>
    </row>
    <row r="180" spans="1:3" x14ac:dyDescent="0.3">
      <c r="A180" s="2" t="s">
        <v>3049</v>
      </c>
      <c r="B180">
        <v>2</v>
      </c>
      <c r="C180">
        <v>0.32100000000000001</v>
      </c>
    </row>
    <row r="181" spans="1:3" x14ac:dyDescent="0.3">
      <c r="A181" s="2" t="s">
        <v>3050</v>
      </c>
      <c r="B181">
        <v>2</v>
      </c>
      <c r="C181">
        <v>0.32100000000000001</v>
      </c>
    </row>
    <row r="182" spans="1:3" x14ac:dyDescent="0.3">
      <c r="A182" s="2" t="s">
        <v>3051</v>
      </c>
      <c r="B182">
        <v>2</v>
      </c>
      <c r="C182">
        <v>0.32100000000000001</v>
      </c>
    </row>
    <row r="183" spans="1:3" x14ac:dyDescent="0.3">
      <c r="A183" s="2" t="s">
        <v>3052</v>
      </c>
      <c r="B183">
        <v>2</v>
      </c>
      <c r="C183">
        <v>0.32100000000000001</v>
      </c>
    </row>
    <row r="184" spans="1:3" x14ac:dyDescent="0.3">
      <c r="A184" s="2" t="s">
        <v>3053</v>
      </c>
      <c r="B184">
        <v>2</v>
      </c>
      <c r="C184">
        <v>0.32100000000000001</v>
      </c>
    </row>
    <row r="185" spans="1:3" x14ac:dyDescent="0.3">
      <c r="A185" s="2" t="s">
        <v>3054</v>
      </c>
      <c r="B185">
        <v>2</v>
      </c>
      <c r="C185">
        <v>0.32100000000000001</v>
      </c>
    </row>
    <row r="186" spans="1:3" x14ac:dyDescent="0.3">
      <c r="A186" s="2" t="s">
        <v>3055</v>
      </c>
      <c r="B186">
        <v>2</v>
      </c>
      <c r="C186">
        <v>0.32100000000000001</v>
      </c>
    </row>
    <row r="187" spans="1:3" x14ac:dyDescent="0.3">
      <c r="A187" s="2" t="s">
        <v>3056</v>
      </c>
      <c r="B187">
        <v>2</v>
      </c>
      <c r="C187">
        <v>0.32100000000000001</v>
      </c>
    </row>
    <row r="188" spans="1:3" x14ac:dyDescent="0.3">
      <c r="A188" s="2" t="s">
        <v>3057</v>
      </c>
      <c r="B188">
        <v>2</v>
      </c>
      <c r="C188">
        <v>0.32100000000000001</v>
      </c>
    </row>
    <row r="189" spans="1:3" x14ac:dyDescent="0.3">
      <c r="A189" s="2" t="s">
        <v>3058</v>
      </c>
      <c r="B189">
        <v>2</v>
      </c>
      <c r="C189">
        <v>0.32100000000000001</v>
      </c>
    </row>
    <row r="190" spans="1:3" x14ac:dyDescent="0.3">
      <c r="A190" s="2" t="s">
        <v>3059</v>
      </c>
      <c r="B190">
        <v>2</v>
      </c>
      <c r="C190">
        <v>0.32100000000000001</v>
      </c>
    </row>
    <row r="191" spans="1:3" x14ac:dyDescent="0.3">
      <c r="A191" s="2" t="s">
        <v>3060</v>
      </c>
      <c r="B191">
        <v>2</v>
      </c>
      <c r="C191">
        <v>0.32100000000000001</v>
      </c>
    </row>
    <row r="192" spans="1:3" x14ac:dyDescent="0.3">
      <c r="A192" s="2" t="s">
        <v>3061</v>
      </c>
      <c r="B192">
        <v>2</v>
      </c>
      <c r="C192">
        <v>0.32100000000000001</v>
      </c>
    </row>
    <row r="193" spans="1:3" x14ac:dyDescent="0.3">
      <c r="A193" s="2" t="s">
        <v>3062</v>
      </c>
      <c r="B193">
        <v>2</v>
      </c>
      <c r="C193">
        <v>0.32100000000000001</v>
      </c>
    </row>
    <row r="194" spans="1:3" x14ac:dyDescent="0.3">
      <c r="A194" s="2" t="s">
        <v>3063</v>
      </c>
      <c r="B194">
        <v>2</v>
      </c>
      <c r="C194">
        <v>0.32100000000000001</v>
      </c>
    </row>
    <row r="195" spans="1:3" x14ac:dyDescent="0.3">
      <c r="A195" s="2" t="s">
        <v>3064</v>
      </c>
      <c r="B195">
        <v>2</v>
      </c>
      <c r="C195">
        <v>0.32100000000000001</v>
      </c>
    </row>
    <row r="196" spans="1:3" x14ac:dyDescent="0.3">
      <c r="A196" s="2" t="s">
        <v>3065</v>
      </c>
      <c r="B196">
        <v>2</v>
      </c>
      <c r="C196">
        <v>0.32100000000000001</v>
      </c>
    </row>
    <row r="197" spans="1:3" x14ac:dyDescent="0.3">
      <c r="A197" s="2" t="s">
        <v>3066</v>
      </c>
      <c r="B197">
        <v>2</v>
      </c>
      <c r="C197">
        <v>0.32100000000000001</v>
      </c>
    </row>
    <row r="198" spans="1:3" x14ac:dyDescent="0.3">
      <c r="A198" s="2" t="s">
        <v>3067</v>
      </c>
      <c r="B198">
        <v>2</v>
      </c>
      <c r="C198">
        <v>0.32100000000000001</v>
      </c>
    </row>
    <row r="199" spans="1:3" ht="28.8" x14ac:dyDescent="0.3">
      <c r="A199" s="2" t="s">
        <v>3068</v>
      </c>
      <c r="B199">
        <v>2</v>
      </c>
      <c r="C199">
        <v>0.32100000000000001</v>
      </c>
    </row>
    <row r="200" spans="1:3" ht="28.8" x14ac:dyDescent="0.3">
      <c r="A200" s="2" t="s">
        <v>3069</v>
      </c>
      <c r="B200">
        <v>2</v>
      </c>
      <c r="C200">
        <v>0.32100000000000001</v>
      </c>
    </row>
    <row r="201" spans="1:3" x14ac:dyDescent="0.3">
      <c r="A201" s="2" t="s">
        <v>3070</v>
      </c>
      <c r="B201">
        <v>2</v>
      </c>
      <c r="C201">
        <v>0.32100000000000001</v>
      </c>
    </row>
    <row r="202" spans="1:3" x14ac:dyDescent="0.3">
      <c r="A202" s="2" t="s">
        <v>3071</v>
      </c>
      <c r="B202">
        <v>2</v>
      </c>
      <c r="C202">
        <v>0.32100000000000001</v>
      </c>
    </row>
    <row r="203" spans="1:3" x14ac:dyDescent="0.3">
      <c r="A203" s="2" t="s">
        <v>3072</v>
      </c>
      <c r="B203">
        <v>2</v>
      </c>
      <c r="C203">
        <v>0.32100000000000001</v>
      </c>
    </row>
    <row r="204" spans="1:3" x14ac:dyDescent="0.3">
      <c r="A204" s="2" t="s">
        <v>3073</v>
      </c>
      <c r="B204">
        <v>2</v>
      </c>
      <c r="C204">
        <v>0.32100000000000001</v>
      </c>
    </row>
    <row r="205" spans="1:3" x14ac:dyDescent="0.3">
      <c r="A205" s="2" t="s">
        <v>3074</v>
      </c>
      <c r="B205">
        <v>1</v>
      </c>
      <c r="C205">
        <v>0.161</v>
      </c>
    </row>
    <row r="206" spans="1:3" x14ac:dyDescent="0.3">
      <c r="A206" s="2" t="s">
        <v>3075</v>
      </c>
      <c r="B206">
        <v>1</v>
      </c>
      <c r="C206">
        <v>0.161</v>
      </c>
    </row>
    <row r="207" spans="1:3" x14ac:dyDescent="0.3">
      <c r="A207" s="2" t="s">
        <v>3076</v>
      </c>
      <c r="B207">
        <v>1</v>
      </c>
      <c r="C207">
        <v>0.161</v>
      </c>
    </row>
    <row r="208" spans="1:3" x14ac:dyDescent="0.3">
      <c r="A208" s="2" t="s">
        <v>3077</v>
      </c>
      <c r="B208">
        <v>1</v>
      </c>
      <c r="C208">
        <v>0.161</v>
      </c>
    </row>
    <row r="209" spans="1:3" x14ac:dyDescent="0.3">
      <c r="A209" s="2" t="s">
        <v>3078</v>
      </c>
      <c r="B209">
        <v>1</v>
      </c>
      <c r="C209">
        <v>0.161</v>
      </c>
    </row>
    <row r="210" spans="1:3" x14ac:dyDescent="0.3">
      <c r="A210" s="2" t="s">
        <v>3079</v>
      </c>
      <c r="B210">
        <v>1</v>
      </c>
      <c r="C210">
        <v>0.161</v>
      </c>
    </row>
    <row r="211" spans="1:3" x14ac:dyDescent="0.3">
      <c r="A211" s="2" t="s">
        <v>3080</v>
      </c>
      <c r="B211">
        <v>1</v>
      </c>
      <c r="C211">
        <v>0.161</v>
      </c>
    </row>
    <row r="212" spans="1:3" x14ac:dyDescent="0.3">
      <c r="A212" s="2" t="s">
        <v>3081</v>
      </c>
      <c r="B212">
        <v>1</v>
      </c>
      <c r="C212">
        <v>0.161</v>
      </c>
    </row>
    <row r="213" spans="1:3" x14ac:dyDescent="0.3">
      <c r="A213" s="2" t="s">
        <v>3082</v>
      </c>
      <c r="B213">
        <v>1</v>
      </c>
      <c r="C213">
        <v>0.161</v>
      </c>
    </row>
    <row r="214" spans="1:3" x14ac:dyDescent="0.3">
      <c r="A214" s="2" t="s">
        <v>3083</v>
      </c>
      <c r="B214">
        <v>1</v>
      </c>
      <c r="C214">
        <v>0.161</v>
      </c>
    </row>
    <row r="215" spans="1:3" x14ac:dyDescent="0.3">
      <c r="A215" s="2" t="s">
        <v>3084</v>
      </c>
      <c r="B215">
        <v>1</v>
      </c>
      <c r="C215">
        <v>0.161</v>
      </c>
    </row>
    <row r="216" spans="1:3" x14ac:dyDescent="0.3">
      <c r="A216" s="2" t="s">
        <v>3085</v>
      </c>
      <c r="B216">
        <v>1</v>
      </c>
      <c r="C216">
        <v>0.161</v>
      </c>
    </row>
    <row r="217" spans="1:3" x14ac:dyDescent="0.3">
      <c r="A217" s="2" t="s">
        <v>3086</v>
      </c>
      <c r="B217">
        <v>1</v>
      </c>
      <c r="C217">
        <v>0.161</v>
      </c>
    </row>
    <row r="218" spans="1:3" x14ac:dyDescent="0.3">
      <c r="A218" s="2" t="s">
        <v>3087</v>
      </c>
      <c r="B218">
        <v>1</v>
      </c>
      <c r="C218">
        <v>0.161</v>
      </c>
    </row>
    <row r="219" spans="1:3" x14ac:dyDescent="0.3">
      <c r="A219" s="2" t="s">
        <v>3088</v>
      </c>
      <c r="B219">
        <v>1</v>
      </c>
      <c r="C219">
        <v>0.161</v>
      </c>
    </row>
    <row r="220" spans="1:3" x14ac:dyDescent="0.3">
      <c r="A220" s="2" t="s">
        <v>3089</v>
      </c>
      <c r="B220">
        <v>1</v>
      </c>
      <c r="C220">
        <v>0.161</v>
      </c>
    </row>
    <row r="221" spans="1:3" x14ac:dyDescent="0.3">
      <c r="A221" s="2" t="s">
        <v>3090</v>
      </c>
      <c r="B221">
        <v>1</v>
      </c>
      <c r="C221">
        <v>0.161</v>
      </c>
    </row>
    <row r="222" spans="1:3" x14ac:dyDescent="0.3">
      <c r="A222" s="2" t="s">
        <v>3091</v>
      </c>
      <c r="B222">
        <v>1</v>
      </c>
      <c r="C222">
        <v>0.161</v>
      </c>
    </row>
    <row r="223" spans="1:3" x14ac:dyDescent="0.3">
      <c r="A223" s="2" t="s">
        <v>3092</v>
      </c>
      <c r="B223">
        <v>1</v>
      </c>
      <c r="C223">
        <v>0.161</v>
      </c>
    </row>
    <row r="224" spans="1:3" x14ac:dyDescent="0.3">
      <c r="A224" s="2" t="s">
        <v>3093</v>
      </c>
      <c r="B224">
        <v>1</v>
      </c>
      <c r="C224">
        <v>0.161</v>
      </c>
    </row>
    <row r="225" spans="1:3" x14ac:dyDescent="0.3">
      <c r="A225" s="2" t="s">
        <v>3094</v>
      </c>
      <c r="B225">
        <v>1</v>
      </c>
      <c r="C225">
        <v>0.161</v>
      </c>
    </row>
    <row r="226" spans="1:3" x14ac:dyDescent="0.3">
      <c r="A226" s="2" t="s">
        <v>3095</v>
      </c>
      <c r="B226">
        <v>1</v>
      </c>
      <c r="C226">
        <v>0.161</v>
      </c>
    </row>
    <row r="227" spans="1:3" x14ac:dyDescent="0.3">
      <c r="A227" s="2" t="s">
        <v>3096</v>
      </c>
      <c r="B227">
        <v>1</v>
      </c>
      <c r="C227">
        <v>0.161</v>
      </c>
    </row>
    <row r="228" spans="1:3" x14ac:dyDescent="0.3">
      <c r="A228" s="2" t="s">
        <v>3097</v>
      </c>
      <c r="B228">
        <v>1</v>
      </c>
      <c r="C228">
        <v>0.161</v>
      </c>
    </row>
    <row r="229" spans="1:3" x14ac:dyDescent="0.3">
      <c r="A229" s="2" t="s">
        <v>3098</v>
      </c>
      <c r="B229">
        <v>1</v>
      </c>
      <c r="C229">
        <v>0.161</v>
      </c>
    </row>
    <row r="230" spans="1:3" x14ac:dyDescent="0.3">
      <c r="A230" s="2" t="s">
        <v>3099</v>
      </c>
      <c r="B230">
        <v>1</v>
      </c>
      <c r="C230">
        <v>0.161</v>
      </c>
    </row>
    <row r="231" spans="1:3" x14ac:dyDescent="0.3">
      <c r="A231" s="2" t="s">
        <v>3100</v>
      </c>
      <c r="B231">
        <v>1</v>
      </c>
      <c r="C231">
        <v>0.161</v>
      </c>
    </row>
    <row r="232" spans="1:3" x14ac:dyDescent="0.3">
      <c r="A232" s="2" t="s">
        <v>3101</v>
      </c>
      <c r="B232">
        <v>1</v>
      </c>
      <c r="C232">
        <v>0.161</v>
      </c>
    </row>
    <row r="233" spans="1:3" ht="28.8" x14ac:dyDescent="0.3">
      <c r="A233" s="2" t="s">
        <v>3102</v>
      </c>
      <c r="B233">
        <v>1</v>
      </c>
      <c r="C233">
        <v>0.161</v>
      </c>
    </row>
    <row r="234" spans="1:3" x14ac:dyDescent="0.3">
      <c r="A234" s="2" t="s">
        <v>3103</v>
      </c>
      <c r="B234">
        <v>1</v>
      </c>
      <c r="C234">
        <v>0.161</v>
      </c>
    </row>
    <row r="235" spans="1:3" x14ac:dyDescent="0.3">
      <c r="A235" s="2" t="s">
        <v>3104</v>
      </c>
      <c r="B235">
        <v>1</v>
      </c>
      <c r="C235">
        <v>0.161</v>
      </c>
    </row>
    <row r="236" spans="1:3" x14ac:dyDescent="0.3">
      <c r="A236" s="2" t="s">
        <v>3105</v>
      </c>
      <c r="B236">
        <v>1</v>
      </c>
      <c r="C236">
        <v>0.161</v>
      </c>
    </row>
    <row r="237" spans="1:3" x14ac:dyDescent="0.3">
      <c r="A237" s="2" t="s">
        <v>3106</v>
      </c>
      <c r="B237">
        <v>1</v>
      </c>
      <c r="C237">
        <v>0.161</v>
      </c>
    </row>
    <row r="238" spans="1:3" x14ac:dyDescent="0.3">
      <c r="A238" s="2" t="s">
        <v>3107</v>
      </c>
      <c r="B238">
        <v>1</v>
      </c>
      <c r="C238">
        <v>0.161</v>
      </c>
    </row>
    <row r="239" spans="1:3" x14ac:dyDescent="0.3">
      <c r="A239" s="2" t="s">
        <v>3108</v>
      </c>
      <c r="B239">
        <v>1</v>
      </c>
      <c r="C239">
        <v>0.161</v>
      </c>
    </row>
    <row r="240" spans="1:3" x14ac:dyDescent="0.3">
      <c r="A240" s="2" t="s">
        <v>3109</v>
      </c>
      <c r="B240">
        <v>1</v>
      </c>
      <c r="C240">
        <v>0.161</v>
      </c>
    </row>
    <row r="241" spans="1:3" x14ac:dyDescent="0.3">
      <c r="A241" s="2" t="s">
        <v>3110</v>
      </c>
      <c r="B241">
        <v>1</v>
      </c>
      <c r="C241">
        <v>0.161</v>
      </c>
    </row>
    <row r="242" spans="1:3" x14ac:dyDescent="0.3">
      <c r="A242" s="2" t="s">
        <v>3111</v>
      </c>
      <c r="B242">
        <v>1</v>
      </c>
      <c r="C242">
        <v>0.161</v>
      </c>
    </row>
    <row r="243" spans="1:3" x14ac:dyDescent="0.3">
      <c r="A243" s="2" t="s">
        <v>3112</v>
      </c>
      <c r="B243">
        <v>1</v>
      </c>
      <c r="C243">
        <v>0.161</v>
      </c>
    </row>
    <row r="244" spans="1:3" x14ac:dyDescent="0.3">
      <c r="A244" s="2" t="s">
        <v>3113</v>
      </c>
      <c r="B244">
        <v>1</v>
      </c>
      <c r="C244">
        <v>0.161</v>
      </c>
    </row>
    <row r="245" spans="1:3" x14ac:dyDescent="0.3">
      <c r="A245" s="2" t="s">
        <v>3114</v>
      </c>
      <c r="B245">
        <v>1</v>
      </c>
      <c r="C245">
        <v>0.161</v>
      </c>
    </row>
    <row r="246" spans="1:3" x14ac:dyDescent="0.3">
      <c r="A246" s="2" t="s">
        <v>3115</v>
      </c>
      <c r="B246">
        <v>1</v>
      </c>
      <c r="C246">
        <v>0.161</v>
      </c>
    </row>
    <row r="247" spans="1:3" x14ac:dyDescent="0.3">
      <c r="A247" s="2" t="s">
        <v>3116</v>
      </c>
      <c r="B247">
        <v>1</v>
      </c>
      <c r="C247">
        <v>0.161</v>
      </c>
    </row>
    <row r="248" spans="1:3" x14ac:dyDescent="0.3">
      <c r="A248" s="2" t="s">
        <v>3117</v>
      </c>
      <c r="B248">
        <v>1</v>
      </c>
      <c r="C248">
        <v>0.161</v>
      </c>
    </row>
    <row r="249" spans="1:3" x14ac:dyDescent="0.3">
      <c r="A249" s="2" t="s">
        <v>3118</v>
      </c>
      <c r="B249">
        <v>1</v>
      </c>
      <c r="C249">
        <v>0.161</v>
      </c>
    </row>
    <row r="250" spans="1:3" x14ac:dyDescent="0.3">
      <c r="A250" s="2" t="s">
        <v>3119</v>
      </c>
      <c r="B250">
        <v>1</v>
      </c>
      <c r="C250">
        <v>0.161</v>
      </c>
    </row>
    <row r="251" spans="1:3" x14ac:dyDescent="0.3">
      <c r="A251" s="2" t="s">
        <v>3120</v>
      </c>
      <c r="B251">
        <v>1</v>
      </c>
      <c r="C251">
        <v>0.161</v>
      </c>
    </row>
    <row r="252" spans="1:3" ht="28.8" x14ac:dyDescent="0.3">
      <c r="A252" s="2" t="s">
        <v>3121</v>
      </c>
      <c r="B252">
        <v>1</v>
      </c>
      <c r="C252">
        <v>0.161</v>
      </c>
    </row>
    <row r="253" spans="1:3" x14ac:dyDescent="0.3">
      <c r="A253" s="2" t="s">
        <v>3122</v>
      </c>
      <c r="B253">
        <v>1</v>
      </c>
      <c r="C253">
        <v>0.161</v>
      </c>
    </row>
    <row r="254" spans="1:3" x14ac:dyDescent="0.3">
      <c r="A254" s="2" t="s">
        <v>3123</v>
      </c>
      <c r="B254">
        <v>1</v>
      </c>
      <c r="C254">
        <v>0.161</v>
      </c>
    </row>
    <row r="255" spans="1:3" x14ac:dyDescent="0.3">
      <c r="A255" s="2" t="s">
        <v>3124</v>
      </c>
      <c r="B255">
        <v>1</v>
      </c>
      <c r="C255">
        <v>0.161</v>
      </c>
    </row>
    <row r="256" spans="1:3" x14ac:dyDescent="0.3">
      <c r="A256" s="2" t="s">
        <v>3125</v>
      </c>
      <c r="B256">
        <v>1</v>
      </c>
      <c r="C256">
        <v>0.161</v>
      </c>
    </row>
    <row r="257" spans="1:3" x14ac:dyDescent="0.3">
      <c r="A257" s="2" t="s">
        <v>3126</v>
      </c>
      <c r="B257">
        <v>1</v>
      </c>
      <c r="C257">
        <v>0.161</v>
      </c>
    </row>
    <row r="258" spans="1:3" x14ac:dyDescent="0.3">
      <c r="A258" s="2" t="s">
        <v>3127</v>
      </c>
      <c r="B258">
        <v>1</v>
      </c>
      <c r="C258">
        <v>0.161</v>
      </c>
    </row>
    <row r="259" spans="1:3" x14ac:dyDescent="0.3">
      <c r="A259" s="2" t="s">
        <v>3128</v>
      </c>
      <c r="B259">
        <v>1</v>
      </c>
      <c r="C259">
        <v>0.161</v>
      </c>
    </row>
    <row r="260" spans="1:3" x14ac:dyDescent="0.3">
      <c r="A260" s="2" t="s">
        <v>3129</v>
      </c>
      <c r="B260">
        <v>1</v>
      </c>
      <c r="C260">
        <v>0.161</v>
      </c>
    </row>
    <row r="261" spans="1:3" x14ac:dyDescent="0.3">
      <c r="A261" s="2" t="s">
        <v>3130</v>
      </c>
      <c r="B261">
        <v>1</v>
      </c>
      <c r="C261">
        <v>0.161</v>
      </c>
    </row>
    <row r="262" spans="1:3" x14ac:dyDescent="0.3">
      <c r="A262" s="2" t="s">
        <v>3131</v>
      </c>
      <c r="B262">
        <v>1</v>
      </c>
      <c r="C262">
        <v>0.161</v>
      </c>
    </row>
    <row r="263" spans="1:3" x14ac:dyDescent="0.3">
      <c r="A263" s="2" t="s">
        <v>3132</v>
      </c>
      <c r="B263">
        <v>1</v>
      </c>
      <c r="C263">
        <v>0.161</v>
      </c>
    </row>
    <row r="264" spans="1:3" x14ac:dyDescent="0.3">
      <c r="A264" s="2" t="s">
        <v>3133</v>
      </c>
      <c r="B264">
        <v>1</v>
      </c>
      <c r="C264">
        <v>0.161</v>
      </c>
    </row>
    <row r="265" spans="1:3" x14ac:dyDescent="0.3">
      <c r="A265" s="2" t="s">
        <v>3134</v>
      </c>
      <c r="B265">
        <v>1</v>
      </c>
      <c r="C265">
        <v>0.161</v>
      </c>
    </row>
    <row r="266" spans="1:3" x14ac:dyDescent="0.3">
      <c r="A266" s="2" t="s">
        <v>3135</v>
      </c>
      <c r="B266">
        <v>1</v>
      </c>
      <c r="C266">
        <v>0.161</v>
      </c>
    </row>
    <row r="267" spans="1:3" x14ac:dyDescent="0.3">
      <c r="A267" s="2" t="s">
        <v>3136</v>
      </c>
      <c r="B267">
        <v>1</v>
      </c>
      <c r="C267">
        <v>0.161</v>
      </c>
    </row>
    <row r="268" spans="1:3" x14ac:dyDescent="0.3">
      <c r="A268" s="2" t="s">
        <v>3137</v>
      </c>
      <c r="B268">
        <v>1</v>
      </c>
      <c r="C268">
        <v>0.161</v>
      </c>
    </row>
    <row r="269" spans="1:3" x14ac:dyDescent="0.3">
      <c r="A269" s="2" t="s">
        <v>3138</v>
      </c>
      <c r="B269">
        <v>1</v>
      </c>
      <c r="C269">
        <v>0.161</v>
      </c>
    </row>
    <row r="270" spans="1:3" x14ac:dyDescent="0.3">
      <c r="A270" s="2" t="s">
        <v>3139</v>
      </c>
      <c r="B270">
        <v>1</v>
      </c>
      <c r="C270">
        <v>0.161</v>
      </c>
    </row>
    <row r="271" spans="1:3" x14ac:dyDescent="0.3">
      <c r="A271" s="2" t="s">
        <v>3140</v>
      </c>
      <c r="B271">
        <v>1</v>
      </c>
      <c r="C271">
        <v>0.161</v>
      </c>
    </row>
    <row r="272" spans="1:3" x14ac:dyDescent="0.3">
      <c r="A272" s="2" t="s">
        <v>3141</v>
      </c>
      <c r="B272">
        <v>1</v>
      </c>
      <c r="C272">
        <v>0.161</v>
      </c>
    </row>
    <row r="273" spans="1:3" x14ac:dyDescent="0.3">
      <c r="A273" s="2" t="s">
        <v>3142</v>
      </c>
      <c r="B273">
        <v>1</v>
      </c>
      <c r="C273">
        <v>0.161</v>
      </c>
    </row>
    <row r="274" spans="1:3" ht="28.8" x14ac:dyDescent="0.3">
      <c r="A274" s="2" t="s">
        <v>3143</v>
      </c>
      <c r="B274">
        <v>1</v>
      </c>
      <c r="C274">
        <v>0.161</v>
      </c>
    </row>
    <row r="275" spans="1:3" x14ac:dyDescent="0.3">
      <c r="A275" s="2" t="s">
        <v>3144</v>
      </c>
      <c r="B275">
        <v>1</v>
      </c>
      <c r="C275">
        <v>0.161</v>
      </c>
    </row>
    <row r="276" spans="1:3" x14ac:dyDescent="0.3">
      <c r="A276" s="2" t="s">
        <v>3145</v>
      </c>
      <c r="B276">
        <v>1</v>
      </c>
      <c r="C276">
        <v>0.161</v>
      </c>
    </row>
    <row r="277" spans="1:3" x14ac:dyDescent="0.3">
      <c r="A277" s="2" t="s">
        <v>3146</v>
      </c>
      <c r="B277">
        <v>1</v>
      </c>
      <c r="C277">
        <v>0.161</v>
      </c>
    </row>
    <row r="278" spans="1:3" x14ac:dyDescent="0.3">
      <c r="A278" s="2" t="s">
        <v>3147</v>
      </c>
      <c r="B278">
        <v>1</v>
      </c>
      <c r="C278">
        <v>0.161</v>
      </c>
    </row>
    <row r="279" spans="1:3" x14ac:dyDescent="0.3">
      <c r="A279" s="2" t="s">
        <v>3148</v>
      </c>
      <c r="B279">
        <v>1</v>
      </c>
      <c r="C279">
        <v>0.161</v>
      </c>
    </row>
    <row r="280" spans="1:3" x14ac:dyDescent="0.3">
      <c r="A280" s="2" t="s">
        <v>3149</v>
      </c>
      <c r="B280">
        <v>1</v>
      </c>
      <c r="C280">
        <v>0.161</v>
      </c>
    </row>
    <row r="281" spans="1:3" x14ac:dyDescent="0.3">
      <c r="A281" s="2" t="s">
        <v>3150</v>
      </c>
      <c r="B281">
        <v>1</v>
      </c>
      <c r="C281">
        <v>0.161</v>
      </c>
    </row>
    <row r="282" spans="1:3" x14ac:dyDescent="0.3">
      <c r="A282" s="2" t="s">
        <v>3151</v>
      </c>
      <c r="B282">
        <v>1</v>
      </c>
      <c r="C282">
        <v>0.161</v>
      </c>
    </row>
    <row r="283" spans="1:3" x14ac:dyDescent="0.3">
      <c r="A283" s="2" t="s">
        <v>3152</v>
      </c>
      <c r="B283">
        <v>1</v>
      </c>
      <c r="C283">
        <v>0.161</v>
      </c>
    </row>
    <row r="284" spans="1:3" x14ac:dyDescent="0.3">
      <c r="A284" s="2" t="s">
        <v>3153</v>
      </c>
      <c r="B284">
        <v>1</v>
      </c>
      <c r="C284">
        <v>0.161</v>
      </c>
    </row>
    <row r="285" spans="1:3" x14ac:dyDescent="0.3">
      <c r="A285" s="2" t="s">
        <v>3154</v>
      </c>
      <c r="B285">
        <v>1</v>
      </c>
      <c r="C285">
        <v>0.161</v>
      </c>
    </row>
    <row r="286" spans="1:3" x14ac:dyDescent="0.3">
      <c r="A286" s="2" t="s">
        <v>3155</v>
      </c>
      <c r="B286">
        <v>1</v>
      </c>
      <c r="C286">
        <v>0.161</v>
      </c>
    </row>
    <row r="287" spans="1:3" x14ac:dyDescent="0.3">
      <c r="A287" s="2" t="s">
        <v>3156</v>
      </c>
      <c r="B287">
        <v>1</v>
      </c>
      <c r="C287">
        <v>0.161</v>
      </c>
    </row>
    <row r="288" spans="1:3" x14ac:dyDescent="0.3">
      <c r="A288" s="2" t="s">
        <v>3157</v>
      </c>
      <c r="B288">
        <v>1</v>
      </c>
      <c r="C288">
        <v>0.161</v>
      </c>
    </row>
    <row r="289" spans="1:3" x14ac:dyDescent="0.3">
      <c r="A289" s="2" t="s">
        <v>3158</v>
      </c>
      <c r="B289">
        <v>1</v>
      </c>
      <c r="C289">
        <v>0.161</v>
      </c>
    </row>
    <row r="290" spans="1:3" x14ac:dyDescent="0.3">
      <c r="A290" s="2" t="s">
        <v>3159</v>
      </c>
      <c r="B290">
        <v>1</v>
      </c>
      <c r="C290">
        <v>0.161</v>
      </c>
    </row>
    <row r="291" spans="1:3" x14ac:dyDescent="0.3">
      <c r="A291" s="2" t="s">
        <v>3160</v>
      </c>
      <c r="B291">
        <v>1</v>
      </c>
      <c r="C291">
        <v>0.161</v>
      </c>
    </row>
    <row r="292" spans="1:3" ht="28.8" x14ac:dyDescent="0.3">
      <c r="A292" s="2" t="s">
        <v>3161</v>
      </c>
      <c r="B292">
        <v>1</v>
      </c>
      <c r="C292">
        <v>0.161</v>
      </c>
    </row>
    <row r="293" spans="1:3" x14ac:dyDescent="0.3">
      <c r="A293" s="2" t="s">
        <v>3162</v>
      </c>
      <c r="B293">
        <v>1</v>
      </c>
      <c r="C293">
        <v>0.161</v>
      </c>
    </row>
    <row r="294" spans="1:3" x14ac:dyDescent="0.3">
      <c r="A294" s="2" t="s">
        <v>3163</v>
      </c>
      <c r="B294">
        <v>1</v>
      </c>
      <c r="C294">
        <v>0.161</v>
      </c>
    </row>
    <row r="295" spans="1:3" x14ac:dyDescent="0.3">
      <c r="A295" s="2" t="s">
        <v>3164</v>
      </c>
      <c r="B295">
        <v>1</v>
      </c>
      <c r="C295">
        <v>0.161</v>
      </c>
    </row>
    <row r="296" spans="1:3" x14ac:dyDescent="0.3">
      <c r="A296" s="2" t="s">
        <v>3165</v>
      </c>
      <c r="B296">
        <v>1</v>
      </c>
      <c r="C296">
        <v>0.161</v>
      </c>
    </row>
    <row r="297" spans="1:3" x14ac:dyDescent="0.3">
      <c r="A297" s="2" t="s">
        <v>3166</v>
      </c>
      <c r="B297">
        <v>1</v>
      </c>
      <c r="C297">
        <v>0.161</v>
      </c>
    </row>
    <row r="298" spans="1:3" x14ac:dyDescent="0.3">
      <c r="A298" s="2" t="s">
        <v>3167</v>
      </c>
      <c r="B298">
        <v>1</v>
      </c>
      <c r="C298">
        <v>0.161</v>
      </c>
    </row>
    <row r="299" spans="1:3" x14ac:dyDescent="0.3">
      <c r="A299" s="2" t="s">
        <v>3168</v>
      </c>
      <c r="B299">
        <v>1</v>
      </c>
      <c r="C299">
        <v>0.161</v>
      </c>
    </row>
    <row r="300" spans="1:3" x14ac:dyDescent="0.3">
      <c r="A300" s="2" t="s">
        <v>3169</v>
      </c>
      <c r="B300">
        <v>1</v>
      </c>
      <c r="C300">
        <v>0.161</v>
      </c>
    </row>
    <row r="301" spans="1:3" x14ac:dyDescent="0.3">
      <c r="A301" s="2" t="s">
        <v>3170</v>
      </c>
      <c r="B301">
        <v>1</v>
      </c>
      <c r="C301">
        <v>0.161</v>
      </c>
    </row>
    <row r="302" spans="1:3" x14ac:dyDescent="0.3">
      <c r="A302" s="2" t="s">
        <v>3171</v>
      </c>
      <c r="B302">
        <v>1</v>
      </c>
      <c r="C302">
        <v>0.161</v>
      </c>
    </row>
    <row r="303" spans="1:3" x14ac:dyDescent="0.3">
      <c r="A303" s="2" t="s">
        <v>3172</v>
      </c>
      <c r="B303">
        <v>1</v>
      </c>
      <c r="C303">
        <v>0.161</v>
      </c>
    </row>
    <row r="304" spans="1:3" x14ac:dyDescent="0.3">
      <c r="A304" s="2" t="s">
        <v>3173</v>
      </c>
      <c r="B304">
        <v>1</v>
      </c>
      <c r="C304">
        <v>0.161</v>
      </c>
    </row>
    <row r="305" spans="1:3" x14ac:dyDescent="0.3">
      <c r="A305" s="2" t="s">
        <v>3174</v>
      </c>
      <c r="B305">
        <v>1</v>
      </c>
      <c r="C305">
        <v>0.161</v>
      </c>
    </row>
    <row r="306" spans="1:3" x14ac:dyDescent="0.3">
      <c r="A306" s="2" t="s">
        <v>3175</v>
      </c>
      <c r="B306">
        <v>1</v>
      </c>
      <c r="C306">
        <v>0.161</v>
      </c>
    </row>
    <row r="307" spans="1:3" x14ac:dyDescent="0.3">
      <c r="A307" s="2" t="s">
        <v>3176</v>
      </c>
      <c r="B307">
        <v>1</v>
      </c>
      <c r="C307">
        <v>0.161</v>
      </c>
    </row>
    <row r="308" spans="1:3" x14ac:dyDescent="0.3">
      <c r="A308" s="2" t="s">
        <v>3177</v>
      </c>
      <c r="B308">
        <v>1</v>
      </c>
      <c r="C308">
        <v>0.161</v>
      </c>
    </row>
    <row r="309" spans="1:3" x14ac:dyDescent="0.3">
      <c r="A309" s="2" t="s">
        <v>3178</v>
      </c>
      <c r="B309">
        <v>1</v>
      </c>
      <c r="C309">
        <v>0.161</v>
      </c>
    </row>
    <row r="310" spans="1:3" x14ac:dyDescent="0.3">
      <c r="A310" s="2" t="s">
        <v>3179</v>
      </c>
      <c r="B310">
        <v>1</v>
      </c>
      <c r="C310">
        <v>0.161</v>
      </c>
    </row>
    <row r="311" spans="1:3" x14ac:dyDescent="0.3">
      <c r="A311" s="2" t="s">
        <v>3180</v>
      </c>
      <c r="B311">
        <v>1</v>
      </c>
      <c r="C311">
        <v>0.161</v>
      </c>
    </row>
    <row r="312" spans="1:3" x14ac:dyDescent="0.3">
      <c r="A312" s="2" t="s">
        <v>3181</v>
      </c>
      <c r="B312">
        <v>1</v>
      </c>
      <c r="C312">
        <v>0.161</v>
      </c>
    </row>
    <row r="313" spans="1:3" ht="28.8" x14ac:dyDescent="0.3">
      <c r="A313" s="2" t="s">
        <v>3182</v>
      </c>
      <c r="B313">
        <v>1</v>
      </c>
      <c r="C313">
        <v>0.161</v>
      </c>
    </row>
    <row r="314" spans="1:3" x14ac:dyDescent="0.3">
      <c r="A314" s="2" t="s">
        <v>3183</v>
      </c>
      <c r="B314">
        <v>1</v>
      </c>
      <c r="C314">
        <v>0.161</v>
      </c>
    </row>
    <row r="315" spans="1:3" x14ac:dyDescent="0.3">
      <c r="A315" s="2" t="s">
        <v>3184</v>
      </c>
      <c r="B315">
        <v>1</v>
      </c>
      <c r="C315">
        <v>0.161</v>
      </c>
    </row>
    <row r="316" spans="1:3" x14ac:dyDescent="0.3">
      <c r="A316" s="2" t="s">
        <v>3185</v>
      </c>
      <c r="B316">
        <v>1</v>
      </c>
      <c r="C316">
        <v>0.161</v>
      </c>
    </row>
    <row r="317" spans="1:3" x14ac:dyDescent="0.3">
      <c r="A317" s="2" t="s">
        <v>3186</v>
      </c>
      <c r="B317">
        <v>1</v>
      </c>
      <c r="C317">
        <v>0.161</v>
      </c>
    </row>
    <row r="318" spans="1:3" x14ac:dyDescent="0.3">
      <c r="A318" s="2" t="s">
        <v>3187</v>
      </c>
      <c r="B318">
        <v>1</v>
      </c>
      <c r="C318">
        <v>0.161</v>
      </c>
    </row>
    <row r="319" spans="1:3" x14ac:dyDescent="0.3">
      <c r="A319" s="2" t="s">
        <v>3188</v>
      </c>
      <c r="B319">
        <v>1</v>
      </c>
      <c r="C319">
        <v>0.161</v>
      </c>
    </row>
    <row r="320" spans="1:3" ht="28.8" x14ac:dyDescent="0.3">
      <c r="A320" s="2" t="s">
        <v>3189</v>
      </c>
      <c r="B320">
        <v>1</v>
      </c>
      <c r="C320">
        <v>0.161</v>
      </c>
    </row>
    <row r="321" spans="1:3" x14ac:dyDescent="0.3">
      <c r="A321" s="2" t="s">
        <v>3190</v>
      </c>
      <c r="B321">
        <v>1</v>
      </c>
      <c r="C321">
        <v>0.161</v>
      </c>
    </row>
    <row r="322" spans="1:3" x14ac:dyDescent="0.3">
      <c r="A322" s="2" t="s">
        <v>3191</v>
      </c>
      <c r="B322">
        <v>1</v>
      </c>
      <c r="C322">
        <v>0.161</v>
      </c>
    </row>
    <row r="323" spans="1:3" x14ac:dyDescent="0.3">
      <c r="A323" s="2" t="s">
        <v>3192</v>
      </c>
      <c r="B323">
        <v>1</v>
      </c>
      <c r="C323">
        <v>0.161</v>
      </c>
    </row>
    <row r="324" spans="1:3" x14ac:dyDescent="0.3">
      <c r="A324" s="2" t="s">
        <v>3193</v>
      </c>
      <c r="B324">
        <v>1</v>
      </c>
      <c r="C324">
        <v>0.161</v>
      </c>
    </row>
    <row r="325" spans="1:3" x14ac:dyDescent="0.3">
      <c r="A325" s="2" t="s">
        <v>3194</v>
      </c>
      <c r="B325">
        <v>1</v>
      </c>
      <c r="C325">
        <v>0.161</v>
      </c>
    </row>
    <row r="326" spans="1:3" x14ac:dyDescent="0.3">
      <c r="A326" s="2" t="s">
        <v>3195</v>
      </c>
      <c r="B326">
        <v>1</v>
      </c>
      <c r="C326">
        <v>0.161</v>
      </c>
    </row>
    <row r="327" spans="1:3" ht="28.8" x14ac:dyDescent="0.3">
      <c r="A327" s="2" t="s">
        <v>3196</v>
      </c>
      <c r="B327">
        <v>1</v>
      </c>
      <c r="C327">
        <v>0.161</v>
      </c>
    </row>
    <row r="328" spans="1:3" x14ac:dyDescent="0.3">
      <c r="A328" s="2" t="s">
        <v>3197</v>
      </c>
      <c r="B328">
        <v>1</v>
      </c>
      <c r="C328">
        <v>0.161</v>
      </c>
    </row>
    <row r="329" spans="1:3" x14ac:dyDescent="0.3">
      <c r="A329" s="2" t="s">
        <v>3198</v>
      </c>
      <c r="B329">
        <v>1</v>
      </c>
      <c r="C329">
        <v>0.161</v>
      </c>
    </row>
    <row r="330" spans="1:3" x14ac:dyDescent="0.3">
      <c r="A330" s="2" t="s">
        <v>3199</v>
      </c>
      <c r="B330">
        <v>1</v>
      </c>
      <c r="C330">
        <v>0.161</v>
      </c>
    </row>
    <row r="331" spans="1:3" x14ac:dyDescent="0.3">
      <c r="A331" s="2" t="s">
        <v>3200</v>
      </c>
      <c r="B331">
        <v>1</v>
      </c>
      <c r="C331">
        <v>0.161</v>
      </c>
    </row>
    <row r="332" spans="1:3" x14ac:dyDescent="0.3">
      <c r="A332" s="2" t="s">
        <v>3201</v>
      </c>
      <c r="B332">
        <v>1</v>
      </c>
      <c r="C332">
        <v>0.161</v>
      </c>
    </row>
    <row r="333" spans="1:3" x14ac:dyDescent="0.3">
      <c r="A333" s="2" t="s">
        <v>3202</v>
      </c>
      <c r="B333">
        <v>1</v>
      </c>
      <c r="C333">
        <v>0.161</v>
      </c>
    </row>
    <row r="334" spans="1:3" x14ac:dyDescent="0.3">
      <c r="A334" s="2" t="s">
        <v>3203</v>
      </c>
      <c r="B334">
        <v>1</v>
      </c>
      <c r="C334">
        <v>0.161</v>
      </c>
    </row>
    <row r="335" spans="1:3" x14ac:dyDescent="0.3">
      <c r="A335" s="2" t="s">
        <v>3204</v>
      </c>
      <c r="B335">
        <v>1</v>
      </c>
      <c r="C335">
        <v>0.161</v>
      </c>
    </row>
    <row r="336" spans="1:3" x14ac:dyDescent="0.3">
      <c r="A336" s="2" t="s">
        <v>3205</v>
      </c>
      <c r="B336">
        <v>1</v>
      </c>
      <c r="C336">
        <v>0.161</v>
      </c>
    </row>
    <row r="337" spans="1:3" x14ac:dyDescent="0.3">
      <c r="A337" s="2" t="s">
        <v>3206</v>
      </c>
      <c r="B337">
        <v>1</v>
      </c>
      <c r="C337">
        <v>0.161</v>
      </c>
    </row>
    <row r="338" spans="1:3" ht="28.8" x14ac:dyDescent="0.3">
      <c r="A338" s="2" t="s">
        <v>3207</v>
      </c>
      <c r="B338">
        <v>1</v>
      </c>
      <c r="C338">
        <v>0.161</v>
      </c>
    </row>
    <row r="339" spans="1:3" x14ac:dyDescent="0.3">
      <c r="A339" s="2" t="s">
        <v>3208</v>
      </c>
      <c r="B339">
        <v>1</v>
      </c>
      <c r="C339">
        <v>0.161</v>
      </c>
    </row>
    <row r="340" spans="1:3" x14ac:dyDescent="0.3">
      <c r="A340" s="2" t="s">
        <v>3209</v>
      </c>
      <c r="B340">
        <v>1</v>
      </c>
      <c r="C340">
        <v>0.161</v>
      </c>
    </row>
    <row r="341" spans="1:3" x14ac:dyDescent="0.3">
      <c r="A341" s="2" t="s">
        <v>3210</v>
      </c>
      <c r="B341">
        <v>1</v>
      </c>
      <c r="C341">
        <v>0.161</v>
      </c>
    </row>
    <row r="342" spans="1:3" x14ac:dyDescent="0.3">
      <c r="A342" s="2" t="s">
        <v>3211</v>
      </c>
      <c r="B342">
        <v>1</v>
      </c>
      <c r="C342">
        <v>0.161</v>
      </c>
    </row>
    <row r="343" spans="1:3" x14ac:dyDescent="0.3">
      <c r="A343" s="2" t="s">
        <v>3212</v>
      </c>
      <c r="B343">
        <v>1</v>
      </c>
      <c r="C343">
        <v>0.161</v>
      </c>
    </row>
    <row r="344" spans="1:3" x14ac:dyDescent="0.3">
      <c r="A344" s="2" t="s">
        <v>3213</v>
      </c>
      <c r="B344">
        <v>1</v>
      </c>
      <c r="C344">
        <v>0.161</v>
      </c>
    </row>
    <row r="345" spans="1:3" x14ac:dyDescent="0.3">
      <c r="A345" s="2" t="s">
        <v>3214</v>
      </c>
      <c r="B345">
        <v>1</v>
      </c>
      <c r="C345">
        <v>0.161</v>
      </c>
    </row>
    <row r="346" spans="1:3" ht="28.8" x14ac:dyDescent="0.3">
      <c r="A346" s="2" t="s">
        <v>3215</v>
      </c>
      <c r="B346">
        <v>1</v>
      </c>
      <c r="C346">
        <v>0.161</v>
      </c>
    </row>
    <row r="347" spans="1:3" x14ac:dyDescent="0.3">
      <c r="A347" s="2" t="s">
        <v>3216</v>
      </c>
      <c r="B347">
        <v>1</v>
      </c>
      <c r="C347">
        <v>0.161</v>
      </c>
    </row>
    <row r="348" spans="1:3" x14ac:dyDescent="0.3">
      <c r="A348" s="2" t="s">
        <v>3217</v>
      </c>
      <c r="B348">
        <v>1</v>
      </c>
      <c r="C348">
        <v>0.161</v>
      </c>
    </row>
    <row r="349" spans="1:3" x14ac:dyDescent="0.3">
      <c r="A349" s="2" t="s">
        <v>3218</v>
      </c>
      <c r="B349">
        <v>1</v>
      </c>
      <c r="C349">
        <v>0.161</v>
      </c>
    </row>
    <row r="350" spans="1:3" x14ac:dyDescent="0.3">
      <c r="A350" s="2" t="s">
        <v>3219</v>
      </c>
      <c r="B350">
        <v>1</v>
      </c>
      <c r="C350">
        <v>0.161</v>
      </c>
    </row>
    <row r="351" spans="1:3" x14ac:dyDescent="0.3">
      <c r="A351" s="2" t="s">
        <v>3220</v>
      </c>
      <c r="B351">
        <v>1</v>
      </c>
      <c r="C351">
        <v>0.161</v>
      </c>
    </row>
    <row r="352" spans="1:3" x14ac:dyDescent="0.3">
      <c r="A352" s="2" t="s">
        <v>3221</v>
      </c>
      <c r="B352">
        <v>1</v>
      </c>
      <c r="C352">
        <v>0.161</v>
      </c>
    </row>
    <row r="353" spans="1:3" x14ac:dyDescent="0.3">
      <c r="A353" s="2" t="s">
        <v>3222</v>
      </c>
      <c r="B353">
        <v>1</v>
      </c>
      <c r="C353">
        <v>0.161</v>
      </c>
    </row>
    <row r="354" spans="1:3" x14ac:dyDescent="0.3">
      <c r="A354" s="2" t="s">
        <v>3223</v>
      </c>
      <c r="B354">
        <v>1</v>
      </c>
      <c r="C354">
        <v>0.161</v>
      </c>
    </row>
    <row r="355" spans="1:3" x14ac:dyDescent="0.3">
      <c r="A355" s="2" t="s">
        <v>3224</v>
      </c>
      <c r="B355">
        <v>1</v>
      </c>
      <c r="C355">
        <v>0.161</v>
      </c>
    </row>
    <row r="356" spans="1:3" x14ac:dyDescent="0.3">
      <c r="A356" s="2" t="s">
        <v>3225</v>
      </c>
      <c r="B356">
        <v>1</v>
      </c>
      <c r="C356">
        <v>0.161</v>
      </c>
    </row>
    <row r="357" spans="1:3" x14ac:dyDescent="0.3">
      <c r="A357" s="2" t="s">
        <v>3226</v>
      </c>
      <c r="B357">
        <v>1</v>
      </c>
      <c r="C357">
        <v>0.161</v>
      </c>
    </row>
    <row r="358" spans="1:3" x14ac:dyDescent="0.3">
      <c r="A358" s="2" t="s">
        <v>3227</v>
      </c>
      <c r="B358">
        <v>1</v>
      </c>
      <c r="C358">
        <v>0.161</v>
      </c>
    </row>
    <row r="359" spans="1:3" x14ac:dyDescent="0.3">
      <c r="A359" s="2" t="s">
        <v>3228</v>
      </c>
      <c r="B359">
        <v>1</v>
      </c>
      <c r="C359">
        <v>0.161</v>
      </c>
    </row>
    <row r="360" spans="1:3" x14ac:dyDescent="0.3">
      <c r="A360" s="2" t="s">
        <v>3229</v>
      </c>
      <c r="B360">
        <v>1</v>
      </c>
      <c r="C360">
        <v>0.161</v>
      </c>
    </row>
    <row r="361" spans="1:3" x14ac:dyDescent="0.3">
      <c r="A361" s="2" t="s">
        <v>3230</v>
      </c>
      <c r="B361">
        <v>1</v>
      </c>
      <c r="C361">
        <v>0.161</v>
      </c>
    </row>
    <row r="362" spans="1:3" x14ac:dyDescent="0.3">
      <c r="A362" s="2" t="s">
        <v>3231</v>
      </c>
      <c r="B362">
        <v>1</v>
      </c>
      <c r="C362">
        <v>0.161</v>
      </c>
    </row>
    <row r="363" spans="1:3" x14ac:dyDescent="0.3">
      <c r="A363" s="2" t="s">
        <v>3232</v>
      </c>
      <c r="B363">
        <v>1</v>
      </c>
      <c r="C363">
        <v>0.161</v>
      </c>
    </row>
    <row r="364" spans="1:3" x14ac:dyDescent="0.3">
      <c r="A364" s="2" t="s">
        <v>3233</v>
      </c>
      <c r="B364">
        <v>1</v>
      </c>
      <c r="C364">
        <v>0.161</v>
      </c>
    </row>
    <row r="365" spans="1:3" x14ac:dyDescent="0.3">
      <c r="A365" s="2" t="s">
        <v>3234</v>
      </c>
      <c r="B365">
        <v>1</v>
      </c>
      <c r="C365">
        <v>0.161</v>
      </c>
    </row>
    <row r="366" spans="1:3" x14ac:dyDescent="0.3">
      <c r="A366" s="2" t="s">
        <v>3235</v>
      </c>
      <c r="B366">
        <v>1</v>
      </c>
      <c r="C366">
        <v>0.161</v>
      </c>
    </row>
    <row r="367" spans="1:3" x14ac:dyDescent="0.3">
      <c r="A367" s="2" t="s">
        <v>3236</v>
      </c>
      <c r="B367">
        <v>1</v>
      </c>
      <c r="C367">
        <v>0.161</v>
      </c>
    </row>
    <row r="368" spans="1:3" x14ac:dyDescent="0.3">
      <c r="A368" s="2" t="s">
        <v>3237</v>
      </c>
      <c r="B368">
        <v>1</v>
      </c>
      <c r="C368">
        <v>0.161</v>
      </c>
    </row>
    <row r="369" spans="1:3" x14ac:dyDescent="0.3">
      <c r="A369" s="2" t="s">
        <v>3238</v>
      </c>
      <c r="B369">
        <v>1</v>
      </c>
      <c r="C369">
        <v>0.161</v>
      </c>
    </row>
    <row r="370" spans="1:3" x14ac:dyDescent="0.3">
      <c r="A370" s="2" t="s">
        <v>3239</v>
      </c>
      <c r="B370">
        <v>1</v>
      </c>
      <c r="C370">
        <v>0.161</v>
      </c>
    </row>
    <row r="371" spans="1:3" x14ac:dyDescent="0.3">
      <c r="A371" s="2" t="s">
        <v>3240</v>
      </c>
      <c r="B371">
        <v>1</v>
      </c>
      <c r="C371">
        <v>0.161</v>
      </c>
    </row>
    <row r="372" spans="1:3" x14ac:dyDescent="0.3">
      <c r="A372" s="2" t="s">
        <v>3241</v>
      </c>
      <c r="B372">
        <v>1</v>
      </c>
      <c r="C372">
        <v>0.161</v>
      </c>
    </row>
    <row r="373" spans="1:3" x14ac:dyDescent="0.3">
      <c r="A373" s="2" t="s">
        <v>3242</v>
      </c>
      <c r="B373">
        <v>1</v>
      </c>
      <c r="C373">
        <v>0.161</v>
      </c>
    </row>
    <row r="374" spans="1:3" x14ac:dyDescent="0.3">
      <c r="A374" s="2" t="s">
        <v>3243</v>
      </c>
      <c r="B374">
        <v>1</v>
      </c>
      <c r="C374">
        <v>0.161</v>
      </c>
    </row>
    <row r="375" spans="1:3" x14ac:dyDescent="0.3">
      <c r="A375" s="2" t="s">
        <v>3244</v>
      </c>
      <c r="B375">
        <v>1</v>
      </c>
      <c r="C375">
        <v>0.161</v>
      </c>
    </row>
    <row r="376" spans="1:3" x14ac:dyDescent="0.3">
      <c r="A376" s="2" t="s">
        <v>3245</v>
      </c>
      <c r="B376">
        <v>1</v>
      </c>
      <c r="C376">
        <v>0.161</v>
      </c>
    </row>
    <row r="377" spans="1:3" ht="28.8" x14ac:dyDescent="0.3">
      <c r="A377" s="2" t="s">
        <v>3246</v>
      </c>
      <c r="B377">
        <v>1</v>
      </c>
      <c r="C377">
        <v>0.161</v>
      </c>
    </row>
    <row r="378" spans="1:3" x14ac:dyDescent="0.3">
      <c r="A378" s="2" t="s">
        <v>3247</v>
      </c>
      <c r="B378">
        <v>1</v>
      </c>
      <c r="C378">
        <v>0.161</v>
      </c>
    </row>
    <row r="379" spans="1:3" x14ac:dyDescent="0.3">
      <c r="A379" s="2" t="s">
        <v>3248</v>
      </c>
      <c r="B379">
        <v>1</v>
      </c>
      <c r="C379">
        <v>0.161</v>
      </c>
    </row>
    <row r="380" spans="1:3" x14ac:dyDescent="0.3">
      <c r="A380" s="2" t="s">
        <v>3249</v>
      </c>
      <c r="B380">
        <v>1</v>
      </c>
      <c r="C380">
        <v>0.161</v>
      </c>
    </row>
    <row r="381" spans="1:3" x14ac:dyDescent="0.3">
      <c r="A381" s="2" t="s">
        <v>3250</v>
      </c>
      <c r="B381">
        <v>1</v>
      </c>
      <c r="C381">
        <v>0.161</v>
      </c>
    </row>
    <row r="382" spans="1:3" x14ac:dyDescent="0.3">
      <c r="A382" s="2" t="s">
        <v>3251</v>
      </c>
      <c r="B382">
        <v>1</v>
      </c>
      <c r="C382">
        <v>0.161</v>
      </c>
    </row>
    <row r="383" spans="1:3" x14ac:dyDescent="0.3">
      <c r="A383" s="2" t="s">
        <v>3252</v>
      </c>
      <c r="B383">
        <v>1</v>
      </c>
      <c r="C383">
        <v>0.161</v>
      </c>
    </row>
    <row r="384" spans="1:3" x14ac:dyDescent="0.3">
      <c r="A384" s="2" t="s">
        <v>3253</v>
      </c>
      <c r="B384">
        <v>1</v>
      </c>
      <c r="C384">
        <v>0.161</v>
      </c>
    </row>
    <row r="385" spans="1:3" x14ac:dyDescent="0.3">
      <c r="A385" s="2" t="s">
        <v>3254</v>
      </c>
      <c r="B385">
        <v>1</v>
      </c>
      <c r="C385">
        <v>0.161</v>
      </c>
    </row>
    <row r="386" spans="1:3" x14ac:dyDescent="0.3">
      <c r="A386" s="2" t="s">
        <v>3255</v>
      </c>
      <c r="B386">
        <v>1</v>
      </c>
      <c r="C386">
        <v>0.161</v>
      </c>
    </row>
    <row r="387" spans="1:3" x14ac:dyDescent="0.3">
      <c r="A387" s="2" t="s">
        <v>3256</v>
      </c>
      <c r="B387">
        <v>1</v>
      </c>
      <c r="C387">
        <v>0.161</v>
      </c>
    </row>
    <row r="388" spans="1:3" x14ac:dyDescent="0.3">
      <c r="A388" s="2" t="s">
        <v>3257</v>
      </c>
      <c r="B388">
        <v>1</v>
      </c>
      <c r="C388">
        <v>0.161</v>
      </c>
    </row>
    <row r="389" spans="1:3" x14ac:dyDescent="0.3">
      <c r="A389" s="2" t="s">
        <v>3258</v>
      </c>
      <c r="B389">
        <v>1</v>
      </c>
      <c r="C389">
        <v>0.161</v>
      </c>
    </row>
    <row r="390" spans="1:3" x14ac:dyDescent="0.3">
      <c r="A390" s="2" t="s">
        <v>3259</v>
      </c>
      <c r="B390">
        <v>1</v>
      </c>
      <c r="C390">
        <v>0.161</v>
      </c>
    </row>
    <row r="391" spans="1:3" x14ac:dyDescent="0.3">
      <c r="A391" s="2" t="s">
        <v>3260</v>
      </c>
      <c r="B391">
        <v>1</v>
      </c>
      <c r="C391">
        <v>0.161</v>
      </c>
    </row>
    <row r="392" spans="1:3" x14ac:dyDescent="0.3">
      <c r="A392" s="2" t="s">
        <v>3261</v>
      </c>
      <c r="B392">
        <v>1</v>
      </c>
      <c r="C392">
        <v>0.161</v>
      </c>
    </row>
    <row r="393" spans="1:3" x14ac:dyDescent="0.3">
      <c r="A393" s="2" t="s">
        <v>3262</v>
      </c>
      <c r="B393">
        <v>1</v>
      </c>
      <c r="C393">
        <v>0.161</v>
      </c>
    </row>
    <row r="394" spans="1:3" x14ac:dyDescent="0.3">
      <c r="A394" s="2" t="s">
        <v>3263</v>
      </c>
      <c r="B394">
        <v>1</v>
      </c>
      <c r="C394">
        <v>0.161</v>
      </c>
    </row>
    <row r="395" spans="1:3" x14ac:dyDescent="0.3">
      <c r="A395" s="2" t="s">
        <v>3264</v>
      </c>
      <c r="B395">
        <v>1</v>
      </c>
      <c r="C395">
        <v>0.161</v>
      </c>
    </row>
    <row r="396" spans="1:3" x14ac:dyDescent="0.3">
      <c r="A396" s="2" t="s">
        <v>3265</v>
      </c>
      <c r="B396">
        <v>1</v>
      </c>
      <c r="C396">
        <v>0.161</v>
      </c>
    </row>
    <row r="397" spans="1:3" x14ac:dyDescent="0.3">
      <c r="A397" s="2" t="s">
        <v>3266</v>
      </c>
      <c r="B397">
        <v>1</v>
      </c>
      <c r="C397">
        <v>0.161</v>
      </c>
    </row>
    <row r="398" spans="1:3" x14ac:dyDescent="0.3">
      <c r="A398" s="2" t="s">
        <v>3267</v>
      </c>
      <c r="B398">
        <v>1</v>
      </c>
      <c r="C398">
        <v>0.161</v>
      </c>
    </row>
    <row r="399" spans="1:3" x14ac:dyDescent="0.3">
      <c r="A399" s="2" t="s">
        <v>3268</v>
      </c>
      <c r="B399">
        <v>1</v>
      </c>
      <c r="C399">
        <v>0.161</v>
      </c>
    </row>
    <row r="400" spans="1:3" x14ac:dyDescent="0.3">
      <c r="A400" s="2" t="s">
        <v>3269</v>
      </c>
      <c r="B400">
        <v>1</v>
      </c>
      <c r="C400">
        <v>0.161</v>
      </c>
    </row>
    <row r="401" spans="1:3" ht="28.8" x14ac:dyDescent="0.3">
      <c r="A401" s="2" t="s">
        <v>3270</v>
      </c>
      <c r="B401">
        <v>1</v>
      </c>
      <c r="C401">
        <v>0.161</v>
      </c>
    </row>
    <row r="402" spans="1:3" ht="28.8" x14ac:dyDescent="0.3">
      <c r="A402" s="2" t="s">
        <v>3271</v>
      </c>
      <c r="B402">
        <v>1</v>
      </c>
      <c r="C402">
        <v>0.161</v>
      </c>
    </row>
    <row r="403" spans="1:3" x14ac:dyDescent="0.3">
      <c r="A403" s="2" t="s">
        <v>3272</v>
      </c>
      <c r="B403">
        <v>1</v>
      </c>
      <c r="C403">
        <v>0.161</v>
      </c>
    </row>
    <row r="404" spans="1:3" x14ac:dyDescent="0.3">
      <c r="A404" s="2" t="s">
        <v>3273</v>
      </c>
      <c r="B404">
        <v>1</v>
      </c>
      <c r="C404">
        <v>0.161</v>
      </c>
    </row>
    <row r="405" spans="1:3" ht="28.8" x14ac:dyDescent="0.3">
      <c r="A405" s="2" t="s">
        <v>3274</v>
      </c>
      <c r="B405">
        <v>1</v>
      </c>
      <c r="C405">
        <v>0.161</v>
      </c>
    </row>
    <row r="406" spans="1:3" x14ac:dyDescent="0.3">
      <c r="A406" s="2" t="s">
        <v>3275</v>
      </c>
      <c r="B406">
        <v>1</v>
      </c>
      <c r="C406">
        <v>0.161</v>
      </c>
    </row>
    <row r="407" spans="1:3" x14ac:dyDescent="0.3">
      <c r="A407" s="2" t="s">
        <v>3276</v>
      </c>
      <c r="B407">
        <v>1</v>
      </c>
      <c r="C407">
        <v>0.161</v>
      </c>
    </row>
    <row r="408" spans="1:3" x14ac:dyDescent="0.3">
      <c r="A408" s="2" t="s">
        <v>3277</v>
      </c>
      <c r="B408">
        <v>1</v>
      </c>
      <c r="C408">
        <v>0.161</v>
      </c>
    </row>
    <row r="409" spans="1:3" x14ac:dyDescent="0.3">
      <c r="A409" s="2" t="s">
        <v>3278</v>
      </c>
      <c r="B409">
        <v>1</v>
      </c>
      <c r="C409">
        <v>0.161</v>
      </c>
    </row>
    <row r="410" spans="1:3" x14ac:dyDescent="0.3">
      <c r="A410" s="2" t="s">
        <v>3279</v>
      </c>
      <c r="B410">
        <v>1</v>
      </c>
      <c r="C410">
        <v>0.161</v>
      </c>
    </row>
    <row r="411" spans="1:3" x14ac:dyDescent="0.3">
      <c r="A411" s="2" t="s">
        <v>3280</v>
      </c>
      <c r="B411">
        <v>1</v>
      </c>
      <c r="C411">
        <v>0.161</v>
      </c>
    </row>
    <row r="412" spans="1:3" x14ac:dyDescent="0.3">
      <c r="A412" s="2" t="s">
        <v>3281</v>
      </c>
      <c r="B412">
        <v>1</v>
      </c>
      <c r="C412">
        <v>0.161</v>
      </c>
    </row>
    <row r="413" spans="1:3" ht="28.8" x14ac:dyDescent="0.3">
      <c r="A413" s="2" t="s">
        <v>3282</v>
      </c>
      <c r="B413">
        <v>1</v>
      </c>
      <c r="C413">
        <v>0.161</v>
      </c>
    </row>
    <row r="414" spans="1:3" ht="28.8" x14ac:dyDescent="0.3">
      <c r="A414" s="2" t="s">
        <v>3283</v>
      </c>
      <c r="B414">
        <v>1</v>
      </c>
      <c r="C414">
        <v>0.161</v>
      </c>
    </row>
    <row r="415" spans="1:3" x14ac:dyDescent="0.3">
      <c r="A415" s="2" t="s">
        <v>3284</v>
      </c>
      <c r="B415">
        <v>1</v>
      </c>
      <c r="C415">
        <v>0.161</v>
      </c>
    </row>
    <row r="416" spans="1:3" x14ac:dyDescent="0.3">
      <c r="A416" s="2" t="s">
        <v>3285</v>
      </c>
      <c r="B416">
        <v>1</v>
      </c>
      <c r="C416">
        <v>0.161</v>
      </c>
    </row>
    <row r="417" spans="1:3" x14ac:dyDescent="0.3">
      <c r="A417" s="2" t="s">
        <v>3286</v>
      </c>
      <c r="B417">
        <v>1</v>
      </c>
      <c r="C417">
        <v>0.161</v>
      </c>
    </row>
    <row r="418" spans="1:3" x14ac:dyDescent="0.3">
      <c r="A418" s="2" t="s">
        <v>3287</v>
      </c>
      <c r="B418">
        <v>1</v>
      </c>
      <c r="C418">
        <v>0.161</v>
      </c>
    </row>
    <row r="419" spans="1:3" x14ac:dyDescent="0.3">
      <c r="A419" s="2" t="s">
        <v>3288</v>
      </c>
      <c r="B419">
        <v>1</v>
      </c>
      <c r="C419">
        <v>0.161</v>
      </c>
    </row>
    <row r="420" spans="1:3" x14ac:dyDescent="0.3">
      <c r="A420" s="2" t="s">
        <v>3289</v>
      </c>
      <c r="B420">
        <v>1</v>
      </c>
      <c r="C420">
        <v>0.161</v>
      </c>
    </row>
    <row r="421" spans="1:3" x14ac:dyDescent="0.3">
      <c r="A421" s="2" t="s">
        <v>3290</v>
      </c>
      <c r="B421">
        <v>1</v>
      </c>
      <c r="C421">
        <v>0.161</v>
      </c>
    </row>
    <row r="422" spans="1:3" x14ac:dyDescent="0.3">
      <c r="A422" s="2" t="s">
        <v>3291</v>
      </c>
      <c r="B422">
        <v>1</v>
      </c>
      <c r="C422">
        <v>0.161</v>
      </c>
    </row>
    <row r="423" spans="1:3" x14ac:dyDescent="0.3">
      <c r="A423" s="2" t="s">
        <v>3292</v>
      </c>
      <c r="B423">
        <v>1</v>
      </c>
      <c r="C423">
        <v>0.161</v>
      </c>
    </row>
    <row r="424" spans="1:3" x14ac:dyDescent="0.3">
      <c r="A424" s="2" t="s">
        <v>3293</v>
      </c>
      <c r="B424">
        <v>1</v>
      </c>
      <c r="C424">
        <v>0.161</v>
      </c>
    </row>
    <row r="425" spans="1:3" x14ac:dyDescent="0.3">
      <c r="A425" s="2" t="s">
        <v>3294</v>
      </c>
      <c r="B425">
        <v>1</v>
      </c>
      <c r="C425">
        <v>0.161</v>
      </c>
    </row>
    <row r="426" spans="1:3" x14ac:dyDescent="0.3">
      <c r="A426" s="2" t="s">
        <v>3295</v>
      </c>
      <c r="B426">
        <v>1</v>
      </c>
      <c r="C426">
        <v>0.161</v>
      </c>
    </row>
    <row r="427" spans="1:3" x14ac:dyDescent="0.3">
      <c r="A427" s="2" t="s">
        <v>3296</v>
      </c>
      <c r="B427">
        <v>1</v>
      </c>
      <c r="C427">
        <v>0.161</v>
      </c>
    </row>
    <row r="428" spans="1:3" x14ac:dyDescent="0.3">
      <c r="A428" s="2" t="s">
        <v>3297</v>
      </c>
      <c r="B428">
        <v>1</v>
      </c>
      <c r="C428">
        <v>0.161</v>
      </c>
    </row>
    <row r="429" spans="1:3" ht="28.8" x14ac:dyDescent="0.3">
      <c r="A429" s="2" t="s">
        <v>3298</v>
      </c>
      <c r="B429">
        <v>1</v>
      </c>
      <c r="C429">
        <v>0.161</v>
      </c>
    </row>
    <row r="430" spans="1:3" x14ac:dyDescent="0.3">
      <c r="A430" s="2" t="s">
        <v>3299</v>
      </c>
      <c r="B430">
        <v>1</v>
      </c>
      <c r="C430">
        <v>0.161</v>
      </c>
    </row>
    <row r="431" spans="1:3" x14ac:dyDescent="0.3">
      <c r="A431" s="2" t="s">
        <v>3300</v>
      </c>
      <c r="B431">
        <v>1</v>
      </c>
      <c r="C431">
        <v>0.161</v>
      </c>
    </row>
    <row r="432" spans="1:3" x14ac:dyDescent="0.3">
      <c r="A432" s="2" t="s">
        <v>3301</v>
      </c>
      <c r="B432">
        <v>1</v>
      </c>
      <c r="C432">
        <v>0.161</v>
      </c>
    </row>
    <row r="433" spans="1:3" ht="43.2" x14ac:dyDescent="0.3">
      <c r="A433" s="2" t="s">
        <v>3302</v>
      </c>
      <c r="B433">
        <v>1</v>
      </c>
      <c r="C433">
        <v>0.161</v>
      </c>
    </row>
    <row r="434" spans="1:3" x14ac:dyDescent="0.3">
      <c r="A434" s="2" t="s">
        <v>3303</v>
      </c>
      <c r="B434">
        <v>1</v>
      </c>
      <c r="C434">
        <v>0.161</v>
      </c>
    </row>
    <row r="435" spans="1:3" ht="28.8" x14ac:dyDescent="0.3">
      <c r="A435" s="2" t="s">
        <v>3304</v>
      </c>
      <c r="B435">
        <v>1</v>
      </c>
      <c r="C435">
        <v>0.161</v>
      </c>
    </row>
    <row r="436" spans="1:3" x14ac:dyDescent="0.3">
      <c r="A436" s="2" t="s">
        <v>3305</v>
      </c>
      <c r="B436">
        <v>1</v>
      </c>
      <c r="C436">
        <v>0.161</v>
      </c>
    </row>
    <row r="437" spans="1:3" x14ac:dyDescent="0.3">
      <c r="A437" s="2" t="s">
        <v>3306</v>
      </c>
      <c r="B437">
        <v>1</v>
      </c>
      <c r="C437">
        <v>0.161</v>
      </c>
    </row>
    <row r="438" spans="1:3" x14ac:dyDescent="0.3">
      <c r="A438" s="2" t="s">
        <v>3307</v>
      </c>
      <c r="B438">
        <v>1</v>
      </c>
      <c r="C438">
        <v>0.161</v>
      </c>
    </row>
    <row r="439" spans="1:3" x14ac:dyDescent="0.3">
      <c r="A439" s="2" t="s">
        <v>3308</v>
      </c>
      <c r="B439">
        <v>1</v>
      </c>
      <c r="C439">
        <v>0.161</v>
      </c>
    </row>
    <row r="440" spans="1:3" x14ac:dyDescent="0.3">
      <c r="A440" s="2" t="s">
        <v>3309</v>
      </c>
      <c r="B440">
        <v>1</v>
      </c>
      <c r="C440">
        <v>0.161</v>
      </c>
    </row>
    <row r="441" spans="1:3" x14ac:dyDescent="0.3">
      <c r="A441" s="2" t="s">
        <v>3310</v>
      </c>
      <c r="B441">
        <v>1</v>
      </c>
      <c r="C441">
        <v>0.161</v>
      </c>
    </row>
    <row r="442" spans="1:3" x14ac:dyDescent="0.3">
      <c r="A442" s="2" t="s">
        <v>3311</v>
      </c>
      <c r="B442">
        <v>1</v>
      </c>
      <c r="C442">
        <v>0.161</v>
      </c>
    </row>
    <row r="443" spans="1:3" x14ac:dyDescent="0.3">
      <c r="A443" s="2" t="s">
        <v>3312</v>
      </c>
      <c r="B443">
        <v>1</v>
      </c>
      <c r="C443">
        <v>0.161</v>
      </c>
    </row>
    <row r="444" spans="1:3" x14ac:dyDescent="0.3">
      <c r="A444" s="2" t="s">
        <v>3313</v>
      </c>
      <c r="B444">
        <v>1</v>
      </c>
      <c r="C444">
        <v>0.161</v>
      </c>
    </row>
    <row r="445" spans="1:3" x14ac:dyDescent="0.3">
      <c r="A445" s="2" t="s">
        <v>3314</v>
      </c>
      <c r="B445">
        <v>1</v>
      </c>
      <c r="C445">
        <v>0.161</v>
      </c>
    </row>
    <row r="446" spans="1:3" x14ac:dyDescent="0.3">
      <c r="A446" s="2" t="s">
        <v>3315</v>
      </c>
      <c r="B446">
        <v>1</v>
      </c>
      <c r="C446">
        <v>0.161</v>
      </c>
    </row>
    <row r="447" spans="1:3" x14ac:dyDescent="0.3">
      <c r="A447" s="2" t="s">
        <v>3316</v>
      </c>
      <c r="B447">
        <v>1</v>
      </c>
      <c r="C447">
        <v>0.161</v>
      </c>
    </row>
    <row r="448" spans="1:3" x14ac:dyDescent="0.3">
      <c r="A448" s="2" t="s">
        <v>3317</v>
      </c>
      <c r="B448">
        <v>1</v>
      </c>
      <c r="C448">
        <v>0.161</v>
      </c>
    </row>
    <row r="449" spans="1:3" x14ac:dyDescent="0.3">
      <c r="A449" s="2" t="s">
        <v>3318</v>
      </c>
      <c r="B449">
        <v>1</v>
      </c>
      <c r="C449">
        <v>0.161</v>
      </c>
    </row>
    <row r="450" spans="1:3" x14ac:dyDescent="0.3">
      <c r="A450" s="2" t="s">
        <v>3319</v>
      </c>
      <c r="B450">
        <v>1</v>
      </c>
      <c r="C450">
        <v>0.161</v>
      </c>
    </row>
    <row r="451" spans="1:3" x14ac:dyDescent="0.3">
      <c r="A451" s="2" t="s">
        <v>3320</v>
      </c>
      <c r="B451">
        <v>1</v>
      </c>
      <c r="C451">
        <v>0.161</v>
      </c>
    </row>
    <row r="452" spans="1:3" x14ac:dyDescent="0.3">
      <c r="A452" s="2" t="s">
        <v>3321</v>
      </c>
      <c r="B452">
        <v>1</v>
      </c>
      <c r="C452">
        <v>0.161</v>
      </c>
    </row>
    <row r="453" spans="1:3" x14ac:dyDescent="0.3">
      <c r="A453" s="2" t="s">
        <v>3322</v>
      </c>
      <c r="B453">
        <v>1</v>
      </c>
      <c r="C453">
        <v>0.161</v>
      </c>
    </row>
    <row r="454" spans="1:3" x14ac:dyDescent="0.3">
      <c r="A454" s="2" t="s">
        <v>3323</v>
      </c>
      <c r="B454">
        <v>1</v>
      </c>
      <c r="C454">
        <v>0.161</v>
      </c>
    </row>
    <row r="455" spans="1:3" x14ac:dyDescent="0.3">
      <c r="A455" s="2" t="s">
        <v>3324</v>
      </c>
      <c r="B455">
        <v>1</v>
      </c>
      <c r="C455">
        <v>0.161</v>
      </c>
    </row>
    <row r="456" spans="1:3" x14ac:dyDescent="0.3">
      <c r="A456" s="2" t="s">
        <v>3325</v>
      </c>
      <c r="B456">
        <v>1</v>
      </c>
      <c r="C456">
        <v>0.161</v>
      </c>
    </row>
    <row r="457" spans="1:3" x14ac:dyDescent="0.3">
      <c r="A457" s="2" t="s">
        <v>3326</v>
      </c>
      <c r="B457">
        <v>1</v>
      </c>
      <c r="C457">
        <v>0.161</v>
      </c>
    </row>
    <row r="458" spans="1:3" x14ac:dyDescent="0.3">
      <c r="A458" s="2" t="s">
        <v>3327</v>
      </c>
      <c r="B458">
        <v>1</v>
      </c>
      <c r="C458">
        <v>0.161</v>
      </c>
    </row>
    <row r="459" spans="1:3" x14ac:dyDescent="0.3">
      <c r="A459" s="2" t="s">
        <v>3328</v>
      </c>
      <c r="B459">
        <v>1</v>
      </c>
      <c r="C459">
        <v>0.161</v>
      </c>
    </row>
    <row r="460" spans="1:3" x14ac:dyDescent="0.3">
      <c r="A460" s="2" t="s">
        <v>3329</v>
      </c>
      <c r="B460">
        <v>1</v>
      </c>
      <c r="C460">
        <v>0.161</v>
      </c>
    </row>
    <row r="461" spans="1:3" x14ac:dyDescent="0.3">
      <c r="A461" s="2" t="s">
        <v>3330</v>
      </c>
      <c r="B461">
        <v>1</v>
      </c>
      <c r="C461">
        <v>0.161</v>
      </c>
    </row>
    <row r="462" spans="1:3" x14ac:dyDescent="0.3">
      <c r="A462" s="2" t="s">
        <v>3331</v>
      </c>
      <c r="B462">
        <v>1</v>
      </c>
      <c r="C462">
        <v>0.161</v>
      </c>
    </row>
    <row r="463" spans="1:3" x14ac:dyDescent="0.3">
      <c r="A463" s="2" t="s">
        <v>3332</v>
      </c>
      <c r="B463">
        <v>1</v>
      </c>
      <c r="C463">
        <v>0.161</v>
      </c>
    </row>
    <row r="464" spans="1:3" x14ac:dyDescent="0.3">
      <c r="A464" s="2" t="s">
        <v>3333</v>
      </c>
      <c r="B464">
        <v>1</v>
      </c>
      <c r="C464">
        <v>0.161</v>
      </c>
    </row>
    <row r="465" spans="1:3" x14ac:dyDescent="0.3">
      <c r="A465" s="2" t="s">
        <v>3334</v>
      </c>
      <c r="B465">
        <v>1</v>
      </c>
      <c r="C465">
        <v>0.161</v>
      </c>
    </row>
    <row r="466" spans="1:3" x14ac:dyDescent="0.3">
      <c r="A466" s="2" t="s">
        <v>3335</v>
      </c>
      <c r="B466">
        <v>1</v>
      </c>
      <c r="C466">
        <v>0.161</v>
      </c>
    </row>
    <row r="467" spans="1:3" x14ac:dyDescent="0.3">
      <c r="A467" s="2" t="s">
        <v>3336</v>
      </c>
      <c r="B467">
        <v>1</v>
      </c>
      <c r="C467">
        <v>0.161</v>
      </c>
    </row>
    <row r="468" spans="1:3" x14ac:dyDescent="0.3">
      <c r="A468" s="2" t="s">
        <v>3337</v>
      </c>
      <c r="B468">
        <v>1</v>
      </c>
      <c r="C468">
        <v>0.161</v>
      </c>
    </row>
    <row r="469" spans="1:3" x14ac:dyDescent="0.3">
      <c r="A469" s="2" t="s">
        <v>3338</v>
      </c>
      <c r="B469">
        <v>1</v>
      </c>
      <c r="C469">
        <v>0.161</v>
      </c>
    </row>
    <row r="470" spans="1:3" x14ac:dyDescent="0.3">
      <c r="A470" s="2" t="s">
        <v>3339</v>
      </c>
      <c r="B470">
        <v>1</v>
      </c>
      <c r="C470">
        <v>0.161</v>
      </c>
    </row>
    <row r="471" spans="1:3" x14ac:dyDescent="0.3">
      <c r="A471" s="2" t="s">
        <v>3340</v>
      </c>
      <c r="B471">
        <v>1</v>
      </c>
      <c r="C471">
        <v>0.161</v>
      </c>
    </row>
    <row r="472" spans="1:3" x14ac:dyDescent="0.3">
      <c r="A472" s="2" t="s">
        <v>3341</v>
      </c>
      <c r="B472">
        <v>1</v>
      </c>
      <c r="C472">
        <v>0.161</v>
      </c>
    </row>
    <row r="473" spans="1:3" x14ac:dyDescent="0.3">
      <c r="A473" s="2" t="s">
        <v>3342</v>
      </c>
      <c r="B473">
        <v>1</v>
      </c>
      <c r="C473">
        <v>0.161</v>
      </c>
    </row>
    <row r="474" spans="1:3" x14ac:dyDescent="0.3">
      <c r="A474" s="2" t="s">
        <v>3343</v>
      </c>
      <c r="B474">
        <v>1</v>
      </c>
      <c r="C474">
        <v>0.161</v>
      </c>
    </row>
    <row r="475" spans="1:3" x14ac:dyDescent="0.3">
      <c r="A475" s="2" t="s">
        <v>3344</v>
      </c>
      <c r="B475">
        <v>1</v>
      </c>
      <c r="C475">
        <v>0.161</v>
      </c>
    </row>
    <row r="476" spans="1:3" x14ac:dyDescent="0.3">
      <c r="A476" s="2" t="s">
        <v>3345</v>
      </c>
      <c r="B476">
        <v>1</v>
      </c>
      <c r="C476">
        <v>0.161</v>
      </c>
    </row>
    <row r="477" spans="1:3" x14ac:dyDescent="0.3">
      <c r="A477" s="2" t="s">
        <v>3346</v>
      </c>
      <c r="B477">
        <v>1</v>
      </c>
      <c r="C477">
        <v>0.161</v>
      </c>
    </row>
    <row r="478" spans="1:3" x14ac:dyDescent="0.3">
      <c r="A478" s="2" t="s">
        <v>3347</v>
      </c>
      <c r="B478">
        <v>1</v>
      </c>
      <c r="C478">
        <v>0.161</v>
      </c>
    </row>
    <row r="479" spans="1:3" ht="28.8" x14ac:dyDescent="0.3">
      <c r="A479" s="2" t="s">
        <v>3348</v>
      </c>
      <c r="B479">
        <v>1</v>
      </c>
      <c r="C479">
        <v>0.161</v>
      </c>
    </row>
    <row r="480" spans="1:3" x14ac:dyDescent="0.3">
      <c r="A480" s="2" t="s">
        <v>3349</v>
      </c>
      <c r="B480">
        <v>1</v>
      </c>
      <c r="C480">
        <v>0.161</v>
      </c>
    </row>
    <row r="481" spans="1:3" x14ac:dyDescent="0.3">
      <c r="A481" s="2" t="s">
        <v>3350</v>
      </c>
      <c r="B481">
        <v>1</v>
      </c>
      <c r="C481">
        <v>0.161</v>
      </c>
    </row>
    <row r="482" spans="1:3" x14ac:dyDescent="0.3">
      <c r="A482" s="2" t="s">
        <v>3351</v>
      </c>
      <c r="B482">
        <v>1</v>
      </c>
      <c r="C482">
        <v>0.161</v>
      </c>
    </row>
    <row r="483" spans="1:3" x14ac:dyDescent="0.3">
      <c r="A483" s="2" t="s">
        <v>3352</v>
      </c>
      <c r="B483">
        <v>1</v>
      </c>
      <c r="C483">
        <v>0.161</v>
      </c>
    </row>
    <row r="484" spans="1:3" x14ac:dyDescent="0.3">
      <c r="A484" s="2" t="s">
        <v>3353</v>
      </c>
      <c r="B484">
        <v>1</v>
      </c>
      <c r="C484">
        <v>0.161</v>
      </c>
    </row>
    <row r="485" spans="1:3" x14ac:dyDescent="0.3">
      <c r="A485" s="2" t="s">
        <v>3354</v>
      </c>
      <c r="B485">
        <v>1</v>
      </c>
      <c r="C485">
        <v>0.161</v>
      </c>
    </row>
    <row r="486" spans="1:3" x14ac:dyDescent="0.3">
      <c r="A486" s="2" t="s">
        <v>3355</v>
      </c>
      <c r="B486">
        <v>1</v>
      </c>
      <c r="C486">
        <v>0.161</v>
      </c>
    </row>
    <row r="487" spans="1:3" x14ac:dyDescent="0.3">
      <c r="A487" s="2" t="s">
        <v>3356</v>
      </c>
      <c r="B487">
        <v>1</v>
      </c>
      <c r="C487">
        <v>0.161</v>
      </c>
    </row>
    <row r="488" spans="1:3" x14ac:dyDescent="0.3">
      <c r="A488" s="2" t="s">
        <v>3357</v>
      </c>
      <c r="B488">
        <v>1</v>
      </c>
      <c r="C488">
        <v>0.161</v>
      </c>
    </row>
    <row r="489" spans="1:3" x14ac:dyDescent="0.3">
      <c r="A489" s="2" t="s">
        <v>3358</v>
      </c>
      <c r="B489">
        <v>1</v>
      </c>
      <c r="C489">
        <v>0.161</v>
      </c>
    </row>
    <row r="490" spans="1:3" x14ac:dyDescent="0.3">
      <c r="A490" s="2" t="s">
        <v>3359</v>
      </c>
      <c r="B490">
        <v>1</v>
      </c>
      <c r="C490">
        <v>0.161</v>
      </c>
    </row>
    <row r="491" spans="1:3" x14ac:dyDescent="0.3">
      <c r="A491" s="2" t="s">
        <v>3360</v>
      </c>
      <c r="B491">
        <v>1</v>
      </c>
      <c r="C491">
        <v>0.161</v>
      </c>
    </row>
    <row r="492" spans="1:3" x14ac:dyDescent="0.3">
      <c r="A492" s="2" t="s">
        <v>3361</v>
      </c>
      <c r="B492">
        <v>1</v>
      </c>
      <c r="C492">
        <v>0.161</v>
      </c>
    </row>
    <row r="493" spans="1:3" x14ac:dyDescent="0.3">
      <c r="A493" s="2" t="s">
        <v>3362</v>
      </c>
      <c r="B493">
        <v>1</v>
      </c>
      <c r="C493">
        <v>0.161</v>
      </c>
    </row>
    <row r="494" spans="1:3" x14ac:dyDescent="0.3">
      <c r="A494" s="2" t="s">
        <v>3363</v>
      </c>
      <c r="B494">
        <v>1</v>
      </c>
      <c r="C494">
        <v>0.161</v>
      </c>
    </row>
    <row r="495" spans="1:3" x14ac:dyDescent="0.3">
      <c r="A495" s="2" t="s">
        <v>3364</v>
      </c>
      <c r="B495">
        <v>1</v>
      </c>
      <c r="C495">
        <v>0.161</v>
      </c>
    </row>
    <row r="496" spans="1:3" ht="43.2" x14ac:dyDescent="0.3">
      <c r="A496" s="2" t="s">
        <v>3365</v>
      </c>
      <c r="B496">
        <v>1</v>
      </c>
      <c r="C496">
        <v>0.161</v>
      </c>
    </row>
    <row r="497" spans="1:3" x14ac:dyDescent="0.3">
      <c r="A497" s="2" t="s">
        <v>3366</v>
      </c>
      <c r="B497">
        <v>1</v>
      </c>
      <c r="C497">
        <v>0.161</v>
      </c>
    </row>
    <row r="498" spans="1:3" x14ac:dyDescent="0.3">
      <c r="A498" s="2" t="s">
        <v>3367</v>
      </c>
      <c r="B498">
        <v>1</v>
      </c>
      <c r="C498">
        <v>0.161</v>
      </c>
    </row>
    <row r="499" spans="1:3" x14ac:dyDescent="0.3">
      <c r="A499" s="2" t="s">
        <v>3368</v>
      </c>
      <c r="B499">
        <v>1</v>
      </c>
      <c r="C499">
        <v>0.161</v>
      </c>
    </row>
    <row r="500" spans="1:3" x14ac:dyDescent="0.3">
      <c r="A500" s="2" t="s">
        <v>3369</v>
      </c>
      <c r="B500">
        <v>1</v>
      </c>
      <c r="C500">
        <v>0.161</v>
      </c>
    </row>
    <row r="501" spans="1:3" x14ac:dyDescent="0.3">
      <c r="A501" s="2" t="s">
        <v>3370</v>
      </c>
      <c r="B501">
        <v>1</v>
      </c>
      <c r="C501">
        <v>0.161</v>
      </c>
    </row>
    <row r="502" spans="1:3" x14ac:dyDescent="0.3">
      <c r="A502" s="2" t="s">
        <v>3371</v>
      </c>
      <c r="B502">
        <v>1</v>
      </c>
      <c r="C502">
        <v>0.161</v>
      </c>
    </row>
    <row r="503" spans="1:3" x14ac:dyDescent="0.3">
      <c r="A503" s="2" t="s">
        <v>3372</v>
      </c>
      <c r="B503">
        <v>1</v>
      </c>
      <c r="C503">
        <v>0.161</v>
      </c>
    </row>
    <row r="504" spans="1:3" x14ac:dyDescent="0.3">
      <c r="A504" s="2" t="s">
        <v>3373</v>
      </c>
      <c r="B504">
        <v>1</v>
      </c>
      <c r="C504">
        <v>0.161</v>
      </c>
    </row>
    <row r="505" spans="1:3" x14ac:dyDescent="0.3">
      <c r="A505" s="2" t="s">
        <v>3374</v>
      </c>
      <c r="B505">
        <v>1</v>
      </c>
      <c r="C505">
        <v>0.161</v>
      </c>
    </row>
    <row r="506" spans="1:3" ht="28.8" x14ac:dyDescent="0.3">
      <c r="A506" s="2" t="s">
        <v>3375</v>
      </c>
      <c r="B506">
        <v>1</v>
      </c>
      <c r="C506">
        <v>0.161</v>
      </c>
    </row>
    <row r="507" spans="1:3" x14ac:dyDescent="0.3">
      <c r="A507" s="2" t="s">
        <v>3376</v>
      </c>
      <c r="B507">
        <v>1</v>
      </c>
      <c r="C507">
        <v>0.161</v>
      </c>
    </row>
    <row r="508" spans="1:3" ht="28.8" x14ac:dyDescent="0.3">
      <c r="A508" s="2" t="s">
        <v>3377</v>
      </c>
      <c r="B508">
        <v>1</v>
      </c>
      <c r="C508">
        <v>0.161</v>
      </c>
    </row>
    <row r="509" spans="1:3" x14ac:dyDescent="0.3">
      <c r="A509" s="2" t="s">
        <v>3378</v>
      </c>
      <c r="B509">
        <v>1</v>
      </c>
      <c r="C509">
        <v>0.161</v>
      </c>
    </row>
    <row r="510" spans="1:3" x14ac:dyDescent="0.3">
      <c r="A510" s="2" t="s">
        <v>3379</v>
      </c>
      <c r="B510">
        <v>1</v>
      </c>
      <c r="C510">
        <v>0.161</v>
      </c>
    </row>
    <row r="511" spans="1:3" x14ac:dyDescent="0.3">
      <c r="A511" s="2" t="s">
        <v>3380</v>
      </c>
      <c r="B511">
        <v>1</v>
      </c>
      <c r="C511">
        <v>0.161</v>
      </c>
    </row>
    <row r="512" spans="1:3" ht="28.8" x14ac:dyDescent="0.3">
      <c r="A512" s="2" t="s">
        <v>3381</v>
      </c>
      <c r="B512">
        <v>1</v>
      </c>
      <c r="C512">
        <v>0.161</v>
      </c>
    </row>
    <row r="513" spans="1:3" x14ac:dyDescent="0.3">
      <c r="A513" s="2" t="s">
        <v>3382</v>
      </c>
      <c r="B513">
        <v>1</v>
      </c>
      <c r="C513">
        <v>0.161</v>
      </c>
    </row>
    <row r="514" spans="1:3" x14ac:dyDescent="0.3">
      <c r="A514" s="2" t="s">
        <v>3383</v>
      </c>
      <c r="B514">
        <v>1</v>
      </c>
      <c r="C514">
        <v>0.161</v>
      </c>
    </row>
    <row r="515" spans="1:3" x14ac:dyDescent="0.3">
      <c r="A515" s="2" t="s">
        <v>3384</v>
      </c>
      <c r="B515">
        <v>1</v>
      </c>
      <c r="C515">
        <v>0.161</v>
      </c>
    </row>
    <row r="516" spans="1:3" x14ac:dyDescent="0.3">
      <c r="A516" s="2" t="s">
        <v>3385</v>
      </c>
      <c r="B516">
        <v>1</v>
      </c>
      <c r="C516">
        <v>0.161</v>
      </c>
    </row>
    <row r="517" spans="1:3" x14ac:dyDescent="0.3">
      <c r="A517" s="2" t="s">
        <v>3386</v>
      </c>
      <c r="B517">
        <v>1</v>
      </c>
      <c r="C517">
        <v>0.161</v>
      </c>
    </row>
    <row r="518" spans="1:3" x14ac:dyDescent="0.3">
      <c r="A518" s="2" t="s">
        <v>3387</v>
      </c>
      <c r="B518">
        <v>1</v>
      </c>
      <c r="C518">
        <v>0.161</v>
      </c>
    </row>
    <row r="519" spans="1:3" ht="28.8" x14ac:dyDescent="0.3">
      <c r="A519" s="2" t="s">
        <v>3388</v>
      </c>
      <c r="B519">
        <v>1</v>
      </c>
      <c r="C519">
        <v>0.161</v>
      </c>
    </row>
    <row r="520" spans="1:3" x14ac:dyDescent="0.3">
      <c r="A520" s="2" t="s">
        <v>3389</v>
      </c>
      <c r="B520">
        <v>1</v>
      </c>
      <c r="C520">
        <v>0.161</v>
      </c>
    </row>
    <row r="521" spans="1:3" x14ac:dyDescent="0.3">
      <c r="A521" s="2" t="s">
        <v>3390</v>
      </c>
      <c r="B521">
        <v>1</v>
      </c>
      <c r="C521">
        <v>0.161</v>
      </c>
    </row>
    <row r="522" spans="1:3" x14ac:dyDescent="0.3">
      <c r="A522" s="2" t="s">
        <v>3391</v>
      </c>
      <c r="B522">
        <v>1</v>
      </c>
      <c r="C522">
        <v>0.161</v>
      </c>
    </row>
    <row r="523" spans="1:3" x14ac:dyDescent="0.3">
      <c r="A523" s="2" t="s">
        <v>3392</v>
      </c>
      <c r="B523">
        <v>1</v>
      </c>
      <c r="C523">
        <v>0.161</v>
      </c>
    </row>
    <row r="524" spans="1:3" x14ac:dyDescent="0.3">
      <c r="A524" s="2" t="s">
        <v>3393</v>
      </c>
      <c r="B524">
        <v>1</v>
      </c>
      <c r="C524">
        <v>0.161</v>
      </c>
    </row>
    <row r="525" spans="1:3" x14ac:dyDescent="0.3">
      <c r="A525" s="2" t="s">
        <v>3394</v>
      </c>
      <c r="B525">
        <v>1</v>
      </c>
      <c r="C525">
        <v>0.161</v>
      </c>
    </row>
    <row r="526" spans="1:3" x14ac:dyDescent="0.3">
      <c r="A526" s="2" t="s">
        <v>3395</v>
      </c>
      <c r="B526">
        <v>1</v>
      </c>
      <c r="C526">
        <v>0.161</v>
      </c>
    </row>
    <row r="527" spans="1:3" x14ac:dyDescent="0.3">
      <c r="A527" s="2" t="s">
        <v>3396</v>
      </c>
      <c r="B527">
        <v>1</v>
      </c>
      <c r="C527">
        <v>0.161</v>
      </c>
    </row>
    <row r="528" spans="1:3" x14ac:dyDescent="0.3">
      <c r="A528" s="2" t="s">
        <v>3397</v>
      </c>
      <c r="B528">
        <v>1</v>
      </c>
      <c r="C528">
        <v>0.161</v>
      </c>
    </row>
    <row r="529" spans="1:3" x14ac:dyDescent="0.3">
      <c r="A529" s="2" t="s">
        <v>3398</v>
      </c>
      <c r="B529">
        <v>1</v>
      </c>
      <c r="C529">
        <v>0.161</v>
      </c>
    </row>
    <row r="530" spans="1:3" x14ac:dyDescent="0.3">
      <c r="A530" s="2" t="s">
        <v>3399</v>
      </c>
      <c r="B530">
        <v>1</v>
      </c>
      <c r="C530">
        <v>0.161</v>
      </c>
    </row>
    <row r="531" spans="1:3" ht="28.8" x14ac:dyDescent="0.3">
      <c r="A531" s="2" t="s">
        <v>3400</v>
      </c>
      <c r="B531">
        <v>1</v>
      </c>
      <c r="C531">
        <v>0.161</v>
      </c>
    </row>
    <row r="532" spans="1:3" x14ac:dyDescent="0.3">
      <c r="A532" s="2" t="s">
        <v>3401</v>
      </c>
      <c r="B532">
        <v>1</v>
      </c>
      <c r="C532">
        <v>0.161</v>
      </c>
    </row>
    <row r="533" spans="1:3" x14ac:dyDescent="0.3">
      <c r="A533" s="2" t="s">
        <v>3402</v>
      </c>
      <c r="B533">
        <v>1</v>
      </c>
      <c r="C533">
        <v>0.161</v>
      </c>
    </row>
    <row r="534" spans="1:3" ht="28.8" x14ac:dyDescent="0.3">
      <c r="A534" s="2" t="s">
        <v>3403</v>
      </c>
      <c r="B534">
        <v>1</v>
      </c>
      <c r="C534">
        <v>0.161</v>
      </c>
    </row>
    <row r="535" spans="1:3" x14ac:dyDescent="0.3">
      <c r="A535" s="2" t="s">
        <v>3404</v>
      </c>
      <c r="B535">
        <v>1</v>
      </c>
      <c r="C535">
        <v>0.161</v>
      </c>
    </row>
    <row r="536" spans="1:3" x14ac:dyDescent="0.3">
      <c r="A536" s="2" t="s">
        <v>3405</v>
      </c>
      <c r="B536">
        <v>1</v>
      </c>
      <c r="C536">
        <v>0.161</v>
      </c>
    </row>
    <row r="537" spans="1:3" x14ac:dyDescent="0.3">
      <c r="A537" s="2" t="s">
        <v>3406</v>
      </c>
      <c r="B537">
        <v>1</v>
      </c>
      <c r="C537">
        <v>0.161</v>
      </c>
    </row>
    <row r="538" spans="1:3" x14ac:dyDescent="0.3">
      <c r="A538" s="2" t="s">
        <v>3407</v>
      </c>
      <c r="B538">
        <v>1</v>
      </c>
      <c r="C538">
        <v>0.161</v>
      </c>
    </row>
    <row r="539" spans="1:3" ht="28.8" x14ac:dyDescent="0.3">
      <c r="A539" s="2" t="s">
        <v>3408</v>
      </c>
      <c r="B539">
        <v>1</v>
      </c>
      <c r="C539">
        <v>0.161</v>
      </c>
    </row>
    <row r="540" spans="1:3" x14ac:dyDescent="0.3">
      <c r="A540" s="2" t="s">
        <v>3409</v>
      </c>
      <c r="B540">
        <v>1</v>
      </c>
      <c r="C540">
        <v>0.161</v>
      </c>
    </row>
    <row r="541" spans="1:3" x14ac:dyDescent="0.3">
      <c r="A541" s="2" t="s">
        <v>3410</v>
      </c>
      <c r="B541">
        <v>1</v>
      </c>
      <c r="C541">
        <v>0.161</v>
      </c>
    </row>
    <row r="542" spans="1:3" x14ac:dyDescent="0.3">
      <c r="A542" s="2" t="s">
        <v>3411</v>
      </c>
      <c r="B542">
        <v>1</v>
      </c>
      <c r="C542">
        <v>0.161</v>
      </c>
    </row>
    <row r="543" spans="1:3" ht="28.8" x14ac:dyDescent="0.3">
      <c r="A543" s="2" t="s">
        <v>3412</v>
      </c>
      <c r="B543">
        <v>1</v>
      </c>
      <c r="C543">
        <v>0.161</v>
      </c>
    </row>
    <row r="544" spans="1:3" x14ac:dyDescent="0.3">
      <c r="A544" s="2" t="s">
        <v>3413</v>
      </c>
      <c r="B544">
        <v>1</v>
      </c>
      <c r="C544">
        <v>0.161</v>
      </c>
    </row>
    <row r="545" spans="1:3" x14ac:dyDescent="0.3">
      <c r="A545" s="2" t="s">
        <v>3414</v>
      </c>
      <c r="B545">
        <v>1</v>
      </c>
      <c r="C545">
        <v>0.161</v>
      </c>
    </row>
    <row r="546" spans="1:3" x14ac:dyDescent="0.3">
      <c r="A546" s="2" t="s">
        <v>3415</v>
      </c>
      <c r="B546">
        <v>1</v>
      </c>
      <c r="C546">
        <v>0.161</v>
      </c>
    </row>
    <row r="547" spans="1:3" x14ac:dyDescent="0.3">
      <c r="A547" s="2" t="s">
        <v>3416</v>
      </c>
      <c r="B547">
        <v>1</v>
      </c>
      <c r="C547">
        <v>0.161</v>
      </c>
    </row>
    <row r="548" spans="1:3" ht="28.8" x14ac:dyDescent="0.3">
      <c r="A548" s="2" t="s">
        <v>3417</v>
      </c>
      <c r="B548">
        <v>1</v>
      </c>
      <c r="C548">
        <v>0.161</v>
      </c>
    </row>
    <row r="549" spans="1:3" x14ac:dyDescent="0.3">
      <c r="A549" s="2" t="s">
        <v>3418</v>
      </c>
      <c r="B549">
        <v>1</v>
      </c>
      <c r="C549">
        <v>0.161</v>
      </c>
    </row>
    <row r="550" spans="1:3" ht="28.8" x14ac:dyDescent="0.3">
      <c r="A550" s="2" t="s">
        <v>3419</v>
      </c>
      <c r="B550">
        <v>1</v>
      </c>
      <c r="C550">
        <v>0.161</v>
      </c>
    </row>
    <row r="551" spans="1:3" x14ac:dyDescent="0.3">
      <c r="A551" s="2" t="s">
        <v>3420</v>
      </c>
      <c r="B551">
        <v>1</v>
      </c>
      <c r="C551">
        <v>0.161</v>
      </c>
    </row>
    <row r="552" spans="1:3" x14ac:dyDescent="0.3">
      <c r="A552" s="2" t="s">
        <v>3421</v>
      </c>
      <c r="B552">
        <v>1</v>
      </c>
      <c r="C552">
        <v>0.161</v>
      </c>
    </row>
    <row r="553" spans="1:3" x14ac:dyDescent="0.3">
      <c r="A553" s="2" t="s">
        <v>3422</v>
      </c>
      <c r="B553">
        <v>1</v>
      </c>
      <c r="C553">
        <v>0.161</v>
      </c>
    </row>
    <row r="554" spans="1:3" x14ac:dyDescent="0.3">
      <c r="A554" s="2" t="s">
        <v>3423</v>
      </c>
      <c r="B554">
        <v>1</v>
      </c>
      <c r="C554">
        <v>0.161</v>
      </c>
    </row>
    <row r="555" spans="1:3" x14ac:dyDescent="0.3">
      <c r="A555" s="2" t="s">
        <v>3424</v>
      </c>
      <c r="B555">
        <v>1</v>
      </c>
      <c r="C555">
        <v>0.161</v>
      </c>
    </row>
    <row r="556" spans="1:3" x14ac:dyDescent="0.3">
      <c r="A556" s="2" t="s">
        <v>3425</v>
      </c>
      <c r="B556">
        <v>1</v>
      </c>
      <c r="C556">
        <v>0.161</v>
      </c>
    </row>
    <row r="557" spans="1:3" x14ac:dyDescent="0.3">
      <c r="A557" s="2" t="s">
        <v>3426</v>
      </c>
      <c r="B557">
        <v>1</v>
      </c>
      <c r="C557">
        <v>0.161</v>
      </c>
    </row>
    <row r="558" spans="1:3" x14ac:dyDescent="0.3">
      <c r="A558" s="2" t="s">
        <v>3427</v>
      </c>
      <c r="B558">
        <v>1</v>
      </c>
      <c r="C558">
        <v>0.161</v>
      </c>
    </row>
    <row r="559" spans="1:3" x14ac:dyDescent="0.3">
      <c r="A559" s="2" t="s">
        <v>3428</v>
      </c>
      <c r="B559">
        <v>1</v>
      </c>
      <c r="C559">
        <v>0.161</v>
      </c>
    </row>
    <row r="560" spans="1:3" x14ac:dyDescent="0.3">
      <c r="A560" s="2" t="s">
        <v>3429</v>
      </c>
      <c r="B560">
        <v>1</v>
      </c>
      <c r="C560">
        <v>0.161</v>
      </c>
    </row>
    <row r="561" spans="1:3" x14ac:dyDescent="0.3">
      <c r="A561" s="2" t="s">
        <v>3430</v>
      </c>
      <c r="B561">
        <v>1</v>
      </c>
      <c r="C561">
        <v>0.161</v>
      </c>
    </row>
    <row r="562" spans="1:3" x14ac:dyDescent="0.3">
      <c r="A562" s="2" t="s">
        <v>3431</v>
      </c>
      <c r="B562">
        <v>1</v>
      </c>
      <c r="C562">
        <v>0.161</v>
      </c>
    </row>
    <row r="563" spans="1:3" x14ac:dyDescent="0.3">
      <c r="A563" s="2" t="s">
        <v>3432</v>
      </c>
      <c r="B563">
        <v>1</v>
      </c>
      <c r="C563">
        <v>0.161</v>
      </c>
    </row>
    <row r="564" spans="1:3" x14ac:dyDescent="0.3">
      <c r="A564" s="2" t="s">
        <v>3433</v>
      </c>
      <c r="B564">
        <v>1</v>
      </c>
      <c r="C564">
        <v>0.161</v>
      </c>
    </row>
    <row r="565" spans="1:3" x14ac:dyDescent="0.3">
      <c r="A565" s="2" t="s">
        <v>3434</v>
      </c>
      <c r="B565">
        <v>1</v>
      </c>
      <c r="C565">
        <v>0.161</v>
      </c>
    </row>
    <row r="566" spans="1:3" x14ac:dyDescent="0.3">
      <c r="A566" s="2" t="s">
        <v>3435</v>
      </c>
      <c r="B566">
        <v>1</v>
      </c>
      <c r="C566">
        <v>0.161</v>
      </c>
    </row>
    <row r="567" spans="1:3" x14ac:dyDescent="0.3">
      <c r="A567" s="2" t="s">
        <v>3436</v>
      </c>
      <c r="B567">
        <v>1</v>
      </c>
      <c r="C567">
        <v>0.161</v>
      </c>
    </row>
    <row r="568" spans="1:3" x14ac:dyDescent="0.3">
      <c r="A568" s="2" t="s">
        <v>3437</v>
      </c>
      <c r="B568">
        <v>1</v>
      </c>
      <c r="C568">
        <v>0.161</v>
      </c>
    </row>
    <row r="569" spans="1:3" x14ac:dyDescent="0.3">
      <c r="A569" s="2" t="s">
        <v>3438</v>
      </c>
      <c r="B569">
        <v>1</v>
      </c>
      <c r="C569">
        <v>0.161</v>
      </c>
    </row>
    <row r="570" spans="1:3" x14ac:dyDescent="0.3">
      <c r="A570" s="2" t="s">
        <v>3439</v>
      </c>
      <c r="B570">
        <v>1</v>
      </c>
      <c r="C570">
        <v>0.161</v>
      </c>
    </row>
    <row r="571" spans="1:3" x14ac:dyDescent="0.3">
      <c r="A571" s="2" t="s">
        <v>3440</v>
      </c>
      <c r="B571">
        <v>1</v>
      </c>
      <c r="C571">
        <v>0.161</v>
      </c>
    </row>
    <row r="572" spans="1:3" x14ac:dyDescent="0.3">
      <c r="A572" s="2" t="s">
        <v>3441</v>
      </c>
      <c r="B572">
        <v>1</v>
      </c>
      <c r="C572">
        <v>0.161</v>
      </c>
    </row>
    <row r="573" spans="1:3" x14ac:dyDescent="0.3">
      <c r="A573" s="2" t="s">
        <v>3442</v>
      </c>
      <c r="B573">
        <v>1</v>
      </c>
      <c r="C573">
        <v>0.161</v>
      </c>
    </row>
    <row r="574" spans="1:3" x14ac:dyDescent="0.3">
      <c r="A574" s="2" t="s">
        <v>3443</v>
      </c>
      <c r="B574">
        <v>1</v>
      </c>
      <c r="C574">
        <v>0.161</v>
      </c>
    </row>
    <row r="575" spans="1:3" x14ac:dyDescent="0.3">
      <c r="A575" s="2" t="s">
        <v>3444</v>
      </c>
      <c r="B575">
        <v>1</v>
      </c>
      <c r="C575">
        <v>0.161</v>
      </c>
    </row>
    <row r="576" spans="1:3" x14ac:dyDescent="0.3">
      <c r="A576" s="2" t="s">
        <v>3445</v>
      </c>
      <c r="B576">
        <v>1</v>
      </c>
      <c r="C576">
        <v>0.161</v>
      </c>
    </row>
    <row r="577" spans="1:3" x14ac:dyDescent="0.3">
      <c r="A577" s="2" t="s">
        <v>3446</v>
      </c>
      <c r="B577">
        <v>1</v>
      </c>
      <c r="C577">
        <v>0.161</v>
      </c>
    </row>
    <row r="578" spans="1:3" x14ac:dyDescent="0.3">
      <c r="A578" s="2" t="s">
        <v>3447</v>
      </c>
      <c r="B578">
        <v>1</v>
      </c>
      <c r="C578">
        <v>0.161</v>
      </c>
    </row>
    <row r="579" spans="1:3" x14ac:dyDescent="0.3">
      <c r="A579" s="2" t="s">
        <v>3448</v>
      </c>
      <c r="B579">
        <v>1</v>
      </c>
      <c r="C579">
        <v>0.161</v>
      </c>
    </row>
    <row r="580" spans="1:3" x14ac:dyDescent="0.3">
      <c r="A580" s="2" t="s">
        <v>3449</v>
      </c>
      <c r="B580">
        <v>1</v>
      </c>
      <c r="C580">
        <v>0.161</v>
      </c>
    </row>
    <row r="581" spans="1:3" x14ac:dyDescent="0.3">
      <c r="A581" s="2" t="s">
        <v>3450</v>
      </c>
      <c r="B581">
        <v>1</v>
      </c>
      <c r="C581">
        <v>0.161</v>
      </c>
    </row>
    <row r="582" spans="1:3" x14ac:dyDescent="0.3">
      <c r="A582" s="2" t="s">
        <v>3451</v>
      </c>
      <c r="B582">
        <v>1</v>
      </c>
      <c r="C582">
        <v>0.161</v>
      </c>
    </row>
    <row r="583" spans="1:3" x14ac:dyDescent="0.3">
      <c r="A583" s="2" t="s">
        <v>3452</v>
      </c>
      <c r="B583">
        <v>1</v>
      </c>
      <c r="C583">
        <v>0.161</v>
      </c>
    </row>
    <row r="584" spans="1:3" x14ac:dyDescent="0.3">
      <c r="A584" s="2" t="s">
        <v>3453</v>
      </c>
      <c r="B584">
        <v>1</v>
      </c>
      <c r="C584">
        <v>0.161</v>
      </c>
    </row>
    <row r="585" spans="1:3" ht="28.8" x14ac:dyDescent="0.3">
      <c r="A585" s="2" t="s">
        <v>3454</v>
      </c>
      <c r="B585">
        <v>1</v>
      </c>
      <c r="C585">
        <v>0.161</v>
      </c>
    </row>
    <row r="586" spans="1:3" x14ac:dyDescent="0.3">
      <c r="A586" s="2" t="s">
        <v>3455</v>
      </c>
      <c r="B586">
        <v>1</v>
      </c>
      <c r="C586">
        <v>0.161</v>
      </c>
    </row>
    <row r="587" spans="1:3" ht="28.8" x14ac:dyDescent="0.3">
      <c r="A587" s="2" t="s">
        <v>3456</v>
      </c>
      <c r="B587">
        <v>1</v>
      </c>
      <c r="C587">
        <v>0.161</v>
      </c>
    </row>
    <row r="588" spans="1:3" x14ac:dyDescent="0.3">
      <c r="A588" s="2" t="s">
        <v>3457</v>
      </c>
      <c r="B588">
        <v>1</v>
      </c>
      <c r="C588">
        <v>0.161</v>
      </c>
    </row>
    <row r="589" spans="1:3" x14ac:dyDescent="0.3">
      <c r="A589" s="2" t="s">
        <v>3458</v>
      </c>
      <c r="B589">
        <v>1</v>
      </c>
      <c r="C589">
        <v>0.161</v>
      </c>
    </row>
    <row r="590" spans="1:3" x14ac:dyDescent="0.3">
      <c r="A590" s="2" t="s">
        <v>3459</v>
      </c>
      <c r="B590">
        <v>1</v>
      </c>
      <c r="C590">
        <v>0.161</v>
      </c>
    </row>
    <row r="591" spans="1:3" x14ac:dyDescent="0.3">
      <c r="A591" s="2" t="s">
        <v>3460</v>
      </c>
      <c r="B591">
        <v>1</v>
      </c>
      <c r="C591">
        <v>0.161</v>
      </c>
    </row>
    <row r="592" spans="1:3" x14ac:dyDescent="0.3">
      <c r="A592" s="2" t="s">
        <v>3461</v>
      </c>
      <c r="B592">
        <v>1</v>
      </c>
      <c r="C592">
        <v>0.161</v>
      </c>
    </row>
    <row r="593" spans="1:3" ht="28.8" x14ac:dyDescent="0.3">
      <c r="A593" s="2" t="s">
        <v>3462</v>
      </c>
      <c r="B593">
        <v>1</v>
      </c>
      <c r="C593">
        <v>0.161</v>
      </c>
    </row>
    <row r="594" spans="1:3" x14ac:dyDescent="0.3">
      <c r="A594" s="2" t="s">
        <v>3463</v>
      </c>
      <c r="B594">
        <v>1</v>
      </c>
      <c r="C594">
        <v>0.161</v>
      </c>
    </row>
    <row r="595" spans="1:3" x14ac:dyDescent="0.3">
      <c r="A595" s="2" t="s">
        <v>3464</v>
      </c>
      <c r="B595">
        <v>1</v>
      </c>
      <c r="C595">
        <v>0.161</v>
      </c>
    </row>
    <row r="596" spans="1:3" x14ac:dyDescent="0.3">
      <c r="A596" s="2" t="s">
        <v>3465</v>
      </c>
      <c r="B596">
        <v>1</v>
      </c>
      <c r="C596">
        <v>0.161</v>
      </c>
    </row>
    <row r="597" spans="1:3" x14ac:dyDescent="0.3">
      <c r="A597" s="2" t="s">
        <v>3466</v>
      </c>
      <c r="B597">
        <v>1</v>
      </c>
      <c r="C597">
        <v>0.161</v>
      </c>
    </row>
    <row r="598" spans="1:3" x14ac:dyDescent="0.3">
      <c r="A598" s="2" t="s">
        <v>3467</v>
      </c>
      <c r="B598">
        <v>1</v>
      </c>
      <c r="C598">
        <v>0.161</v>
      </c>
    </row>
    <row r="599" spans="1:3" x14ac:dyDescent="0.3">
      <c r="A599" s="2" t="s">
        <v>3468</v>
      </c>
      <c r="B599">
        <v>1</v>
      </c>
      <c r="C599">
        <v>0.161</v>
      </c>
    </row>
    <row r="600" spans="1:3" x14ac:dyDescent="0.3">
      <c r="A600" s="2" t="s">
        <v>3469</v>
      </c>
      <c r="B600">
        <v>1</v>
      </c>
      <c r="C600">
        <v>0.161</v>
      </c>
    </row>
    <row r="601" spans="1:3" x14ac:dyDescent="0.3">
      <c r="A601" s="2" t="s">
        <v>3470</v>
      </c>
      <c r="B601">
        <v>1</v>
      </c>
      <c r="C601">
        <v>0.161</v>
      </c>
    </row>
    <row r="602" spans="1:3" x14ac:dyDescent="0.3">
      <c r="A602" s="2" t="s">
        <v>3471</v>
      </c>
      <c r="B602">
        <v>1</v>
      </c>
      <c r="C602">
        <v>0.161</v>
      </c>
    </row>
    <row r="603" spans="1:3" x14ac:dyDescent="0.3">
      <c r="A603" s="2" t="s">
        <v>3472</v>
      </c>
      <c r="B603">
        <v>1</v>
      </c>
      <c r="C603">
        <v>0.161</v>
      </c>
    </row>
    <row r="604" spans="1:3" x14ac:dyDescent="0.3">
      <c r="A604" s="2" t="s">
        <v>3473</v>
      </c>
      <c r="B604">
        <v>1</v>
      </c>
      <c r="C604">
        <v>0.161</v>
      </c>
    </row>
    <row r="605" spans="1:3" x14ac:dyDescent="0.3">
      <c r="A605" s="2" t="s">
        <v>3474</v>
      </c>
      <c r="B605">
        <v>1</v>
      </c>
      <c r="C605">
        <v>0.161</v>
      </c>
    </row>
    <row r="606" spans="1:3" ht="28.8" x14ac:dyDescent="0.3">
      <c r="A606" s="2" t="s">
        <v>3475</v>
      </c>
      <c r="B606">
        <v>1</v>
      </c>
      <c r="C606">
        <v>0.161</v>
      </c>
    </row>
    <row r="607" spans="1:3" x14ac:dyDescent="0.3">
      <c r="A607" s="2" t="s">
        <v>3476</v>
      </c>
      <c r="B607">
        <v>1</v>
      </c>
      <c r="C607">
        <v>0.161</v>
      </c>
    </row>
    <row r="608" spans="1:3" x14ac:dyDescent="0.3">
      <c r="A608" s="2" t="s">
        <v>3477</v>
      </c>
      <c r="B608">
        <v>1</v>
      </c>
      <c r="C608">
        <v>0.161</v>
      </c>
    </row>
    <row r="609" spans="1:3" x14ac:dyDescent="0.3">
      <c r="A609" s="2" t="s">
        <v>3478</v>
      </c>
      <c r="B609">
        <v>1</v>
      </c>
      <c r="C609">
        <v>0.161</v>
      </c>
    </row>
    <row r="610" spans="1:3" x14ac:dyDescent="0.3">
      <c r="A610" s="2" t="s">
        <v>3479</v>
      </c>
      <c r="B610">
        <v>1</v>
      </c>
      <c r="C610">
        <v>0.161</v>
      </c>
    </row>
    <row r="611" spans="1:3" x14ac:dyDescent="0.3">
      <c r="A611" s="2" t="s">
        <v>3480</v>
      </c>
      <c r="B611">
        <v>1</v>
      </c>
      <c r="C611">
        <v>0.161</v>
      </c>
    </row>
    <row r="612" spans="1:3" x14ac:dyDescent="0.3">
      <c r="A612" s="2" t="s">
        <v>3481</v>
      </c>
      <c r="B612">
        <v>1</v>
      </c>
      <c r="C612">
        <v>0.161</v>
      </c>
    </row>
    <row r="613" spans="1:3" x14ac:dyDescent="0.3">
      <c r="A613" s="2" t="s">
        <v>3482</v>
      </c>
      <c r="B613">
        <v>1</v>
      </c>
      <c r="C613">
        <v>0.161</v>
      </c>
    </row>
    <row r="614" spans="1:3" x14ac:dyDescent="0.3">
      <c r="A614" s="2" t="s">
        <v>3483</v>
      </c>
      <c r="B614">
        <v>1</v>
      </c>
      <c r="C614">
        <v>0.161</v>
      </c>
    </row>
    <row r="615" spans="1:3" x14ac:dyDescent="0.3">
      <c r="A615" s="2" t="s">
        <v>3484</v>
      </c>
      <c r="B615">
        <v>1</v>
      </c>
      <c r="C615">
        <v>0.161</v>
      </c>
    </row>
    <row r="616" spans="1:3" x14ac:dyDescent="0.3">
      <c r="A616" s="2" t="s">
        <v>3485</v>
      </c>
      <c r="B616">
        <v>1</v>
      </c>
      <c r="C616">
        <v>0.161</v>
      </c>
    </row>
    <row r="617" spans="1:3" x14ac:dyDescent="0.3">
      <c r="A617" s="2" t="s">
        <v>3486</v>
      </c>
      <c r="B617">
        <v>1</v>
      </c>
      <c r="C617">
        <v>0.161</v>
      </c>
    </row>
    <row r="618" spans="1:3" x14ac:dyDescent="0.3">
      <c r="A618" s="2" t="s">
        <v>3487</v>
      </c>
      <c r="B618">
        <v>1</v>
      </c>
      <c r="C618">
        <v>0.161</v>
      </c>
    </row>
    <row r="619" spans="1:3" x14ac:dyDescent="0.3">
      <c r="A619" s="2" t="s">
        <v>3488</v>
      </c>
      <c r="B619">
        <v>1</v>
      </c>
      <c r="C619">
        <v>0.161</v>
      </c>
    </row>
    <row r="620" spans="1:3" x14ac:dyDescent="0.3">
      <c r="A620" s="2" t="s">
        <v>3489</v>
      </c>
      <c r="B620">
        <v>1</v>
      </c>
      <c r="C620">
        <v>0.161</v>
      </c>
    </row>
    <row r="621" spans="1:3" x14ac:dyDescent="0.3">
      <c r="A621" s="2" t="s">
        <v>3490</v>
      </c>
      <c r="B621">
        <v>1</v>
      </c>
      <c r="C621">
        <v>0.161</v>
      </c>
    </row>
    <row r="622" spans="1:3" x14ac:dyDescent="0.3">
      <c r="A622" s="2" t="s">
        <v>3491</v>
      </c>
      <c r="B622">
        <v>1</v>
      </c>
      <c r="C622">
        <v>0.161</v>
      </c>
    </row>
    <row r="623" spans="1:3" x14ac:dyDescent="0.3">
      <c r="A623" s="2" t="s">
        <v>3492</v>
      </c>
      <c r="B623">
        <v>1</v>
      </c>
      <c r="C623">
        <v>0.161</v>
      </c>
    </row>
    <row r="624" spans="1:3" x14ac:dyDescent="0.3">
      <c r="A624" s="2" t="s">
        <v>3493</v>
      </c>
      <c r="B624">
        <v>1</v>
      </c>
      <c r="C624">
        <v>0.161</v>
      </c>
    </row>
    <row r="625" spans="1:3" x14ac:dyDescent="0.3">
      <c r="A625" s="2" t="s">
        <v>3494</v>
      </c>
      <c r="B625">
        <v>1</v>
      </c>
      <c r="C625">
        <v>0.161</v>
      </c>
    </row>
    <row r="626" spans="1:3" x14ac:dyDescent="0.3">
      <c r="A626" s="2" t="s">
        <v>3495</v>
      </c>
      <c r="B626">
        <v>1</v>
      </c>
      <c r="C626">
        <v>0.161</v>
      </c>
    </row>
    <row r="627" spans="1:3" x14ac:dyDescent="0.3">
      <c r="A627" s="2" t="s">
        <v>3496</v>
      </c>
      <c r="B627">
        <v>1</v>
      </c>
      <c r="C627">
        <v>0.161</v>
      </c>
    </row>
    <row r="628" spans="1:3" x14ac:dyDescent="0.3">
      <c r="A628" s="2" t="s">
        <v>3497</v>
      </c>
      <c r="B628">
        <v>1</v>
      </c>
      <c r="C628">
        <v>0.161</v>
      </c>
    </row>
    <row r="629" spans="1:3" x14ac:dyDescent="0.3">
      <c r="A629" s="2" t="s">
        <v>3498</v>
      </c>
      <c r="B629">
        <v>1</v>
      </c>
      <c r="C629">
        <v>0.161</v>
      </c>
    </row>
    <row r="630" spans="1:3" x14ac:dyDescent="0.3">
      <c r="A630" s="2" t="s">
        <v>3499</v>
      </c>
      <c r="B630">
        <v>1</v>
      </c>
      <c r="C630">
        <v>0.161</v>
      </c>
    </row>
    <row r="631" spans="1:3" x14ac:dyDescent="0.3">
      <c r="A631" s="2" t="s">
        <v>3500</v>
      </c>
      <c r="B631">
        <v>1</v>
      </c>
      <c r="C631">
        <v>0.161</v>
      </c>
    </row>
    <row r="632" spans="1:3" x14ac:dyDescent="0.3">
      <c r="A632" s="2" t="s">
        <v>3501</v>
      </c>
      <c r="B632">
        <v>1</v>
      </c>
      <c r="C632">
        <v>0.161</v>
      </c>
    </row>
    <row r="633" spans="1:3" x14ac:dyDescent="0.3">
      <c r="A633" s="2" t="s">
        <v>3502</v>
      </c>
      <c r="B633">
        <v>1</v>
      </c>
      <c r="C633">
        <v>0.161</v>
      </c>
    </row>
    <row r="634" spans="1:3" x14ac:dyDescent="0.3">
      <c r="A634" s="2" t="s">
        <v>3503</v>
      </c>
      <c r="B634">
        <v>1</v>
      </c>
      <c r="C634">
        <v>0.161</v>
      </c>
    </row>
    <row r="635" spans="1:3" x14ac:dyDescent="0.3">
      <c r="A635" s="2" t="s">
        <v>3504</v>
      </c>
      <c r="B635">
        <v>1</v>
      </c>
      <c r="C635">
        <v>0.161</v>
      </c>
    </row>
    <row r="636" spans="1:3" x14ac:dyDescent="0.3">
      <c r="A636" s="2" t="s">
        <v>3505</v>
      </c>
      <c r="B636">
        <v>1</v>
      </c>
      <c r="C636">
        <v>0.161</v>
      </c>
    </row>
    <row r="637" spans="1:3" x14ac:dyDescent="0.3">
      <c r="A637" s="2" t="s">
        <v>3506</v>
      </c>
      <c r="B637">
        <v>1</v>
      </c>
      <c r="C637">
        <v>0.161</v>
      </c>
    </row>
    <row r="638" spans="1:3" x14ac:dyDescent="0.3">
      <c r="A638" s="2" t="s">
        <v>3507</v>
      </c>
      <c r="B638">
        <v>1</v>
      </c>
      <c r="C638">
        <v>0.161</v>
      </c>
    </row>
    <row r="639" spans="1:3" x14ac:dyDescent="0.3">
      <c r="A639" s="2" t="s">
        <v>3508</v>
      </c>
      <c r="B639">
        <v>1</v>
      </c>
      <c r="C639">
        <v>0.161</v>
      </c>
    </row>
    <row r="640" spans="1:3" x14ac:dyDescent="0.3">
      <c r="A640" s="2" t="s">
        <v>3509</v>
      </c>
      <c r="B640">
        <v>1</v>
      </c>
      <c r="C640">
        <v>0.161</v>
      </c>
    </row>
    <row r="641" spans="1:3" x14ac:dyDescent="0.3">
      <c r="A641" s="2" t="s">
        <v>3510</v>
      </c>
      <c r="B641">
        <v>1</v>
      </c>
      <c r="C641">
        <v>0.161</v>
      </c>
    </row>
    <row r="642" spans="1:3" x14ac:dyDescent="0.3">
      <c r="A642" s="2" t="s">
        <v>3511</v>
      </c>
      <c r="B642">
        <v>1</v>
      </c>
      <c r="C642">
        <v>0.161</v>
      </c>
    </row>
    <row r="643" spans="1:3" x14ac:dyDescent="0.3">
      <c r="A643" s="2" t="s">
        <v>3512</v>
      </c>
      <c r="B643">
        <v>1</v>
      </c>
      <c r="C643">
        <v>0.161</v>
      </c>
    </row>
    <row r="644" spans="1:3" x14ac:dyDescent="0.3">
      <c r="A644" s="2" t="s">
        <v>3513</v>
      </c>
      <c r="B644">
        <v>1</v>
      </c>
      <c r="C644">
        <v>0.161</v>
      </c>
    </row>
    <row r="645" spans="1:3" x14ac:dyDescent="0.3">
      <c r="A645" s="2" t="s">
        <v>3514</v>
      </c>
      <c r="B645">
        <v>1</v>
      </c>
      <c r="C645">
        <v>0.161</v>
      </c>
    </row>
    <row r="646" spans="1:3" x14ac:dyDescent="0.3">
      <c r="A646" s="2" t="s">
        <v>3515</v>
      </c>
      <c r="B646">
        <v>1</v>
      </c>
      <c r="C646">
        <v>0.161</v>
      </c>
    </row>
    <row r="647" spans="1:3" x14ac:dyDescent="0.3">
      <c r="A647" s="2" t="s">
        <v>3516</v>
      </c>
      <c r="B647">
        <v>1</v>
      </c>
      <c r="C647">
        <v>0.161</v>
      </c>
    </row>
    <row r="648" spans="1:3" x14ac:dyDescent="0.3">
      <c r="A648" s="2" t="s">
        <v>3517</v>
      </c>
      <c r="B648">
        <v>1</v>
      </c>
      <c r="C648">
        <v>0.161</v>
      </c>
    </row>
    <row r="649" spans="1:3" x14ac:dyDescent="0.3">
      <c r="A649" s="2" t="s">
        <v>3518</v>
      </c>
      <c r="B649">
        <v>1</v>
      </c>
      <c r="C649">
        <v>0.161</v>
      </c>
    </row>
    <row r="650" spans="1:3" x14ac:dyDescent="0.3">
      <c r="A650" s="2" t="s">
        <v>3519</v>
      </c>
      <c r="B650">
        <v>1</v>
      </c>
      <c r="C650">
        <v>0.161</v>
      </c>
    </row>
    <row r="651" spans="1:3" x14ac:dyDescent="0.3">
      <c r="A651" s="2" t="s">
        <v>3520</v>
      </c>
      <c r="B651">
        <v>1</v>
      </c>
      <c r="C651">
        <v>0.161</v>
      </c>
    </row>
    <row r="652" spans="1:3" x14ac:dyDescent="0.3">
      <c r="A652" s="2" t="s">
        <v>3521</v>
      </c>
      <c r="B652">
        <v>1</v>
      </c>
      <c r="C652">
        <v>0.161</v>
      </c>
    </row>
    <row r="653" spans="1:3" x14ac:dyDescent="0.3">
      <c r="A653" s="2" t="s">
        <v>3522</v>
      </c>
      <c r="B653">
        <v>1</v>
      </c>
      <c r="C653">
        <v>0.161</v>
      </c>
    </row>
    <row r="654" spans="1:3" x14ac:dyDescent="0.3">
      <c r="A654" s="2" t="s">
        <v>3523</v>
      </c>
      <c r="B654">
        <v>1</v>
      </c>
      <c r="C654">
        <v>0.161</v>
      </c>
    </row>
    <row r="655" spans="1:3" x14ac:dyDescent="0.3">
      <c r="A655" s="2" t="s">
        <v>3524</v>
      </c>
      <c r="B655">
        <v>1</v>
      </c>
      <c r="C655">
        <v>0.161</v>
      </c>
    </row>
    <row r="656" spans="1:3" x14ac:dyDescent="0.3">
      <c r="A656" s="2" t="s">
        <v>3525</v>
      </c>
      <c r="B656">
        <v>1</v>
      </c>
      <c r="C656">
        <v>0.161</v>
      </c>
    </row>
    <row r="657" spans="1:3" x14ac:dyDescent="0.3">
      <c r="A657" s="2" t="s">
        <v>3526</v>
      </c>
      <c r="B657">
        <v>1</v>
      </c>
      <c r="C657">
        <v>0.161</v>
      </c>
    </row>
    <row r="658" spans="1:3" x14ac:dyDescent="0.3">
      <c r="A658" s="2" t="s">
        <v>3527</v>
      </c>
      <c r="B658">
        <v>1</v>
      </c>
      <c r="C658">
        <v>0.161</v>
      </c>
    </row>
    <row r="659" spans="1:3" x14ac:dyDescent="0.3">
      <c r="A659" s="2" t="s">
        <v>3528</v>
      </c>
      <c r="B659">
        <v>1</v>
      </c>
      <c r="C659">
        <v>0.161</v>
      </c>
    </row>
    <row r="660" spans="1:3" x14ac:dyDescent="0.3">
      <c r="A660" s="2" t="s">
        <v>3529</v>
      </c>
      <c r="B660">
        <v>1</v>
      </c>
      <c r="C660">
        <v>0.161</v>
      </c>
    </row>
    <row r="661" spans="1:3" x14ac:dyDescent="0.3">
      <c r="A661" s="2" t="s">
        <v>3530</v>
      </c>
      <c r="B661">
        <v>1</v>
      </c>
      <c r="C661">
        <v>0.161</v>
      </c>
    </row>
    <row r="662" spans="1:3" ht="28.8" x14ac:dyDescent="0.3">
      <c r="A662" s="2" t="s">
        <v>3531</v>
      </c>
      <c r="B662">
        <v>1</v>
      </c>
      <c r="C662">
        <v>0.161</v>
      </c>
    </row>
    <row r="663" spans="1:3" x14ac:dyDescent="0.3">
      <c r="A663" s="2" t="s">
        <v>3532</v>
      </c>
      <c r="B663">
        <v>1</v>
      </c>
      <c r="C663">
        <v>0.161</v>
      </c>
    </row>
    <row r="664" spans="1:3" x14ac:dyDescent="0.3">
      <c r="A664" s="2" t="s">
        <v>3533</v>
      </c>
      <c r="B664">
        <v>1</v>
      </c>
      <c r="C664">
        <v>0.161</v>
      </c>
    </row>
    <row r="665" spans="1:3" x14ac:dyDescent="0.3">
      <c r="A665" s="2" t="s">
        <v>3534</v>
      </c>
      <c r="B665">
        <v>1</v>
      </c>
      <c r="C665">
        <v>0.161</v>
      </c>
    </row>
    <row r="666" spans="1:3" x14ac:dyDescent="0.3">
      <c r="A666" s="2" t="s">
        <v>3535</v>
      </c>
      <c r="B666">
        <v>1</v>
      </c>
      <c r="C666">
        <v>0.161</v>
      </c>
    </row>
    <row r="667" spans="1:3" x14ac:dyDescent="0.3">
      <c r="A667" s="2" t="s">
        <v>3536</v>
      </c>
      <c r="B667">
        <v>1</v>
      </c>
      <c r="C667">
        <v>0.161</v>
      </c>
    </row>
    <row r="668" spans="1:3" x14ac:dyDescent="0.3">
      <c r="A668" s="2" t="s">
        <v>3537</v>
      </c>
      <c r="B668">
        <v>1</v>
      </c>
      <c r="C668">
        <v>0.161</v>
      </c>
    </row>
    <row r="669" spans="1:3" x14ac:dyDescent="0.3">
      <c r="A669" s="2" t="s">
        <v>3538</v>
      </c>
      <c r="B669">
        <v>1</v>
      </c>
      <c r="C669">
        <v>0.161</v>
      </c>
    </row>
    <row r="670" spans="1:3" x14ac:dyDescent="0.3">
      <c r="A670" s="2" t="s">
        <v>3539</v>
      </c>
      <c r="B670">
        <v>1</v>
      </c>
      <c r="C670">
        <v>0.161</v>
      </c>
    </row>
    <row r="671" spans="1:3" x14ac:dyDescent="0.3">
      <c r="A671" s="2" t="s">
        <v>3540</v>
      </c>
      <c r="B671">
        <v>1</v>
      </c>
      <c r="C671">
        <v>0.161</v>
      </c>
    </row>
    <row r="672" spans="1:3" x14ac:dyDescent="0.3">
      <c r="A672" s="2" t="s">
        <v>3541</v>
      </c>
      <c r="B672">
        <v>1</v>
      </c>
      <c r="C672">
        <v>0.161</v>
      </c>
    </row>
    <row r="673" spans="1:3" x14ac:dyDescent="0.3">
      <c r="A673" s="2" t="s">
        <v>3542</v>
      </c>
      <c r="B673">
        <v>1</v>
      </c>
      <c r="C673">
        <v>0.161</v>
      </c>
    </row>
    <row r="674" spans="1:3" x14ac:dyDescent="0.3">
      <c r="A674" s="2" t="s">
        <v>3543</v>
      </c>
      <c r="B674">
        <v>1</v>
      </c>
      <c r="C674">
        <v>0.161</v>
      </c>
    </row>
    <row r="675" spans="1:3" x14ac:dyDescent="0.3">
      <c r="A675" s="2" t="s">
        <v>3544</v>
      </c>
      <c r="B675">
        <v>1</v>
      </c>
      <c r="C675">
        <v>0.161</v>
      </c>
    </row>
    <row r="676" spans="1:3" x14ac:dyDescent="0.3">
      <c r="A676" s="2" t="s">
        <v>3545</v>
      </c>
      <c r="B676">
        <v>1</v>
      </c>
      <c r="C676">
        <v>0.161</v>
      </c>
    </row>
    <row r="677" spans="1:3" x14ac:dyDescent="0.3">
      <c r="A677" s="2" t="s">
        <v>3546</v>
      </c>
      <c r="B677">
        <v>1</v>
      </c>
      <c r="C677">
        <v>0.161</v>
      </c>
    </row>
    <row r="678" spans="1:3" x14ac:dyDescent="0.3">
      <c r="A678" s="2" t="s">
        <v>3547</v>
      </c>
      <c r="B678">
        <v>1</v>
      </c>
      <c r="C678">
        <v>0.161</v>
      </c>
    </row>
    <row r="679" spans="1:3" x14ac:dyDescent="0.3">
      <c r="A679" s="2" t="s">
        <v>3548</v>
      </c>
      <c r="B679">
        <v>1</v>
      </c>
      <c r="C679">
        <v>0.161</v>
      </c>
    </row>
    <row r="680" spans="1:3" x14ac:dyDescent="0.3">
      <c r="A680" s="2" t="s">
        <v>3549</v>
      </c>
      <c r="B680">
        <v>1</v>
      </c>
      <c r="C680">
        <v>0.161</v>
      </c>
    </row>
    <row r="681" spans="1:3" x14ac:dyDescent="0.3">
      <c r="A681" s="2" t="s">
        <v>3550</v>
      </c>
      <c r="B681">
        <v>1</v>
      </c>
      <c r="C681">
        <v>0.161</v>
      </c>
    </row>
    <row r="682" spans="1:3" x14ac:dyDescent="0.3">
      <c r="A682" s="2" t="s">
        <v>3551</v>
      </c>
      <c r="B682">
        <v>1</v>
      </c>
      <c r="C682">
        <v>0.161</v>
      </c>
    </row>
    <row r="683" spans="1:3" x14ac:dyDescent="0.3">
      <c r="A683" s="2" t="s">
        <v>3552</v>
      </c>
      <c r="B683">
        <v>1</v>
      </c>
      <c r="C683">
        <v>0.161</v>
      </c>
    </row>
    <row r="684" spans="1:3" x14ac:dyDescent="0.3">
      <c r="A684" s="2" t="s">
        <v>3553</v>
      </c>
      <c r="B684">
        <v>1</v>
      </c>
      <c r="C684">
        <v>0.161</v>
      </c>
    </row>
    <row r="685" spans="1:3" x14ac:dyDescent="0.3">
      <c r="A685" s="2" t="s">
        <v>3554</v>
      </c>
      <c r="B685">
        <v>1</v>
      </c>
      <c r="C685">
        <v>0.161</v>
      </c>
    </row>
    <row r="686" spans="1:3" x14ac:dyDescent="0.3">
      <c r="A686" s="2" t="s">
        <v>3555</v>
      </c>
      <c r="B686">
        <v>1</v>
      </c>
      <c r="C686">
        <v>0.161</v>
      </c>
    </row>
    <row r="687" spans="1:3" x14ac:dyDescent="0.3">
      <c r="A687" s="2" t="s">
        <v>3556</v>
      </c>
      <c r="B687">
        <v>1</v>
      </c>
      <c r="C687">
        <v>0.161</v>
      </c>
    </row>
    <row r="688" spans="1:3" x14ac:dyDescent="0.3">
      <c r="A688" s="2" t="s">
        <v>3557</v>
      </c>
      <c r="B688">
        <v>1</v>
      </c>
      <c r="C688">
        <v>0.161</v>
      </c>
    </row>
    <row r="689" spans="1:3" x14ac:dyDescent="0.3">
      <c r="A689" s="2" t="s">
        <v>3558</v>
      </c>
      <c r="B689">
        <v>1</v>
      </c>
      <c r="C689">
        <v>0.161</v>
      </c>
    </row>
    <row r="690" spans="1:3" x14ac:dyDescent="0.3">
      <c r="A690" s="2" t="s">
        <v>3559</v>
      </c>
      <c r="B690">
        <v>1</v>
      </c>
      <c r="C690">
        <v>0.161</v>
      </c>
    </row>
    <row r="691" spans="1:3" x14ac:dyDescent="0.3">
      <c r="A691" s="2" t="s">
        <v>3560</v>
      </c>
      <c r="B691">
        <v>1</v>
      </c>
      <c r="C691">
        <v>0.161</v>
      </c>
    </row>
    <row r="692" spans="1:3" x14ac:dyDescent="0.3">
      <c r="A692" s="2" t="s">
        <v>3561</v>
      </c>
      <c r="B692">
        <v>1</v>
      </c>
      <c r="C692">
        <v>0.161</v>
      </c>
    </row>
    <row r="693" spans="1:3" x14ac:dyDescent="0.3">
      <c r="A693" s="2" t="s">
        <v>3562</v>
      </c>
      <c r="B693">
        <v>1</v>
      </c>
      <c r="C693">
        <v>0.161</v>
      </c>
    </row>
    <row r="694" spans="1:3" x14ac:dyDescent="0.3">
      <c r="A694" s="2" t="s">
        <v>3563</v>
      </c>
      <c r="B694">
        <v>1</v>
      </c>
      <c r="C694">
        <v>0.161</v>
      </c>
    </row>
    <row r="695" spans="1:3" x14ac:dyDescent="0.3">
      <c r="A695" s="2" t="s">
        <v>3564</v>
      </c>
      <c r="B695">
        <v>1</v>
      </c>
      <c r="C695">
        <v>0.161</v>
      </c>
    </row>
    <row r="696" spans="1:3" x14ac:dyDescent="0.3">
      <c r="A696" s="2" t="s">
        <v>3565</v>
      </c>
      <c r="B696">
        <v>1</v>
      </c>
      <c r="C696">
        <v>0.161</v>
      </c>
    </row>
    <row r="697" spans="1:3" x14ac:dyDescent="0.3">
      <c r="A697" s="2" t="s">
        <v>3566</v>
      </c>
      <c r="B697">
        <v>1</v>
      </c>
      <c r="C697">
        <v>0.161</v>
      </c>
    </row>
    <row r="698" spans="1:3" x14ac:dyDescent="0.3">
      <c r="A698" s="2" t="s">
        <v>3567</v>
      </c>
      <c r="B698">
        <v>1</v>
      </c>
      <c r="C698">
        <v>0.161</v>
      </c>
    </row>
    <row r="699" spans="1:3" x14ac:dyDescent="0.3">
      <c r="A699" s="2" t="s">
        <v>3568</v>
      </c>
      <c r="B699">
        <v>1</v>
      </c>
      <c r="C699">
        <v>0.161</v>
      </c>
    </row>
    <row r="700" spans="1:3" x14ac:dyDescent="0.3">
      <c r="A700" s="2" t="s">
        <v>3569</v>
      </c>
      <c r="B700">
        <v>1</v>
      </c>
      <c r="C700">
        <v>0.161</v>
      </c>
    </row>
    <row r="701" spans="1:3" x14ac:dyDescent="0.3">
      <c r="A701" s="2" t="s">
        <v>3570</v>
      </c>
      <c r="B701">
        <v>1</v>
      </c>
      <c r="C701">
        <v>0.161</v>
      </c>
    </row>
    <row r="702" spans="1:3" x14ac:dyDescent="0.3">
      <c r="A702" s="2" t="s">
        <v>3571</v>
      </c>
      <c r="B702">
        <v>1</v>
      </c>
      <c r="C702">
        <v>0.161</v>
      </c>
    </row>
    <row r="703" spans="1:3" x14ac:dyDescent="0.3">
      <c r="A703" s="2" t="s">
        <v>3572</v>
      </c>
      <c r="B703">
        <v>1</v>
      </c>
      <c r="C703">
        <v>0.161</v>
      </c>
    </row>
    <row r="704" spans="1:3" x14ac:dyDescent="0.3">
      <c r="A704" s="2" t="s">
        <v>3573</v>
      </c>
      <c r="B704">
        <v>1</v>
      </c>
      <c r="C704">
        <v>0.161</v>
      </c>
    </row>
    <row r="705" spans="1:3" x14ac:dyDescent="0.3">
      <c r="A705" s="2" t="s">
        <v>3574</v>
      </c>
      <c r="B705">
        <v>1</v>
      </c>
      <c r="C705">
        <v>0.161</v>
      </c>
    </row>
    <row r="706" spans="1:3" x14ac:dyDescent="0.3">
      <c r="A706" s="2" t="s">
        <v>3575</v>
      </c>
      <c r="B706">
        <v>1</v>
      </c>
      <c r="C706">
        <v>0.161</v>
      </c>
    </row>
    <row r="707" spans="1:3" x14ac:dyDescent="0.3">
      <c r="A707" s="2" t="s">
        <v>3576</v>
      </c>
      <c r="B707">
        <v>1</v>
      </c>
      <c r="C707">
        <v>0.161</v>
      </c>
    </row>
    <row r="708" spans="1:3" x14ac:dyDescent="0.3">
      <c r="A708" s="2" t="s">
        <v>3577</v>
      </c>
      <c r="B708">
        <v>1</v>
      </c>
      <c r="C708">
        <v>0.161</v>
      </c>
    </row>
    <row r="709" spans="1:3" x14ac:dyDescent="0.3">
      <c r="A709" s="2" t="s">
        <v>3578</v>
      </c>
      <c r="B709">
        <v>1</v>
      </c>
      <c r="C709">
        <v>0.161</v>
      </c>
    </row>
    <row r="710" spans="1:3" ht="28.8" x14ac:dyDescent="0.3">
      <c r="A710" s="2" t="s">
        <v>3579</v>
      </c>
      <c r="B710">
        <v>1</v>
      </c>
      <c r="C710">
        <v>0.161</v>
      </c>
    </row>
    <row r="711" spans="1:3" ht="28.8" x14ac:dyDescent="0.3">
      <c r="A711" s="2" t="s">
        <v>3580</v>
      </c>
      <c r="B711">
        <v>1</v>
      </c>
      <c r="C711">
        <v>0.161</v>
      </c>
    </row>
    <row r="712" spans="1:3" x14ac:dyDescent="0.3">
      <c r="A712" s="2" t="s">
        <v>3581</v>
      </c>
      <c r="B712">
        <v>1</v>
      </c>
      <c r="C712">
        <v>0.161</v>
      </c>
    </row>
    <row r="713" spans="1:3" x14ac:dyDescent="0.3">
      <c r="A713" s="2" t="s">
        <v>3582</v>
      </c>
      <c r="B713">
        <v>1</v>
      </c>
      <c r="C713">
        <v>0.161</v>
      </c>
    </row>
    <row r="714" spans="1:3" x14ac:dyDescent="0.3">
      <c r="A714" s="2" t="s">
        <v>3583</v>
      </c>
      <c r="B714">
        <v>1</v>
      </c>
      <c r="C714">
        <v>0.161</v>
      </c>
    </row>
    <row r="715" spans="1:3" ht="28.8" x14ac:dyDescent="0.3">
      <c r="A715" s="2" t="s">
        <v>3584</v>
      </c>
      <c r="B715">
        <v>1</v>
      </c>
      <c r="C715">
        <v>0.161</v>
      </c>
    </row>
    <row r="716" spans="1:3" x14ac:dyDescent="0.3">
      <c r="A716" s="2" t="s">
        <v>3585</v>
      </c>
      <c r="B716">
        <v>1</v>
      </c>
      <c r="C716">
        <v>0.161</v>
      </c>
    </row>
    <row r="717" spans="1:3" x14ac:dyDescent="0.3">
      <c r="A717" s="2" t="s">
        <v>3586</v>
      </c>
      <c r="B717">
        <v>1</v>
      </c>
      <c r="C717">
        <v>0.161</v>
      </c>
    </row>
    <row r="718" spans="1:3" x14ac:dyDescent="0.3">
      <c r="A718" s="2" t="s">
        <v>3587</v>
      </c>
      <c r="B718">
        <v>1</v>
      </c>
      <c r="C718">
        <v>0.161</v>
      </c>
    </row>
    <row r="719" spans="1:3" x14ac:dyDescent="0.3">
      <c r="A719" s="2" t="s">
        <v>3588</v>
      </c>
      <c r="B719">
        <v>1</v>
      </c>
      <c r="C719">
        <v>0.161</v>
      </c>
    </row>
    <row r="720" spans="1:3" x14ac:dyDescent="0.3">
      <c r="A720" s="2" t="s">
        <v>3589</v>
      </c>
      <c r="B720">
        <v>1</v>
      </c>
      <c r="C720">
        <v>0.161</v>
      </c>
    </row>
    <row r="721" spans="1:3" x14ac:dyDescent="0.3">
      <c r="A721" s="2" t="s">
        <v>3590</v>
      </c>
      <c r="B721">
        <v>1</v>
      </c>
      <c r="C721">
        <v>0.161</v>
      </c>
    </row>
    <row r="722" spans="1:3" x14ac:dyDescent="0.3">
      <c r="A722" s="2" t="s">
        <v>3591</v>
      </c>
      <c r="B722">
        <v>1</v>
      </c>
      <c r="C722">
        <v>0.161</v>
      </c>
    </row>
    <row r="723" spans="1:3" x14ac:dyDescent="0.3">
      <c r="A723" s="2" t="s">
        <v>3592</v>
      </c>
      <c r="B723">
        <v>1</v>
      </c>
      <c r="C723">
        <v>0.161</v>
      </c>
    </row>
    <row r="724" spans="1:3" x14ac:dyDescent="0.3">
      <c r="A724" s="2" t="s">
        <v>3593</v>
      </c>
      <c r="B724">
        <v>1</v>
      </c>
      <c r="C724">
        <v>0.161</v>
      </c>
    </row>
    <row r="725" spans="1:3" x14ac:dyDescent="0.3">
      <c r="A725" s="2" t="s">
        <v>3594</v>
      </c>
      <c r="B725">
        <v>1</v>
      </c>
      <c r="C725">
        <v>0.161</v>
      </c>
    </row>
    <row r="726" spans="1:3" x14ac:dyDescent="0.3">
      <c r="A726" s="2" t="s">
        <v>3595</v>
      </c>
      <c r="B726">
        <v>1</v>
      </c>
      <c r="C726">
        <v>0.161</v>
      </c>
    </row>
    <row r="727" spans="1:3" x14ac:dyDescent="0.3">
      <c r="A727" s="2" t="s">
        <v>3596</v>
      </c>
      <c r="B727">
        <v>1</v>
      </c>
      <c r="C727">
        <v>0.161</v>
      </c>
    </row>
    <row r="728" spans="1:3" x14ac:dyDescent="0.3">
      <c r="A728" s="2" t="s">
        <v>3597</v>
      </c>
      <c r="B728">
        <v>1</v>
      </c>
      <c r="C728">
        <v>0.161</v>
      </c>
    </row>
    <row r="729" spans="1:3" x14ac:dyDescent="0.3">
      <c r="A729" s="2" t="s">
        <v>3598</v>
      </c>
      <c r="B729">
        <v>1</v>
      </c>
      <c r="C729">
        <v>0.161</v>
      </c>
    </row>
    <row r="730" spans="1:3" x14ac:dyDescent="0.3">
      <c r="A730" s="2" t="s">
        <v>3599</v>
      </c>
      <c r="B730">
        <v>1</v>
      </c>
      <c r="C730">
        <v>0.161</v>
      </c>
    </row>
    <row r="731" spans="1:3" x14ac:dyDescent="0.3">
      <c r="A731" s="2" t="s">
        <v>3600</v>
      </c>
      <c r="B731">
        <v>1</v>
      </c>
      <c r="C731">
        <v>0.161</v>
      </c>
    </row>
    <row r="732" spans="1:3" x14ac:dyDescent="0.3">
      <c r="A732" s="2" t="s">
        <v>3601</v>
      </c>
      <c r="B732">
        <v>1</v>
      </c>
      <c r="C732">
        <v>0.161</v>
      </c>
    </row>
    <row r="733" spans="1:3" x14ac:dyDescent="0.3">
      <c r="A733" s="2" t="s">
        <v>3602</v>
      </c>
      <c r="B733">
        <v>1</v>
      </c>
      <c r="C733">
        <v>0.161</v>
      </c>
    </row>
    <row r="734" spans="1:3" x14ac:dyDescent="0.3">
      <c r="A734" s="2" t="s">
        <v>3603</v>
      </c>
      <c r="B734">
        <v>1</v>
      </c>
      <c r="C734">
        <v>0.161</v>
      </c>
    </row>
    <row r="735" spans="1:3" x14ac:dyDescent="0.3">
      <c r="A735" s="2" t="s">
        <v>3604</v>
      </c>
      <c r="B735">
        <v>1</v>
      </c>
      <c r="C735">
        <v>0.161</v>
      </c>
    </row>
    <row r="736" spans="1:3" x14ac:dyDescent="0.3">
      <c r="A736" s="2" t="s">
        <v>3605</v>
      </c>
      <c r="B736">
        <v>1</v>
      </c>
      <c r="C736">
        <v>0.161</v>
      </c>
    </row>
    <row r="737" spans="1:3" x14ac:dyDescent="0.3">
      <c r="A737" s="2" t="s">
        <v>3606</v>
      </c>
      <c r="B737">
        <v>1</v>
      </c>
      <c r="C737">
        <v>0.161</v>
      </c>
    </row>
    <row r="738" spans="1:3" x14ac:dyDescent="0.3">
      <c r="A738" s="2" t="s">
        <v>3607</v>
      </c>
      <c r="B738">
        <v>1</v>
      </c>
      <c r="C738">
        <v>0.161</v>
      </c>
    </row>
    <row r="739" spans="1:3" x14ac:dyDescent="0.3">
      <c r="A739" s="2" t="s">
        <v>3608</v>
      </c>
      <c r="B739">
        <v>1</v>
      </c>
      <c r="C739">
        <v>0.161</v>
      </c>
    </row>
    <row r="740" spans="1:3" x14ac:dyDescent="0.3">
      <c r="A740" s="2" t="s">
        <v>3609</v>
      </c>
      <c r="B740">
        <v>1</v>
      </c>
      <c r="C740">
        <v>0.161</v>
      </c>
    </row>
    <row r="741" spans="1:3" x14ac:dyDescent="0.3">
      <c r="A741" s="2" t="s">
        <v>3610</v>
      </c>
      <c r="B741">
        <v>1</v>
      </c>
      <c r="C741">
        <v>0.161</v>
      </c>
    </row>
    <row r="742" spans="1:3" x14ac:dyDescent="0.3">
      <c r="A742" s="2" t="s">
        <v>3611</v>
      </c>
      <c r="B742">
        <v>1</v>
      </c>
      <c r="C742">
        <v>0.161</v>
      </c>
    </row>
    <row r="743" spans="1:3" x14ac:dyDescent="0.3">
      <c r="A743" s="2" t="s">
        <v>3612</v>
      </c>
      <c r="B743">
        <v>1</v>
      </c>
      <c r="C743">
        <v>0.161</v>
      </c>
    </row>
    <row r="744" spans="1:3" x14ac:dyDescent="0.3">
      <c r="A744" s="2" t="s">
        <v>3613</v>
      </c>
      <c r="B744">
        <v>1</v>
      </c>
      <c r="C744">
        <v>0.161</v>
      </c>
    </row>
    <row r="745" spans="1:3" x14ac:dyDescent="0.3">
      <c r="A745" s="2" t="s">
        <v>3614</v>
      </c>
      <c r="B745">
        <v>1</v>
      </c>
      <c r="C745">
        <v>0.161</v>
      </c>
    </row>
    <row r="746" spans="1:3" x14ac:dyDescent="0.3">
      <c r="A746" s="2" t="s">
        <v>3615</v>
      </c>
      <c r="B746">
        <v>1</v>
      </c>
      <c r="C746">
        <v>0.161</v>
      </c>
    </row>
    <row r="747" spans="1:3" x14ac:dyDescent="0.3">
      <c r="A747" s="2" t="s">
        <v>3616</v>
      </c>
      <c r="B747">
        <v>1</v>
      </c>
      <c r="C747">
        <v>0.161</v>
      </c>
    </row>
    <row r="748" spans="1:3" x14ac:dyDescent="0.3">
      <c r="A748" s="2" t="s">
        <v>3617</v>
      </c>
      <c r="B748">
        <v>1</v>
      </c>
      <c r="C748">
        <v>0.161</v>
      </c>
    </row>
    <row r="749" spans="1:3" x14ac:dyDescent="0.3">
      <c r="A749" s="2" t="s">
        <v>3618</v>
      </c>
      <c r="B749">
        <v>1</v>
      </c>
      <c r="C749">
        <v>0.161</v>
      </c>
    </row>
    <row r="750" spans="1:3" ht="28.8" x14ac:dyDescent="0.3">
      <c r="A750" s="2" t="s">
        <v>3619</v>
      </c>
      <c r="B750">
        <v>1</v>
      </c>
      <c r="C750">
        <v>0.161</v>
      </c>
    </row>
    <row r="751" spans="1:3" x14ac:dyDescent="0.3">
      <c r="A751" s="2" t="s">
        <v>3620</v>
      </c>
      <c r="B751">
        <v>1</v>
      </c>
      <c r="C751">
        <v>0.161</v>
      </c>
    </row>
    <row r="752" spans="1:3" x14ac:dyDescent="0.3">
      <c r="A752" s="2" t="s">
        <v>3621</v>
      </c>
      <c r="B752">
        <v>1</v>
      </c>
      <c r="C752">
        <v>0.161</v>
      </c>
    </row>
    <row r="753" spans="1:3" x14ac:dyDescent="0.3">
      <c r="A753" s="2" t="s">
        <v>3622</v>
      </c>
      <c r="B753">
        <v>1</v>
      </c>
      <c r="C753">
        <v>0.161</v>
      </c>
    </row>
    <row r="754" spans="1:3" x14ac:dyDescent="0.3">
      <c r="A754" s="2" t="s">
        <v>3623</v>
      </c>
      <c r="B754">
        <v>1</v>
      </c>
      <c r="C754">
        <v>0.161</v>
      </c>
    </row>
    <row r="755" spans="1:3" x14ac:dyDescent="0.3">
      <c r="A755" s="2" t="s">
        <v>3624</v>
      </c>
      <c r="B755">
        <v>1</v>
      </c>
      <c r="C755">
        <v>0.161</v>
      </c>
    </row>
    <row r="756" spans="1:3" x14ac:dyDescent="0.3">
      <c r="A756" s="2" t="s">
        <v>3625</v>
      </c>
      <c r="B756">
        <v>1</v>
      </c>
      <c r="C756">
        <v>0.161</v>
      </c>
    </row>
    <row r="757" spans="1:3" x14ac:dyDescent="0.3">
      <c r="A757" s="2" t="s">
        <v>3626</v>
      </c>
      <c r="B757">
        <v>1</v>
      </c>
      <c r="C757">
        <v>0.161</v>
      </c>
    </row>
    <row r="758" spans="1:3" x14ac:dyDescent="0.3">
      <c r="A758" s="2" t="s">
        <v>3627</v>
      </c>
      <c r="B758">
        <v>1</v>
      </c>
      <c r="C758">
        <v>0.161</v>
      </c>
    </row>
    <row r="759" spans="1:3" x14ac:dyDescent="0.3">
      <c r="A759" s="2" t="s">
        <v>3628</v>
      </c>
      <c r="B759">
        <v>1</v>
      </c>
      <c r="C759">
        <v>0.161</v>
      </c>
    </row>
    <row r="760" spans="1:3" x14ac:dyDescent="0.3">
      <c r="A760" s="2" t="s">
        <v>3629</v>
      </c>
      <c r="B760">
        <v>1</v>
      </c>
      <c r="C760">
        <v>0.161</v>
      </c>
    </row>
    <row r="761" spans="1:3" x14ac:dyDescent="0.3">
      <c r="A761" s="2" t="s">
        <v>3630</v>
      </c>
      <c r="B761">
        <v>1</v>
      </c>
      <c r="C761">
        <v>0.161</v>
      </c>
    </row>
    <row r="762" spans="1:3" x14ac:dyDescent="0.3">
      <c r="A762" s="2" t="s">
        <v>3631</v>
      </c>
      <c r="B762">
        <v>1</v>
      </c>
      <c r="C762">
        <v>0.161</v>
      </c>
    </row>
    <row r="763" spans="1:3" x14ac:dyDescent="0.3">
      <c r="A763" s="2" t="s">
        <v>3632</v>
      </c>
      <c r="B763">
        <v>1</v>
      </c>
      <c r="C763">
        <v>0.161</v>
      </c>
    </row>
    <row r="764" spans="1:3" x14ac:dyDescent="0.3">
      <c r="A764" s="2" t="s">
        <v>3633</v>
      </c>
      <c r="B764">
        <v>1</v>
      </c>
      <c r="C764">
        <v>0.161</v>
      </c>
    </row>
    <row r="765" spans="1:3" x14ac:dyDescent="0.3">
      <c r="A765" s="2" t="s">
        <v>3634</v>
      </c>
      <c r="B765">
        <v>1</v>
      </c>
      <c r="C765">
        <v>0.161</v>
      </c>
    </row>
    <row r="766" spans="1:3" x14ac:dyDescent="0.3">
      <c r="A766" s="2" t="s">
        <v>3635</v>
      </c>
      <c r="B766">
        <v>1</v>
      </c>
      <c r="C766">
        <v>0.161</v>
      </c>
    </row>
    <row r="767" spans="1:3" x14ac:dyDescent="0.3">
      <c r="A767" s="2" t="s">
        <v>3636</v>
      </c>
      <c r="B767">
        <v>1</v>
      </c>
      <c r="C767">
        <v>0.161</v>
      </c>
    </row>
    <row r="768" spans="1:3" x14ac:dyDescent="0.3">
      <c r="A768" s="2" t="s">
        <v>3637</v>
      </c>
      <c r="B768">
        <v>1</v>
      </c>
      <c r="C768">
        <v>0.161</v>
      </c>
    </row>
    <row r="769" spans="1:3" x14ac:dyDescent="0.3">
      <c r="A769" s="2" t="s">
        <v>3638</v>
      </c>
      <c r="B769">
        <v>1</v>
      </c>
      <c r="C769">
        <v>0.161</v>
      </c>
    </row>
    <row r="770" spans="1:3" ht="28.8" x14ac:dyDescent="0.3">
      <c r="A770" s="2" t="s">
        <v>3639</v>
      </c>
      <c r="B770">
        <v>1</v>
      </c>
      <c r="C770">
        <v>0.161</v>
      </c>
    </row>
    <row r="771" spans="1:3" x14ac:dyDescent="0.3">
      <c r="A771" s="2" t="s">
        <v>3640</v>
      </c>
      <c r="B771">
        <v>1</v>
      </c>
      <c r="C771">
        <v>0.161</v>
      </c>
    </row>
    <row r="772" spans="1:3" x14ac:dyDescent="0.3">
      <c r="A772" s="2" t="s">
        <v>3641</v>
      </c>
      <c r="B772">
        <v>1</v>
      </c>
      <c r="C772">
        <v>0.161</v>
      </c>
    </row>
    <row r="773" spans="1:3" x14ac:dyDescent="0.3">
      <c r="A773" s="2" t="s">
        <v>3642</v>
      </c>
      <c r="B773">
        <v>1</v>
      </c>
      <c r="C773">
        <v>0.161</v>
      </c>
    </row>
    <row r="774" spans="1:3" x14ac:dyDescent="0.3">
      <c r="A774" s="2" t="s">
        <v>3643</v>
      </c>
      <c r="B774">
        <v>1</v>
      </c>
      <c r="C774">
        <v>0.161</v>
      </c>
    </row>
    <row r="775" spans="1:3" x14ac:dyDescent="0.3">
      <c r="A775" s="2" t="s">
        <v>3644</v>
      </c>
      <c r="B775">
        <v>1</v>
      </c>
      <c r="C775">
        <v>0.161</v>
      </c>
    </row>
    <row r="776" spans="1:3" x14ac:dyDescent="0.3">
      <c r="A776" s="2" t="s">
        <v>3645</v>
      </c>
      <c r="B776">
        <v>1</v>
      </c>
      <c r="C776">
        <v>0.161</v>
      </c>
    </row>
    <row r="777" spans="1:3" x14ac:dyDescent="0.3">
      <c r="A777" s="2" t="s">
        <v>3646</v>
      </c>
      <c r="B777">
        <v>1</v>
      </c>
      <c r="C777">
        <v>0.161</v>
      </c>
    </row>
    <row r="778" spans="1:3" x14ac:dyDescent="0.3">
      <c r="A778" s="2" t="s">
        <v>3647</v>
      </c>
      <c r="B778">
        <v>1</v>
      </c>
      <c r="C778">
        <v>0.161</v>
      </c>
    </row>
    <row r="779" spans="1:3" x14ac:dyDescent="0.3">
      <c r="A779" s="2" t="s">
        <v>3648</v>
      </c>
      <c r="B779">
        <v>1</v>
      </c>
      <c r="C779">
        <v>0.161</v>
      </c>
    </row>
    <row r="780" spans="1:3" x14ac:dyDescent="0.3">
      <c r="A780" s="2" t="s">
        <v>3649</v>
      </c>
      <c r="B780">
        <v>1</v>
      </c>
      <c r="C780">
        <v>0.161</v>
      </c>
    </row>
    <row r="781" spans="1:3" x14ac:dyDescent="0.3">
      <c r="A781" s="2" t="s">
        <v>3650</v>
      </c>
      <c r="B781">
        <v>1</v>
      </c>
      <c r="C781">
        <v>0.161</v>
      </c>
    </row>
    <row r="782" spans="1:3" x14ac:dyDescent="0.3">
      <c r="A782" s="2" t="s">
        <v>3651</v>
      </c>
      <c r="B782">
        <v>1</v>
      </c>
      <c r="C782">
        <v>0.161</v>
      </c>
    </row>
    <row r="783" spans="1:3" x14ac:dyDescent="0.3">
      <c r="A783" s="2" t="s">
        <v>3652</v>
      </c>
      <c r="B783">
        <v>1</v>
      </c>
      <c r="C783">
        <v>0.161</v>
      </c>
    </row>
    <row r="784" spans="1:3" x14ac:dyDescent="0.3">
      <c r="A784" s="2" t="s">
        <v>3653</v>
      </c>
      <c r="B784">
        <v>1</v>
      </c>
      <c r="C784">
        <v>0.161</v>
      </c>
    </row>
    <row r="785" spans="1:3" x14ac:dyDescent="0.3">
      <c r="A785" s="2" t="s">
        <v>3654</v>
      </c>
      <c r="B785">
        <v>1</v>
      </c>
      <c r="C785">
        <v>0.161</v>
      </c>
    </row>
    <row r="786" spans="1:3" x14ac:dyDescent="0.3">
      <c r="A786" s="2" t="s">
        <v>3655</v>
      </c>
      <c r="B786">
        <v>1</v>
      </c>
      <c r="C786">
        <v>0.161</v>
      </c>
    </row>
    <row r="787" spans="1:3" x14ac:dyDescent="0.3">
      <c r="A787" s="2" t="s">
        <v>3656</v>
      </c>
      <c r="B787">
        <v>1</v>
      </c>
      <c r="C787">
        <v>0.161</v>
      </c>
    </row>
    <row r="788" spans="1:3" x14ac:dyDescent="0.3">
      <c r="A788" s="2" t="s">
        <v>3657</v>
      </c>
      <c r="B788">
        <v>1</v>
      </c>
      <c r="C788">
        <v>0.161</v>
      </c>
    </row>
    <row r="789" spans="1:3" x14ac:dyDescent="0.3">
      <c r="A789" s="2" t="s">
        <v>3658</v>
      </c>
      <c r="B789">
        <v>1</v>
      </c>
      <c r="C789">
        <v>0.161</v>
      </c>
    </row>
    <row r="790" spans="1:3" x14ac:dyDescent="0.3">
      <c r="A790" s="2" t="s">
        <v>3659</v>
      </c>
      <c r="B790">
        <v>1</v>
      </c>
      <c r="C790">
        <v>0.161</v>
      </c>
    </row>
    <row r="791" spans="1:3" x14ac:dyDescent="0.3">
      <c r="A791" s="2" t="s">
        <v>3660</v>
      </c>
      <c r="B791">
        <v>1</v>
      </c>
      <c r="C791">
        <v>0.161</v>
      </c>
    </row>
    <row r="792" spans="1:3" x14ac:dyDescent="0.3">
      <c r="A792" s="2" t="s">
        <v>3661</v>
      </c>
      <c r="B792">
        <v>1</v>
      </c>
      <c r="C792">
        <v>0.161</v>
      </c>
    </row>
    <row r="793" spans="1:3" x14ac:dyDescent="0.3">
      <c r="A793" s="2" t="s">
        <v>3662</v>
      </c>
      <c r="B793">
        <v>1</v>
      </c>
      <c r="C793">
        <v>0.161</v>
      </c>
    </row>
    <row r="794" spans="1:3" ht="28.8" x14ac:dyDescent="0.3">
      <c r="A794" s="2" t="s">
        <v>3663</v>
      </c>
      <c r="B794">
        <v>1</v>
      </c>
      <c r="C794">
        <v>0.161</v>
      </c>
    </row>
    <row r="795" spans="1:3" x14ac:dyDescent="0.3">
      <c r="A795" s="2" t="s">
        <v>3664</v>
      </c>
      <c r="B795">
        <v>1</v>
      </c>
      <c r="C795">
        <v>0.161</v>
      </c>
    </row>
    <row r="796" spans="1:3" x14ac:dyDescent="0.3">
      <c r="A796" s="2" t="s">
        <v>3665</v>
      </c>
      <c r="B796">
        <v>1</v>
      </c>
      <c r="C796">
        <v>0.161</v>
      </c>
    </row>
    <row r="797" spans="1:3" x14ac:dyDescent="0.3">
      <c r="A797" s="2" t="s">
        <v>3666</v>
      </c>
      <c r="B797">
        <v>1</v>
      </c>
      <c r="C797">
        <v>0.161</v>
      </c>
    </row>
    <row r="798" spans="1:3" x14ac:dyDescent="0.3">
      <c r="A798" s="2" t="s">
        <v>3667</v>
      </c>
      <c r="B798">
        <v>1</v>
      </c>
      <c r="C798">
        <v>0.161</v>
      </c>
    </row>
    <row r="799" spans="1:3" x14ac:dyDescent="0.3">
      <c r="A799" s="2" t="s">
        <v>3668</v>
      </c>
      <c r="B799">
        <v>1</v>
      </c>
      <c r="C799">
        <v>0.161</v>
      </c>
    </row>
    <row r="800" spans="1:3" x14ac:dyDescent="0.3">
      <c r="A800" s="2" t="s">
        <v>3669</v>
      </c>
      <c r="B800">
        <v>1</v>
      </c>
      <c r="C800">
        <v>0.161</v>
      </c>
    </row>
    <row r="801" spans="1:3" x14ac:dyDescent="0.3">
      <c r="A801" s="2" t="s">
        <v>3670</v>
      </c>
      <c r="B801">
        <v>1</v>
      </c>
      <c r="C801">
        <v>0.161</v>
      </c>
    </row>
    <row r="802" spans="1:3" x14ac:dyDescent="0.3">
      <c r="A802" s="2" t="s">
        <v>3671</v>
      </c>
      <c r="B802">
        <v>1</v>
      </c>
      <c r="C802">
        <v>0.161</v>
      </c>
    </row>
    <row r="803" spans="1:3" x14ac:dyDescent="0.3">
      <c r="A803" s="2" t="s">
        <v>3672</v>
      </c>
      <c r="B803">
        <v>1</v>
      </c>
      <c r="C803">
        <v>0.161</v>
      </c>
    </row>
    <row r="804" spans="1:3" x14ac:dyDescent="0.3">
      <c r="A804" s="2" t="s">
        <v>3673</v>
      </c>
      <c r="B804">
        <v>1</v>
      </c>
      <c r="C804">
        <v>0.161</v>
      </c>
    </row>
    <row r="805" spans="1:3" x14ac:dyDescent="0.3">
      <c r="A805" s="2" t="s">
        <v>3674</v>
      </c>
      <c r="B805">
        <v>1</v>
      </c>
      <c r="C805">
        <v>0.161</v>
      </c>
    </row>
    <row r="806" spans="1:3" x14ac:dyDescent="0.3">
      <c r="A806" s="2" t="s">
        <v>3675</v>
      </c>
      <c r="B806">
        <v>1</v>
      </c>
      <c r="C806">
        <v>0.161</v>
      </c>
    </row>
    <row r="807" spans="1:3" x14ac:dyDescent="0.3">
      <c r="A807" s="2" t="s">
        <v>3676</v>
      </c>
      <c r="B807">
        <v>1</v>
      </c>
      <c r="C807">
        <v>0.161</v>
      </c>
    </row>
    <row r="808" spans="1:3" x14ac:dyDescent="0.3">
      <c r="A808" s="2" t="s">
        <v>3677</v>
      </c>
      <c r="B808">
        <v>1</v>
      </c>
      <c r="C808">
        <v>0.161</v>
      </c>
    </row>
    <row r="809" spans="1:3" x14ac:dyDescent="0.3">
      <c r="A809" s="2" t="s">
        <v>3678</v>
      </c>
      <c r="B809">
        <v>1</v>
      </c>
      <c r="C809">
        <v>0.161</v>
      </c>
    </row>
    <row r="810" spans="1:3" x14ac:dyDescent="0.3">
      <c r="A810" s="2" t="s">
        <v>3679</v>
      </c>
      <c r="B810">
        <v>1</v>
      </c>
      <c r="C810">
        <v>0.161</v>
      </c>
    </row>
    <row r="811" spans="1:3" x14ac:dyDescent="0.3">
      <c r="A811" s="2" t="s">
        <v>3680</v>
      </c>
      <c r="B811">
        <v>1</v>
      </c>
      <c r="C811">
        <v>0.161</v>
      </c>
    </row>
    <row r="812" spans="1:3" x14ac:dyDescent="0.3">
      <c r="A812" s="2" t="s">
        <v>3681</v>
      </c>
      <c r="B812">
        <v>1</v>
      </c>
      <c r="C812">
        <v>0.161</v>
      </c>
    </row>
    <row r="813" spans="1:3" x14ac:dyDescent="0.3">
      <c r="A813" s="2" t="s">
        <v>3682</v>
      </c>
      <c r="B813">
        <v>1</v>
      </c>
      <c r="C813">
        <v>0.161</v>
      </c>
    </row>
    <row r="814" spans="1:3" x14ac:dyDescent="0.3">
      <c r="A814" s="2" t="s">
        <v>3683</v>
      </c>
      <c r="B814">
        <v>1</v>
      </c>
      <c r="C814">
        <v>0.161</v>
      </c>
    </row>
    <row r="815" spans="1:3" x14ac:dyDescent="0.3">
      <c r="A815" s="2" t="s">
        <v>3684</v>
      </c>
      <c r="B815">
        <v>1</v>
      </c>
      <c r="C815">
        <v>0.161</v>
      </c>
    </row>
    <row r="816" spans="1:3" x14ac:dyDescent="0.3">
      <c r="A816" s="2" t="s">
        <v>3685</v>
      </c>
      <c r="B816">
        <v>1</v>
      </c>
      <c r="C816">
        <v>0.161</v>
      </c>
    </row>
    <row r="817" spans="1:3" x14ac:dyDescent="0.3">
      <c r="A817" s="2" t="s">
        <v>3686</v>
      </c>
      <c r="B817">
        <v>1</v>
      </c>
      <c r="C817">
        <v>0.161</v>
      </c>
    </row>
    <row r="818" spans="1:3" x14ac:dyDescent="0.3">
      <c r="A818" s="2" t="s">
        <v>3687</v>
      </c>
      <c r="B818">
        <v>1</v>
      </c>
      <c r="C818">
        <v>0.161</v>
      </c>
    </row>
    <row r="819" spans="1:3" x14ac:dyDescent="0.3">
      <c r="A819" s="2" t="s">
        <v>3688</v>
      </c>
      <c r="B819">
        <v>1</v>
      </c>
      <c r="C819">
        <v>0.161</v>
      </c>
    </row>
    <row r="820" spans="1:3" x14ac:dyDescent="0.3">
      <c r="A820" s="2" t="s">
        <v>3689</v>
      </c>
      <c r="B820">
        <v>1</v>
      </c>
      <c r="C820">
        <v>0.161</v>
      </c>
    </row>
    <row r="821" spans="1:3" x14ac:dyDescent="0.3">
      <c r="A821" s="2" t="s">
        <v>3690</v>
      </c>
      <c r="B821">
        <v>1</v>
      </c>
      <c r="C821">
        <v>0.161</v>
      </c>
    </row>
    <row r="822" spans="1:3" x14ac:dyDescent="0.3">
      <c r="A822" s="2" t="s">
        <v>3691</v>
      </c>
      <c r="B822">
        <v>1</v>
      </c>
      <c r="C822">
        <v>0.161</v>
      </c>
    </row>
    <row r="823" spans="1:3" x14ac:dyDescent="0.3">
      <c r="A823" s="2" t="s">
        <v>3692</v>
      </c>
      <c r="B823">
        <v>1</v>
      </c>
      <c r="C823">
        <v>0.161</v>
      </c>
    </row>
    <row r="824" spans="1:3" x14ac:dyDescent="0.3">
      <c r="A824" s="2" t="s">
        <v>3693</v>
      </c>
      <c r="B824">
        <v>1</v>
      </c>
      <c r="C824">
        <v>0.161</v>
      </c>
    </row>
    <row r="825" spans="1:3" x14ac:dyDescent="0.3">
      <c r="A825" s="2" t="s">
        <v>3694</v>
      </c>
      <c r="B825">
        <v>1</v>
      </c>
      <c r="C825">
        <v>0.161</v>
      </c>
    </row>
    <row r="826" spans="1:3" x14ac:dyDescent="0.3">
      <c r="A826" s="2" t="s">
        <v>3695</v>
      </c>
      <c r="B826">
        <v>1</v>
      </c>
      <c r="C826">
        <v>0.161</v>
      </c>
    </row>
    <row r="827" spans="1:3" x14ac:dyDescent="0.3">
      <c r="A827" s="2" t="s">
        <v>3696</v>
      </c>
      <c r="B827">
        <v>1</v>
      </c>
      <c r="C827">
        <v>0.161</v>
      </c>
    </row>
    <row r="828" spans="1:3" x14ac:dyDescent="0.3">
      <c r="A828" s="2" t="s">
        <v>3697</v>
      </c>
      <c r="B828">
        <v>1</v>
      </c>
      <c r="C828">
        <v>0.161</v>
      </c>
    </row>
    <row r="829" spans="1:3" x14ac:dyDescent="0.3">
      <c r="A829" s="2" t="s">
        <v>3698</v>
      </c>
      <c r="B829">
        <v>1</v>
      </c>
      <c r="C829">
        <v>0.161</v>
      </c>
    </row>
    <row r="830" spans="1:3" x14ac:dyDescent="0.3">
      <c r="A830" s="2" t="s">
        <v>3699</v>
      </c>
      <c r="B830">
        <v>1</v>
      </c>
      <c r="C830">
        <v>0.161</v>
      </c>
    </row>
    <row r="831" spans="1:3" x14ac:dyDescent="0.3">
      <c r="A831" s="2" t="s">
        <v>3700</v>
      </c>
      <c r="B831">
        <v>1</v>
      </c>
      <c r="C831">
        <v>0.161</v>
      </c>
    </row>
    <row r="832" spans="1:3" x14ac:dyDescent="0.3">
      <c r="A832" s="2" t="s">
        <v>3701</v>
      </c>
      <c r="B832">
        <v>1</v>
      </c>
      <c r="C832">
        <v>0.161</v>
      </c>
    </row>
    <row r="833" spans="1:3" x14ac:dyDescent="0.3">
      <c r="A833" s="2" t="s">
        <v>3702</v>
      </c>
      <c r="B833">
        <v>1</v>
      </c>
      <c r="C833">
        <v>0.161</v>
      </c>
    </row>
    <row r="834" spans="1:3" x14ac:dyDescent="0.3">
      <c r="A834" s="2" t="s">
        <v>3703</v>
      </c>
      <c r="B834">
        <v>1</v>
      </c>
      <c r="C834">
        <v>0.161</v>
      </c>
    </row>
    <row r="835" spans="1:3" x14ac:dyDescent="0.3">
      <c r="A835" s="2" t="s">
        <v>3704</v>
      </c>
      <c r="B835">
        <v>1</v>
      </c>
      <c r="C835">
        <v>0.161</v>
      </c>
    </row>
    <row r="836" spans="1:3" x14ac:dyDescent="0.3">
      <c r="A836" s="2" t="s">
        <v>3705</v>
      </c>
      <c r="B836">
        <v>1</v>
      </c>
      <c r="C836">
        <v>0.161</v>
      </c>
    </row>
    <row r="837" spans="1:3" x14ac:dyDescent="0.3">
      <c r="A837" s="2" t="s">
        <v>3706</v>
      </c>
      <c r="B837">
        <v>1</v>
      </c>
      <c r="C837">
        <v>0.161</v>
      </c>
    </row>
    <row r="838" spans="1:3" x14ac:dyDescent="0.3">
      <c r="A838" s="2" t="s">
        <v>3707</v>
      </c>
      <c r="B838">
        <v>1</v>
      </c>
      <c r="C838">
        <v>0.161</v>
      </c>
    </row>
    <row r="839" spans="1:3" x14ac:dyDescent="0.3">
      <c r="A839" s="2" t="s">
        <v>3708</v>
      </c>
      <c r="B839">
        <v>1</v>
      </c>
      <c r="C839">
        <v>0.161</v>
      </c>
    </row>
    <row r="840" spans="1:3" x14ac:dyDescent="0.3">
      <c r="A840" s="2" t="s">
        <v>3709</v>
      </c>
      <c r="B840">
        <v>1</v>
      </c>
      <c r="C840">
        <v>0.161</v>
      </c>
    </row>
    <row r="841" spans="1:3" x14ac:dyDescent="0.3">
      <c r="A841" s="2" t="s">
        <v>3710</v>
      </c>
      <c r="B841">
        <v>1</v>
      </c>
      <c r="C841">
        <v>0.161</v>
      </c>
    </row>
    <row r="842" spans="1:3" x14ac:dyDescent="0.3">
      <c r="A842" s="2" t="s">
        <v>3711</v>
      </c>
      <c r="B842">
        <v>1</v>
      </c>
      <c r="C842">
        <v>0.161</v>
      </c>
    </row>
    <row r="843" spans="1:3" x14ac:dyDescent="0.3">
      <c r="A843" s="2" t="s">
        <v>3712</v>
      </c>
      <c r="B843">
        <v>1</v>
      </c>
      <c r="C843">
        <v>0.161</v>
      </c>
    </row>
    <row r="844" spans="1:3" ht="28.8" x14ac:dyDescent="0.3">
      <c r="A844" s="2" t="s">
        <v>3713</v>
      </c>
      <c r="B844">
        <v>1</v>
      </c>
      <c r="C844">
        <v>0.161</v>
      </c>
    </row>
    <row r="845" spans="1:3" x14ac:dyDescent="0.3">
      <c r="A845" s="2" t="s">
        <v>3714</v>
      </c>
      <c r="B845">
        <v>1</v>
      </c>
      <c r="C845">
        <v>0.161</v>
      </c>
    </row>
    <row r="846" spans="1:3" x14ac:dyDescent="0.3">
      <c r="A846" s="2" t="s">
        <v>3715</v>
      </c>
      <c r="B846">
        <v>1</v>
      </c>
      <c r="C846">
        <v>0.161</v>
      </c>
    </row>
    <row r="847" spans="1:3" x14ac:dyDescent="0.3">
      <c r="A847" s="2" t="s">
        <v>3716</v>
      </c>
      <c r="B847">
        <v>1</v>
      </c>
      <c r="C847">
        <v>0.161</v>
      </c>
    </row>
    <row r="848" spans="1:3" x14ac:dyDescent="0.3">
      <c r="A848" s="2" t="s">
        <v>3717</v>
      </c>
      <c r="B848">
        <v>1</v>
      </c>
      <c r="C848">
        <v>0.161</v>
      </c>
    </row>
    <row r="849" spans="1:3" x14ac:dyDescent="0.3">
      <c r="A849" s="2" t="s">
        <v>3718</v>
      </c>
      <c r="B849">
        <v>1</v>
      </c>
      <c r="C849">
        <v>0.161</v>
      </c>
    </row>
    <row r="850" spans="1:3" x14ac:dyDescent="0.3">
      <c r="A850" s="2" t="s">
        <v>3719</v>
      </c>
      <c r="B850">
        <v>1</v>
      </c>
      <c r="C850">
        <v>0.161</v>
      </c>
    </row>
    <row r="851" spans="1:3" x14ac:dyDescent="0.3">
      <c r="A851" s="2" t="s">
        <v>3720</v>
      </c>
      <c r="B851">
        <v>1</v>
      </c>
      <c r="C851">
        <v>0.161</v>
      </c>
    </row>
    <row r="852" spans="1:3" x14ac:dyDescent="0.3">
      <c r="A852" s="2" t="s">
        <v>3721</v>
      </c>
      <c r="B852">
        <v>1</v>
      </c>
      <c r="C852">
        <v>0.161</v>
      </c>
    </row>
    <row r="853" spans="1:3" x14ac:dyDescent="0.3">
      <c r="A853" s="2" t="s">
        <v>3722</v>
      </c>
      <c r="B853">
        <v>1</v>
      </c>
      <c r="C853">
        <v>0.161</v>
      </c>
    </row>
    <row r="854" spans="1:3" x14ac:dyDescent="0.3">
      <c r="A854" s="2" t="s">
        <v>3723</v>
      </c>
      <c r="B854">
        <v>1</v>
      </c>
      <c r="C854">
        <v>0.161</v>
      </c>
    </row>
    <row r="855" spans="1:3" x14ac:dyDescent="0.3">
      <c r="A855" s="2" t="s">
        <v>3724</v>
      </c>
      <c r="B855">
        <v>1</v>
      </c>
      <c r="C855">
        <v>0.161</v>
      </c>
    </row>
    <row r="856" spans="1:3" x14ac:dyDescent="0.3">
      <c r="A856" s="2" t="s">
        <v>3725</v>
      </c>
      <c r="B856">
        <v>1</v>
      </c>
      <c r="C856">
        <v>0.161</v>
      </c>
    </row>
    <row r="857" spans="1:3" x14ac:dyDescent="0.3">
      <c r="A857" s="2" t="s">
        <v>3726</v>
      </c>
      <c r="B857">
        <v>1</v>
      </c>
      <c r="C857">
        <v>0.161</v>
      </c>
    </row>
    <row r="858" spans="1:3" x14ac:dyDescent="0.3">
      <c r="A858" s="2" t="s">
        <v>3727</v>
      </c>
      <c r="B858">
        <v>1</v>
      </c>
      <c r="C858">
        <v>0.161</v>
      </c>
    </row>
    <row r="859" spans="1:3" x14ac:dyDescent="0.3">
      <c r="A859" s="2" t="s">
        <v>3728</v>
      </c>
      <c r="B859">
        <v>1</v>
      </c>
      <c r="C859">
        <v>0.161</v>
      </c>
    </row>
    <row r="860" spans="1:3" x14ac:dyDescent="0.3">
      <c r="A860" s="2" t="s">
        <v>3729</v>
      </c>
      <c r="B860">
        <v>1</v>
      </c>
      <c r="C860">
        <v>0.161</v>
      </c>
    </row>
    <row r="861" spans="1:3" x14ac:dyDescent="0.3">
      <c r="A861" s="2" t="s">
        <v>3730</v>
      </c>
      <c r="B861">
        <v>1</v>
      </c>
      <c r="C861">
        <v>0.161</v>
      </c>
    </row>
    <row r="862" spans="1:3" x14ac:dyDescent="0.3">
      <c r="A862" s="2" t="s">
        <v>3731</v>
      </c>
      <c r="B862">
        <v>1</v>
      </c>
      <c r="C862">
        <v>0.161</v>
      </c>
    </row>
    <row r="863" spans="1:3" x14ac:dyDescent="0.3">
      <c r="A863" s="2" t="s">
        <v>3732</v>
      </c>
      <c r="B863">
        <v>1</v>
      </c>
      <c r="C863">
        <v>0.161</v>
      </c>
    </row>
    <row r="864" spans="1:3" x14ac:dyDescent="0.3">
      <c r="A864" s="2" t="s">
        <v>3733</v>
      </c>
      <c r="B864">
        <v>1</v>
      </c>
      <c r="C864">
        <v>0.161</v>
      </c>
    </row>
    <row r="865" spans="1:3" x14ac:dyDescent="0.3">
      <c r="A865" s="2" t="s">
        <v>3734</v>
      </c>
      <c r="B865">
        <v>1</v>
      </c>
      <c r="C865">
        <v>0.161</v>
      </c>
    </row>
    <row r="866" spans="1:3" x14ac:dyDescent="0.3">
      <c r="A866" s="2" t="s">
        <v>3735</v>
      </c>
      <c r="B866">
        <v>1</v>
      </c>
      <c r="C866">
        <v>0.161</v>
      </c>
    </row>
    <row r="867" spans="1:3" x14ac:dyDescent="0.3">
      <c r="A867" s="2" t="s">
        <v>3736</v>
      </c>
      <c r="B867">
        <v>1</v>
      </c>
      <c r="C867">
        <v>0.161</v>
      </c>
    </row>
    <row r="868" spans="1:3" x14ac:dyDescent="0.3">
      <c r="A868" s="2" t="s">
        <v>3737</v>
      </c>
      <c r="B868">
        <v>1</v>
      </c>
      <c r="C868">
        <v>0.161</v>
      </c>
    </row>
    <row r="869" spans="1:3" x14ac:dyDescent="0.3">
      <c r="A869" s="2" t="s">
        <v>3738</v>
      </c>
      <c r="B869">
        <v>1</v>
      </c>
      <c r="C869">
        <v>0.161</v>
      </c>
    </row>
    <row r="870" spans="1:3" x14ac:dyDescent="0.3">
      <c r="A870" s="2" t="s">
        <v>3739</v>
      </c>
      <c r="B870">
        <v>1</v>
      </c>
      <c r="C870">
        <v>0.161</v>
      </c>
    </row>
    <row r="871" spans="1:3" x14ac:dyDescent="0.3">
      <c r="A871" s="2" t="s">
        <v>3740</v>
      </c>
      <c r="B871">
        <v>1</v>
      </c>
      <c r="C871">
        <v>0.161</v>
      </c>
    </row>
    <row r="872" spans="1:3" x14ac:dyDescent="0.3">
      <c r="A872" s="2" t="s">
        <v>3741</v>
      </c>
      <c r="B872">
        <v>1</v>
      </c>
      <c r="C872">
        <v>0.161</v>
      </c>
    </row>
    <row r="873" spans="1:3" x14ac:dyDescent="0.3">
      <c r="A873" s="2" t="s">
        <v>3742</v>
      </c>
      <c r="B873">
        <v>1</v>
      </c>
      <c r="C873">
        <v>0.161</v>
      </c>
    </row>
    <row r="874" spans="1:3" x14ac:dyDescent="0.3">
      <c r="A874" s="2" t="s">
        <v>3743</v>
      </c>
      <c r="B874">
        <v>1</v>
      </c>
      <c r="C874">
        <v>0.161</v>
      </c>
    </row>
    <row r="875" spans="1:3" x14ac:dyDescent="0.3">
      <c r="A875" s="2" t="s">
        <v>3744</v>
      </c>
      <c r="B875">
        <v>1</v>
      </c>
      <c r="C875">
        <v>0.161</v>
      </c>
    </row>
    <row r="876" spans="1:3" x14ac:dyDescent="0.3">
      <c r="A876" s="2" t="s">
        <v>3745</v>
      </c>
      <c r="B876">
        <v>1</v>
      </c>
      <c r="C876">
        <v>0.161</v>
      </c>
    </row>
    <row r="877" spans="1:3" x14ac:dyDescent="0.3">
      <c r="A877" s="2" t="s">
        <v>3746</v>
      </c>
      <c r="B877">
        <v>1</v>
      </c>
      <c r="C877">
        <v>0.161</v>
      </c>
    </row>
    <row r="878" spans="1:3" x14ac:dyDescent="0.3">
      <c r="A878" s="2" t="s">
        <v>3747</v>
      </c>
      <c r="B878">
        <v>1</v>
      </c>
      <c r="C878">
        <v>0.161</v>
      </c>
    </row>
    <row r="879" spans="1:3" x14ac:dyDescent="0.3">
      <c r="A879" s="2" t="s">
        <v>3748</v>
      </c>
      <c r="B879">
        <v>1</v>
      </c>
      <c r="C879">
        <v>0.161</v>
      </c>
    </row>
    <row r="880" spans="1:3" x14ac:dyDescent="0.3">
      <c r="A880" s="2" t="s">
        <v>3749</v>
      </c>
      <c r="B880">
        <v>1</v>
      </c>
      <c r="C880">
        <v>0.161</v>
      </c>
    </row>
    <row r="881" spans="1:3" x14ac:dyDescent="0.3">
      <c r="A881" s="2" t="s">
        <v>3750</v>
      </c>
      <c r="B881">
        <v>1</v>
      </c>
      <c r="C881">
        <v>0.161</v>
      </c>
    </row>
    <row r="882" spans="1:3" x14ac:dyDescent="0.3">
      <c r="A882" s="2" t="s">
        <v>3751</v>
      </c>
      <c r="B882">
        <v>1</v>
      </c>
      <c r="C882">
        <v>0.161</v>
      </c>
    </row>
    <row r="883" spans="1:3" x14ac:dyDescent="0.3">
      <c r="A883" s="2" t="s">
        <v>3752</v>
      </c>
      <c r="B883">
        <v>1</v>
      </c>
      <c r="C883">
        <v>0.161</v>
      </c>
    </row>
    <row r="884" spans="1:3" x14ac:dyDescent="0.3">
      <c r="A884" s="2" t="s">
        <v>3753</v>
      </c>
      <c r="B884">
        <v>1</v>
      </c>
      <c r="C884">
        <v>0.161</v>
      </c>
    </row>
    <row r="885" spans="1:3" x14ac:dyDescent="0.3">
      <c r="A885" s="2" t="s">
        <v>3754</v>
      </c>
      <c r="B885">
        <v>1</v>
      </c>
      <c r="C885">
        <v>0.161</v>
      </c>
    </row>
    <row r="886" spans="1:3" x14ac:dyDescent="0.3">
      <c r="A886" s="2" t="s">
        <v>3755</v>
      </c>
      <c r="B886">
        <v>1</v>
      </c>
      <c r="C886">
        <v>0.161</v>
      </c>
    </row>
    <row r="887" spans="1:3" x14ac:dyDescent="0.3">
      <c r="A887" s="2" t="s">
        <v>3756</v>
      </c>
      <c r="B887">
        <v>1</v>
      </c>
      <c r="C887">
        <v>0.161</v>
      </c>
    </row>
    <row r="888" spans="1:3" x14ac:dyDescent="0.3">
      <c r="A888" s="2" t="s">
        <v>3757</v>
      </c>
      <c r="B888">
        <v>1</v>
      </c>
      <c r="C888">
        <v>0.161</v>
      </c>
    </row>
    <row r="889" spans="1:3" x14ac:dyDescent="0.3">
      <c r="A889" s="2" t="s">
        <v>3758</v>
      </c>
      <c r="B889">
        <v>1</v>
      </c>
      <c r="C889">
        <v>0.161</v>
      </c>
    </row>
    <row r="890" spans="1:3" x14ac:dyDescent="0.3">
      <c r="A890" s="2" t="s">
        <v>3759</v>
      </c>
      <c r="B890">
        <v>1</v>
      </c>
      <c r="C890">
        <v>0.161</v>
      </c>
    </row>
    <row r="891" spans="1:3" x14ac:dyDescent="0.3">
      <c r="A891" s="2" t="s">
        <v>3760</v>
      </c>
      <c r="B891">
        <v>1</v>
      </c>
      <c r="C891">
        <v>0.161</v>
      </c>
    </row>
    <row r="892" spans="1:3" x14ac:dyDescent="0.3">
      <c r="A892" s="2" t="s">
        <v>3761</v>
      </c>
      <c r="B892">
        <v>1</v>
      </c>
      <c r="C892">
        <v>0.161</v>
      </c>
    </row>
    <row r="893" spans="1:3" x14ac:dyDescent="0.3">
      <c r="A893" s="2" t="s">
        <v>3762</v>
      </c>
      <c r="B893">
        <v>1</v>
      </c>
      <c r="C893">
        <v>0.161</v>
      </c>
    </row>
    <row r="894" spans="1:3" ht="28.8" x14ac:dyDescent="0.3">
      <c r="A894" s="2" t="s">
        <v>3763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FD9C04-D92E-4BDF-8511-AA4A3061E1E7}">
  <dimension ref="A1:C346"/>
  <sheetViews>
    <sheetView workbookViewId="0">
      <selection activeCell="G7" sqref="G7"/>
    </sheetView>
  </sheetViews>
  <sheetFormatPr defaultRowHeight="14.4" x14ac:dyDescent="0.3"/>
  <cols>
    <col min="1" max="1" width="49.44140625" style="2" customWidth="1"/>
  </cols>
  <sheetData>
    <row r="1" spans="1:3" x14ac:dyDescent="0.3">
      <c r="A1" s="2" t="s">
        <v>3764</v>
      </c>
      <c r="B1" t="s">
        <v>4110</v>
      </c>
      <c r="C1" t="s">
        <v>2870</v>
      </c>
    </row>
    <row r="2" spans="1:3" ht="28.8" x14ac:dyDescent="0.3">
      <c r="A2" s="2" t="s">
        <v>3765</v>
      </c>
      <c r="B2">
        <v>5</v>
      </c>
      <c r="C2">
        <v>0.80300000000000005</v>
      </c>
    </row>
    <row r="3" spans="1:3" ht="28.8" x14ac:dyDescent="0.3">
      <c r="A3" s="2" t="s">
        <v>3766</v>
      </c>
      <c r="B3">
        <v>4</v>
      </c>
      <c r="C3">
        <v>0.64200000000000002</v>
      </c>
    </row>
    <row r="4" spans="1:3" ht="28.8" x14ac:dyDescent="0.3">
      <c r="A4" s="2" t="s">
        <v>3767</v>
      </c>
      <c r="B4">
        <v>4</v>
      </c>
      <c r="C4">
        <v>0.64200000000000002</v>
      </c>
    </row>
    <row r="5" spans="1:3" ht="28.8" x14ac:dyDescent="0.3">
      <c r="A5" s="2" t="s">
        <v>3768</v>
      </c>
      <c r="B5">
        <v>4</v>
      </c>
      <c r="C5">
        <v>0.64200000000000002</v>
      </c>
    </row>
    <row r="6" spans="1:3" x14ac:dyDescent="0.3">
      <c r="A6" s="2" t="s">
        <v>3769</v>
      </c>
      <c r="B6">
        <v>3</v>
      </c>
      <c r="C6">
        <v>0.48199999999999998</v>
      </c>
    </row>
    <row r="7" spans="1:3" ht="28.8" x14ac:dyDescent="0.3">
      <c r="A7" s="2" t="s">
        <v>3770</v>
      </c>
      <c r="B7">
        <v>3</v>
      </c>
      <c r="C7">
        <v>0.48199999999999998</v>
      </c>
    </row>
    <row r="8" spans="1:3" ht="28.8" x14ac:dyDescent="0.3">
      <c r="A8" s="2" t="s">
        <v>3771</v>
      </c>
      <c r="B8">
        <v>3</v>
      </c>
      <c r="C8">
        <v>0.48199999999999998</v>
      </c>
    </row>
    <row r="9" spans="1:3" x14ac:dyDescent="0.3">
      <c r="A9" s="2" t="s">
        <v>3772</v>
      </c>
      <c r="B9">
        <v>3</v>
      </c>
      <c r="C9">
        <v>0.48199999999999998</v>
      </c>
    </row>
    <row r="10" spans="1:3" ht="28.8" x14ac:dyDescent="0.3">
      <c r="A10" s="2" t="s">
        <v>3773</v>
      </c>
      <c r="B10">
        <v>3</v>
      </c>
      <c r="C10">
        <v>0.48199999999999998</v>
      </c>
    </row>
    <row r="11" spans="1:3" x14ac:dyDescent="0.3">
      <c r="A11" s="2" t="s">
        <v>3774</v>
      </c>
      <c r="B11">
        <v>3</v>
      </c>
      <c r="C11">
        <v>0.48199999999999998</v>
      </c>
    </row>
    <row r="12" spans="1:3" ht="28.8" x14ac:dyDescent="0.3">
      <c r="A12" s="2" t="s">
        <v>3775</v>
      </c>
      <c r="B12">
        <v>2</v>
      </c>
      <c r="C12">
        <v>0.32100000000000001</v>
      </c>
    </row>
    <row r="13" spans="1:3" ht="28.8" x14ac:dyDescent="0.3">
      <c r="A13" s="2" t="s">
        <v>3776</v>
      </c>
      <c r="B13">
        <v>2</v>
      </c>
      <c r="C13">
        <v>0.32100000000000001</v>
      </c>
    </row>
    <row r="14" spans="1:3" x14ac:dyDescent="0.3">
      <c r="A14" s="2" t="s">
        <v>3777</v>
      </c>
      <c r="B14">
        <v>2</v>
      </c>
      <c r="C14">
        <v>0.32100000000000001</v>
      </c>
    </row>
    <row r="15" spans="1:3" x14ac:dyDescent="0.3">
      <c r="A15" s="2" t="s">
        <v>3778</v>
      </c>
      <c r="B15">
        <v>2</v>
      </c>
      <c r="C15">
        <v>0.32100000000000001</v>
      </c>
    </row>
    <row r="16" spans="1:3" ht="28.8" x14ac:dyDescent="0.3">
      <c r="A16" s="2" t="s">
        <v>3779</v>
      </c>
      <c r="B16">
        <v>2</v>
      </c>
      <c r="C16">
        <v>0.32100000000000001</v>
      </c>
    </row>
    <row r="17" spans="1:3" x14ac:dyDescent="0.3">
      <c r="A17" s="2" t="s">
        <v>3780</v>
      </c>
      <c r="B17">
        <v>2</v>
      </c>
      <c r="C17">
        <v>0.32100000000000001</v>
      </c>
    </row>
    <row r="18" spans="1:3" x14ac:dyDescent="0.3">
      <c r="A18" s="2" t="s">
        <v>3781</v>
      </c>
      <c r="B18">
        <v>2</v>
      </c>
      <c r="C18">
        <v>0.32100000000000001</v>
      </c>
    </row>
    <row r="19" spans="1:3" x14ac:dyDescent="0.3">
      <c r="A19" s="2" t="s">
        <v>3782</v>
      </c>
      <c r="B19">
        <v>2</v>
      </c>
      <c r="C19">
        <v>0.32100000000000001</v>
      </c>
    </row>
    <row r="20" spans="1:3" x14ac:dyDescent="0.3">
      <c r="A20" s="2" t="s">
        <v>3783</v>
      </c>
      <c r="B20">
        <v>2</v>
      </c>
      <c r="C20">
        <v>0.32100000000000001</v>
      </c>
    </row>
    <row r="21" spans="1:3" ht="28.8" x14ac:dyDescent="0.3">
      <c r="A21" s="2" t="s">
        <v>3784</v>
      </c>
      <c r="B21">
        <v>2</v>
      </c>
      <c r="C21">
        <v>0.32100000000000001</v>
      </c>
    </row>
    <row r="22" spans="1:3" ht="28.8" x14ac:dyDescent="0.3">
      <c r="A22" s="2" t="s">
        <v>3785</v>
      </c>
      <c r="B22">
        <v>2</v>
      </c>
      <c r="C22">
        <v>0.32100000000000001</v>
      </c>
    </row>
    <row r="23" spans="1:3" x14ac:dyDescent="0.3">
      <c r="A23" s="2" t="s">
        <v>3786</v>
      </c>
      <c r="B23">
        <v>2</v>
      </c>
      <c r="C23">
        <v>0.32100000000000001</v>
      </c>
    </row>
    <row r="24" spans="1:3" ht="28.8" x14ac:dyDescent="0.3">
      <c r="A24" s="2" t="s">
        <v>3787</v>
      </c>
      <c r="B24">
        <v>2</v>
      </c>
      <c r="C24">
        <v>0.32100000000000001</v>
      </c>
    </row>
    <row r="25" spans="1:3" x14ac:dyDescent="0.3">
      <c r="A25" s="2" t="s">
        <v>3788</v>
      </c>
      <c r="B25">
        <v>2</v>
      </c>
      <c r="C25">
        <v>0.32100000000000001</v>
      </c>
    </row>
    <row r="26" spans="1:3" x14ac:dyDescent="0.3">
      <c r="A26" s="2" t="s">
        <v>3789</v>
      </c>
      <c r="B26">
        <v>2</v>
      </c>
      <c r="C26">
        <v>0.32100000000000001</v>
      </c>
    </row>
    <row r="27" spans="1:3" x14ac:dyDescent="0.3">
      <c r="A27" s="2" t="s">
        <v>3790</v>
      </c>
      <c r="B27">
        <v>2</v>
      </c>
      <c r="C27">
        <v>0.32100000000000001</v>
      </c>
    </row>
    <row r="28" spans="1:3" x14ac:dyDescent="0.3">
      <c r="A28" s="2" t="s">
        <v>3791</v>
      </c>
      <c r="B28">
        <v>2</v>
      </c>
      <c r="C28">
        <v>0.32100000000000001</v>
      </c>
    </row>
    <row r="29" spans="1:3" x14ac:dyDescent="0.3">
      <c r="A29" s="2" t="s">
        <v>3792</v>
      </c>
      <c r="B29">
        <v>2</v>
      </c>
      <c r="C29">
        <v>0.32100000000000001</v>
      </c>
    </row>
    <row r="30" spans="1:3" x14ac:dyDescent="0.3">
      <c r="A30" s="2" t="s">
        <v>3793</v>
      </c>
      <c r="B30">
        <v>2</v>
      </c>
      <c r="C30">
        <v>0.32100000000000001</v>
      </c>
    </row>
    <row r="31" spans="1:3" x14ac:dyDescent="0.3">
      <c r="A31" s="2" t="s">
        <v>3794</v>
      </c>
      <c r="B31">
        <v>2</v>
      </c>
      <c r="C31">
        <v>0.32100000000000001</v>
      </c>
    </row>
    <row r="32" spans="1:3" x14ac:dyDescent="0.3">
      <c r="A32" s="2" t="s">
        <v>3795</v>
      </c>
      <c r="B32">
        <v>2</v>
      </c>
      <c r="C32">
        <v>0.32100000000000001</v>
      </c>
    </row>
    <row r="33" spans="1:3" x14ac:dyDescent="0.3">
      <c r="A33" s="2" t="s">
        <v>3796</v>
      </c>
      <c r="B33">
        <v>1</v>
      </c>
      <c r="C33">
        <v>0.161</v>
      </c>
    </row>
    <row r="34" spans="1:3" ht="28.8" x14ac:dyDescent="0.3">
      <c r="A34" s="2" t="s">
        <v>3797</v>
      </c>
      <c r="B34">
        <v>1</v>
      </c>
      <c r="C34">
        <v>0.161</v>
      </c>
    </row>
    <row r="35" spans="1:3" ht="28.8" x14ac:dyDescent="0.3">
      <c r="A35" s="2" t="s">
        <v>3798</v>
      </c>
      <c r="B35">
        <v>1</v>
      </c>
      <c r="C35">
        <v>0.161</v>
      </c>
    </row>
    <row r="36" spans="1:3" x14ac:dyDescent="0.3">
      <c r="A36" s="2" t="s">
        <v>3799</v>
      </c>
      <c r="B36">
        <v>1</v>
      </c>
      <c r="C36">
        <v>0.161</v>
      </c>
    </row>
    <row r="37" spans="1:3" x14ac:dyDescent="0.3">
      <c r="A37" s="2" t="s">
        <v>3800</v>
      </c>
      <c r="B37">
        <v>1</v>
      </c>
      <c r="C37">
        <v>0.161</v>
      </c>
    </row>
    <row r="38" spans="1:3" ht="28.8" x14ac:dyDescent="0.3">
      <c r="A38" s="2" t="s">
        <v>3801</v>
      </c>
      <c r="B38">
        <v>1</v>
      </c>
      <c r="C38">
        <v>0.161</v>
      </c>
    </row>
    <row r="39" spans="1:3" x14ac:dyDescent="0.3">
      <c r="A39" s="2" t="s">
        <v>3802</v>
      </c>
      <c r="B39">
        <v>1</v>
      </c>
      <c r="C39">
        <v>0.161</v>
      </c>
    </row>
    <row r="40" spans="1:3" ht="28.8" x14ac:dyDescent="0.3">
      <c r="A40" s="2" t="s">
        <v>3803</v>
      </c>
      <c r="B40">
        <v>1</v>
      </c>
      <c r="C40">
        <v>0.161</v>
      </c>
    </row>
    <row r="41" spans="1:3" x14ac:dyDescent="0.3">
      <c r="A41" s="2" t="s">
        <v>3804</v>
      </c>
      <c r="B41">
        <v>1</v>
      </c>
      <c r="C41">
        <v>0.161</v>
      </c>
    </row>
    <row r="42" spans="1:3" ht="28.8" x14ac:dyDescent="0.3">
      <c r="A42" s="2" t="s">
        <v>3805</v>
      </c>
      <c r="B42">
        <v>1</v>
      </c>
      <c r="C42">
        <v>0.161</v>
      </c>
    </row>
    <row r="43" spans="1:3" ht="28.8" x14ac:dyDescent="0.3">
      <c r="A43" s="2" t="s">
        <v>3806</v>
      </c>
      <c r="B43">
        <v>1</v>
      </c>
      <c r="C43">
        <v>0.161</v>
      </c>
    </row>
    <row r="44" spans="1:3" x14ac:dyDescent="0.3">
      <c r="A44" s="2" t="s">
        <v>3807</v>
      </c>
      <c r="B44">
        <v>1</v>
      </c>
      <c r="C44">
        <v>0.161</v>
      </c>
    </row>
    <row r="45" spans="1:3" ht="28.8" x14ac:dyDescent="0.3">
      <c r="A45" s="2" t="s">
        <v>3808</v>
      </c>
      <c r="B45">
        <v>1</v>
      </c>
      <c r="C45">
        <v>0.161</v>
      </c>
    </row>
    <row r="46" spans="1:3" x14ac:dyDescent="0.3">
      <c r="A46" s="2" t="s">
        <v>3809</v>
      </c>
      <c r="B46">
        <v>1</v>
      </c>
      <c r="C46">
        <v>0.161</v>
      </c>
    </row>
    <row r="47" spans="1:3" x14ac:dyDescent="0.3">
      <c r="A47" s="2" t="s">
        <v>3810</v>
      </c>
      <c r="B47">
        <v>1</v>
      </c>
      <c r="C47">
        <v>0.161</v>
      </c>
    </row>
    <row r="48" spans="1:3" x14ac:dyDescent="0.3">
      <c r="A48" s="2" t="s">
        <v>3811</v>
      </c>
      <c r="B48">
        <v>1</v>
      </c>
      <c r="C48">
        <v>0.161</v>
      </c>
    </row>
    <row r="49" spans="1:3" x14ac:dyDescent="0.3">
      <c r="A49" s="2" t="s">
        <v>3812</v>
      </c>
      <c r="B49">
        <v>1</v>
      </c>
      <c r="C49">
        <v>0.161</v>
      </c>
    </row>
    <row r="50" spans="1:3" x14ac:dyDescent="0.3">
      <c r="A50" s="2" t="s">
        <v>3813</v>
      </c>
      <c r="B50">
        <v>1</v>
      </c>
      <c r="C50">
        <v>0.161</v>
      </c>
    </row>
    <row r="51" spans="1:3" x14ac:dyDescent="0.3">
      <c r="A51" s="2" t="s">
        <v>3814</v>
      </c>
      <c r="B51">
        <v>1</v>
      </c>
      <c r="C51">
        <v>0.161</v>
      </c>
    </row>
    <row r="52" spans="1:3" ht="28.8" x14ac:dyDescent="0.3">
      <c r="A52" s="2" t="s">
        <v>3815</v>
      </c>
      <c r="B52">
        <v>1</v>
      </c>
      <c r="C52">
        <v>0.161</v>
      </c>
    </row>
    <row r="53" spans="1:3" x14ac:dyDescent="0.3">
      <c r="A53" s="2" t="s">
        <v>3816</v>
      </c>
      <c r="B53">
        <v>1</v>
      </c>
      <c r="C53">
        <v>0.161</v>
      </c>
    </row>
    <row r="54" spans="1:3" ht="28.8" x14ac:dyDescent="0.3">
      <c r="A54" s="2" t="s">
        <v>3817</v>
      </c>
      <c r="B54">
        <v>1</v>
      </c>
      <c r="C54">
        <v>0.161</v>
      </c>
    </row>
    <row r="55" spans="1:3" ht="28.8" x14ac:dyDescent="0.3">
      <c r="A55" s="2" t="s">
        <v>3818</v>
      </c>
      <c r="B55">
        <v>1</v>
      </c>
      <c r="C55">
        <v>0.161</v>
      </c>
    </row>
    <row r="56" spans="1:3" x14ac:dyDescent="0.3">
      <c r="A56" s="2" t="s">
        <v>3819</v>
      </c>
      <c r="B56">
        <v>1</v>
      </c>
      <c r="C56">
        <v>0.161</v>
      </c>
    </row>
    <row r="57" spans="1:3" x14ac:dyDescent="0.3">
      <c r="A57" s="2" t="s">
        <v>3820</v>
      </c>
      <c r="B57">
        <v>1</v>
      </c>
      <c r="C57">
        <v>0.161</v>
      </c>
    </row>
    <row r="58" spans="1:3" x14ac:dyDescent="0.3">
      <c r="A58" s="2" t="s">
        <v>3821</v>
      </c>
      <c r="B58">
        <v>1</v>
      </c>
      <c r="C58">
        <v>0.161</v>
      </c>
    </row>
    <row r="59" spans="1:3" x14ac:dyDescent="0.3">
      <c r="A59" s="2" t="s">
        <v>3822</v>
      </c>
      <c r="B59">
        <v>1</v>
      </c>
      <c r="C59">
        <v>0.161</v>
      </c>
    </row>
    <row r="60" spans="1:3" x14ac:dyDescent="0.3">
      <c r="A60" s="2" t="s">
        <v>3823</v>
      </c>
      <c r="B60">
        <v>1</v>
      </c>
      <c r="C60">
        <v>0.161</v>
      </c>
    </row>
    <row r="61" spans="1:3" x14ac:dyDescent="0.3">
      <c r="A61" s="2" t="s">
        <v>3824</v>
      </c>
      <c r="B61">
        <v>1</v>
      </c>
      <c r="C61">
        <v>0.161</v>
      </c>
    </row>
    <row r="62" spans="1:3" x14ac:dyDescent="0.3">
      <c r="A62" s="2" t="s">
        <v>3825</v>
      </c>
      <c r="B62">
        <v>1</v>
      </c>
      <c r="C62">
        <v>0.161</v>
      </c>
    </row>
    <row r="63" spans="1:3" x14ac:dyDescent="0.3">
      <c r="A63" s="2" t="s">
        <v>3826</v>
      </c>
      <c r="B63">
        <v>1</v>
      </c>
      <c r="C63">
        <v>0.161</v>
      </c>
    </row>
    <row r="64" spans="1:3" x14ac:dyDescent="0.3">
      <c r="A64" s="2" t="s">
        <v>3827</v>
      </c>
      <c r="B64">
        <v>1</v>
      </c>
      <c r="C64">
        <v>0.161</v>
      </c>
    </row>
    <row r="65" spans="1:3" x14ac:dyDescent="0.3">
      <c r="A65" s="2" t="s">
        <v>3828</v>
      </c>
      <c r="B65">
        <v>1</v>
      </c>
      <c r="C65">
        <v>0.161</v>
      </c>
    </row>
    <row r="66" spans="1:3" ht="28.8" x14ac:dyDescent="0.3">
      <c r="A66" s="2" t="s">
        <v>3829</v>
      </c>
      <c r="B66">
        <v>1</v>
      </c>
      <c r="C66">
        <v>0.161</v>
      </c>
    </row>
    <row r="67" spans="1:3" ht="28.8" x14ac:dyDescent="0.3">
      <c r="A67" s="2" t="s">
        <v>3830</v>
      </c>
      <c r="B67">
        <v>1</v>
      </c>
      <c r="C67">
        <v>0.161</v>
      </c>
    </row>
    <row r="68" spans="1:3" x14ac:dyDescent="0.3">
      <c r="A68" s="2" t="s">
        <v>3831</v>
      </c>
      <c r="B68">
        <v>1</v>
      </c>
      <c r="C68">
        <v>0.161</v>
      </c>
    </row>
    <row r="69" spans="1:3" ht="28.8" x14ac:dyDescent="0.3">
      <c r="A69" s="2" t="s">
        <v>3832</v>
      </c>
      <c r="B69">
        <v>1</v>
      </c>
      <c r="C69">
        <v>0.161</v>
      </c>
    </row>
    <row r="70" spans="1:3" x14ac:dyDescent="0.3">
      <c r="A70" s="2" t="s">
        <v>3833</v>
      </c>
      <c r="B70">
        <v>1</v>
      </c>
      <c r="C70">
        <v>0.161</v>
      </c>
    </row>
    <row r="71" spans="1:3" ht="28.8" x14ac:dyDescent="0.3">
      <c r="A71" s="2" t="s">
        <v>3834</v>
      </c>
      <c r="B71">
        <v>1</v>
      </c>
      <c r="C71">
        <v>0.161</v>
      </c>
    </row>
    <row r="72" spans="1:3" ht="28.8" x14ac:dyDescent="0.3">
      <c r="A72" s="2" t="s">
        <v>3835</v>
      </c>
      <c r="B72">
        <v>1</v>
      </c>
      <c r="C72">
        <v>0.161</v>
      </c>
    </row>
    <row r="73" spans="1:3" ht="28.8" x14ac:dyDescent="0.3">
      <c r="A73" s="2" t="s">
        <v>3836</v>
      </c>
      <c r="B73">
        <v>1</v>
      </c>
      <c r="C73">
        <v>0.161</v>
      </c>
    </row>
    <row r="74" spans="1:3" x14ac:dyDescent="0.3">
      <c r="A74" s="2" t="s">
        <v>3837</v>
      </c>
      <c r="B74">
        <v>1</v>
      </c>
      <c r="C74">
        <v>0.161</v>
      </c>
    </row>
    <row r="75" spans="1:3" x14ac:dyDescent="0.3">
      <c r="A75" s="2" t="s">
        <v>3838</v>
      </c>
      <c r="B75">
        <v>1</v>
      </c>
      <c r="C75">
        <v>0.161</v>
      </c>
    </row>
    <row r="76" spans="1:3" ht="28.8" x14ac:dyDescent="0.3">
      <c r="A76" s="2" t="s">
        <v>3839</v>
      </c>
      <c r="B76">
        <v>1</v>
      </c>
      <c r="C76">
        <v>0.161</v>
      </c>
    </row>
    <row r="77" spans="1:3" ht="28.8" x14ac:dyDescent="0.3">
      <c r="A77" s="2" t="s">
        <v>3840</v>
      </c>
      <c r="B77">
        <v>1</v>
      </c>
      <c r="C77">
        <v>0.161</v>
      </c>
    </row>
    <row r="78" spans="1:3" ht="28.8" x14ac:dyDescent="0.3">
      <c r="A78" s="2" t="s">
        <v>3841</v>
      </c>
      <c r="B78">
        <v>1</v>
      </c>
      <c r="C78">
        <v>0.161</v>
      </c>
    </row>
    <row r="79" spans="1:3" x14ac:dyDescent="0.3">
      <c r="A79" s="2" t="s">
        <v>3842</v>
      </c>
      <c r="B79">
        <v>1</v>
      </c>
      <c r="C79">
        <v>0.161</v>
      </c>
    </row>
    <row r="80" spans="1:3" x14ac:dyDescent="0.3">
      <c r="A80" s="2" t="s">
        <v>3843</v>
      </c>
      <c r="B80">
        <v>1</v>
      </c>
      <c r="C80">
        <v>0.161</v>
      </c>
    </row>
    <row r="81" spans="1:3" x14ac:dyDescent="0.3">
      <c r="A81" s="2" t="s">
        <v>3844</v>
      </c>
      <c r="B81">
        <v>1</v>
      </c>
      <c r="C81">
        <v>0.161</v>
      </c>
    </row>
    <row r="82" spans="1:3" ht="28.8" x14ac:dyDescent="0.3">
      <c r="A82" s="2" t="s">
        <v>3845</v>
      </c>
      <c r="B82">
        <v>1</v>
      </c>
      <c r="C82">
        <v>0.161</v>
      </c>
    </row>
    <row r="83" spans="1:3" x14ac:dyDescent="0.3">
      <c r="A83" s="2" t="s">
        <v>3846</v>
      </c>
      <c r="B83">
        <v>1</v>
      </c>
      <c r="C83">
        <v>0.161</v>
      </c>
    </row>
    <row r="84" spans="1:3" x14ac:dyDescent="0.3">
      <c r="A84" s="2" t="s">
        <v>3847</v>
      </c>
      <c r="B84">
        <v>1</v>
      </c>
      <c r="C84">
        <v>0.161</v>
      </c>
    </row>
    <row r="85" spans="1:3" ht="28.8" x14ac:dyDescent="0.3">
      <c r="A85" s="2" t="s">
        <v>3848</v>
      </c>
      <c r="B85">
        <v>1</v>
      </c>
      <c r="C85">
        <v>0.161</v>
      </c>
    </row>
    <row r="86" spans="1:3" ht="28.8" x14ac:dyDescent="0.3">
      <c r="A86" s="2" t="s">
        <v>3849</v>
      </c>
      <c r="B86">
        <v>1</v>
      </c>
      <c r="C86">
        <v>0.161</v>
      </c>
    </row>
    <row r="87" spans="1:3" ht="28.8" x14ac:dyDescent="0.3">
      <c r="A87" s="2" t="s">
        <v>3850</v>
      </c>
      <c r="B87">
        <v>1</v>
      </c>
      <c r="C87">
        <v>0.161</v>
      </c>
    </row>
    <row r="88" spans="1:3" ht="28.8" x14ac:dyDescent="0.3">
      <c r="A88" s="2" t="s">
        <v>3851</v>
      </c>
      <c r="B88">
        <v>1</v>
      </c>
      <c r="C88">
        <v>0.161</v>
      </c>
    </row>
    <row r="89" spans="1:3" ht="28.8" x14ac:dyDescent="0.3">
      <c r="A89" s="2" t="s">
        <v>3852</v>
      </c>
      <c r="B89">
        <v>1</v>
      </c>
      <c r="C89">
        <v>0.161</v>
      </c>
    </row>
    <row r="90" spans="1:3" ht="28.8" x14ac:dyDescent="0.3">
      <c r="A90" s="2" t="s">
        <v>3853</v>
      </c>
      <c r="B90">
        <v>1</v>
      </c>
      <c r="C90">
        <v>0.161</v>
      </c>
    </row>
    <row r="91" spans="1:3" x14ac:dyDescent="0.3">
      <c r="A91" s="2" t="s">
        <v>3854</v>
      </c>
      <c r="B91">
        <v>1</v>
      </c>
      <c r="C91">
        <v>0.161</v>
      </c>
    </row>
    <row r="92" spans="1:3" x14ac:dyDescent="0.3">
      <c r="A92" s="2" t="s">
        <v>3855</v>
      </c>
      <c r="B92">
        <v>1</v>
      </c>
      <c r="C92">
        <v>0.161</v>
      </c>
    </row>
    <row r="93" spans="1:3" x14ac:dyDescent="0.3">
      <c r="A93" s="2" t="s">
        <v>3856</v>
      </c>
      <c r="B93">
        <v>1</v>
      </c>
      <c r="C93">
        <v>0.161</v>
      </c>
    </row>
    <row r="94" spans="1:3" x14ac:dyDescent="0.3">
      <c r="A94" s="2" t="s">
        <v>3857</v>
      </c>
      <c r="B94">
        <v>1</v>
      </c>
      <c r="C94">
        <v>0.161</v>
      </c>
    </row>
    <row r="95" spans="1:3" x14ac:dyDescent="0.3">
      <c r="A95" s="2" t="s">
        <v>3858</v>
      </c>
      <c r="B95">
        <v>1</v>
      </c>
      <c r="C95">
        <v>0.161</v>
      </c>
    </row>
    <row r="96" spans="1:3" ht="28.8" x14ac:dyDescent="0.3">
      <c r="A96" s="2" t="s">
        <v>3859</v>
      </c>
      <c r="B96">
        <v>1</v>
      </c>
      <c r="C96">
        <v>0.161</v>
      </c>
    </row>
    <row r="97" spans="1:3" ht="28.8" x14ac:dyDescent="0.3">
      <c r="A97" s="2" t="s">
        <v>3860</v>
      </c>
      <c r="B97">
        <v>1</v>
      </c>
      <c r="C97">
        <v>0.161</v>
      </c>
    </row>
    <row r="98" spans="1:3" x14ac:dyDescent="0.3">
      <c r="A98" s="2" t="s">
        <v>3861</v>
      </c>
      <c r="B98">
        <v>1</v>
      </c>
      <c r="C98">
        <v>0.161</v>
      </c>
    </row>
    <row r="99" spans="1:3" x14ac:dyDescent="0.3">
      <c r="A99" s="2" t="s">
        <v>3862</v>
      </c>
      <c r="B99">
        <v>1</v>
      </c>
      <c r="C99">
        <v>0.161</v>
      </c>
    </row>
    <row r="100" spans="1:3" ht="28.8" x14ac:dyDescent="0.3">
      <c r="A100" s="2" t="s">
        <v>3863</v>
      </c>
      <c r="B100">
        <v>1</v>
      </c>
      <c r="C100">
        <v>0.161</v>
      </c>
    </row>
    <row r="101" spans="1:3" x14ac:dyDescent="0.3">
      <c r="A101" s="2" t="s">
        <v>3864</v>
      </c>
      <c r="B101">
        <v>1</v>
      </c>
      <c r="C101">
        <v>0.161</v>
      </c>
    </row>
    <row r="102" spans="1:3" x14ac:dyDescent="0.3">
      <c r="A102" s="2" t="s">
        <v>3865</v>
      </c>
      <c r="B102">
        <v>1</v>
      </c>
      <c r="C102">
        <v>0.161</v>
      </c>
    </row>
    <row r="103" spans="1:3" x14ac:dyDescent="0.3">
      <c r="A103" s="2" t="s">
        <v>3866</v>
      </c>
      <c r="B103">
        <v>1</v>
      </c>
      <c r="C103">
        <v>0.161</v>
      </c>
    </row>
    <row r="104" spans="1:3" ht="28.8" x14ac:dyDescent="0.3">
      <c r="A104" s="2" t="s">
        <v>3867</v>
      </c>
      <c r="B104">
        <v>1</v>
      </c>
      <c r="C104">
        <v>0.161</v>
      </c>
    </row>
    <row r="105" spans="1:3" ht="28.8" x14ac:dyDescent="0.3">
      <c r="A105" s="2" t="s">
        <v>3868</v>
      </c>
      <c r="B105">
        <v>1</v>
      </c>
      <c r="C105">
        <v>0.161</v>
      </c>
    </row>
    <row r="106" spans="1:3" ht="28.8" x14ac:dyDescent="0.3">
      <c r="A106" s="2" t="s">
        <v>3869</v>
      </c>
      <c r="B106">
        <v>1</v>
      </c>
      <c r="C106">
        <v>0.161</v>
      </c>
    </row>
    <row r="107" spans="1:3" ht="28.8" x14ac:dyDescent="0.3">
      <c r="A107" s="2" t="s">
        <v>3870</v>
      </c>
      <c r="B107">
        <v>1</v>
      </c>
      <c r="C107">
        <v>0.161</v>
      </c>
    </row>
    <row r="108" spans="1:3" x14ac:dyDescent="0.3">
      <c r="A108" s="2" t="s">
        <v>3871</v>
      </c>
      <c r="B108">
        <v>1</v>
      </c>
      <c r="C108">
        <v>0.161</v>
      </c>
    </row>
    <row r="109" spans="1:3" ht="28.8" x14ac:dyDescent="0.3">
      <c r="A109" s="2" t="s">
        <v>3872</v>
      </c>
      <c r="B109">
        <v>1</v>
      </c>
      <c r="C109">
        <v>0.161</v>
      </c>
    </row>
    <row r="110" spans="1:3" x14ac:dyDescent="0.3">
      <c r="A110" s="2" t="s">
        <v>3873</v>
      </c>
      <c r="B110">
        <v>1</v>
      </c>
      <c r="C110">
        <v>0.161</v>
      </c>
    </row>
    <row r="111" spans="1:3" ht="28.8" x14ac:dyDescent="0.3">
      <c r="A111" s="2" t="s">
        <v>3874</v>
      </c>
      <c r="B111">
        <v>1</v>
      </c>
      <c r="C111">
        <v>0.161</v>
      </c>
    </row>
    <row r="112" spans="1:3" ht="28.8" x14ac:dyDescent="0.3">
      <c r="A112" s="2" t="s">
        <v>3875</v>
      </c>
      <c r="B112">
        <v>1</v>
      </c>
      <c r="C112">
        <v>0.161</v>
      </c>
    </row>
    <row r="113" spans="1:3" x14ac:dyDescent="0.3">
      <c r="A113" s="2" t="s">
        <v>3876</v>
      </c>
      <c r="B113">
        <v>1</v>
      </c>
      <c r="C113">
        <v>0.161</v>
      </c>
    </row>
    <row r="114" spans="1:3" ht="28.8" x14ac:dyDescent="0.3">
      <c r="A114" s="2" t="s">
        <v>3877</v>
      </c>
      <c r="B114">
        <v>1</v>
      </c>
      <c r="C114">
        <v>0.161</v>
      </c>
    </row>
    <row r="115" spans="1:3" ht="28.8" x14ac:dyDescent="0.3">
      <c r="A115" s="2" t="s">
        <v>3878</v>
      </c>
      <c r="B115">
        <v>1</v>
      </c>
      <c r="C115">
        <v>0.161</v>
      </c>
    </row>
    <row r="116" spans="1:3" ht="28.8" x14ac:dyDescent="0.3">
      <c r="A116" s="2" t="s">
        <v>3879</v>
      </c>
      <c r="B116">
        <v>1</v>
      </c>
      <c r="C116">
        <v>0.161</v>
      </c>
    </row>
    <row r="117" spans="1:3" x14ac:dyDescent="0.3">
      <c r="A117" s="2" t="s">
        <v>3880</v>
      </c>
      <c r="B117">
        <v>1</v>
      </c>
      <c r="C117">
        <v>0.161</v>
      </c>
    </row>
    <row r="118" spans="1:3" x14ac:dyDescent="0.3">
      <c r="A118" s="2" t="s">
        <v>3881</v>
      </c>
      <c r="B118">
        <v>1</v>
      </c>
      <c r="C118">
        <v>0.161</v>
      </c>
    </row>
    <row r="119" spans="1:3" x14ac:dyDescent="0.3">
      <c r="A119" s="2" t="s">
        <v>3882</v>
      </c>
      <c r="B119">
        <v>1</v>
      </c>
      <c r="C119">
        <v>0.161</v>
      </c>
    </row>
    <row r="120" spans="1:3" x14ac:dyDescent="0.3">
      <c r="A120" s="2" t="s">
        <v>3883</v>
      </c>
      <c r="B120">
        <v>1</v>
      </c>
      <c r="C120">
        <v>0.161</v>
      </c>
    </row>
    <row r="121" spans="1:3" x14ac:dyDescent="0.3">
      <c r="A121" s="2" t="s">
        <v>3884</v>
      </c>
      <c r="B121">
        <v>1</v>
      </c>
      <c r="C121">
        <v>0.161</v>
      </c>
    </row>
    <row r="122" spans="1:3" x14ac:dyDescent="0.3">
      <c r="A122" s="2" t="s">
        <v>3885</v>
      </c>
      <c r="B122">
        <v>1</v>
      </c>
      <c r="C122">
        <v>0.161</v>
      </c>
    </row>
    <row r="123" spans="1:3" ht="28.8" x14ac:dyDescent="0.3">
      <c r="A123" s="2" t="s">
        <v>3886</v>
      </c>
      <c r="B123">
        <v>1</v>
      </c>
      <c r="C123">
        <v>0.161</v>
      </c>
    </row>
    <row r="124" spans="1:3" ht="28.8" x14ac:dyDescent="0.3">
      <c r="A124" s="2" t="s">
        <v>3887</v>
      </c>
      <c r="B124">
        <v>1</v>
      </c>
      <c r="C124">
        <v>0.161</v>
      </c>
    </row>
    <row r="125" spans="1:3" ht="28.8" x14ac:dyDescent="0.3">
      <c r="A125" s="2" t="s">
        <v>3888</v>
      </c>
      <c r="B125">
        <v>1</v>
      </c>
      <c r="C125">
        <v>0.161</v>
      </c>
    </row>
    <row r="126" spans="1:3" ht="28.8" x14ac:dyDescent="0.3">
      <c r="A126" s="2" t="s">
        <v>3889</v>
      </c>
      <c r="B126">
        <v>1</v>
      </c>
      <c r="C126">
        <v>0.161</v>
      </c>
    </row>
    <row r="127" spans="1:3" ht="28.8" x14ac:dyDescent="0.3">
      <c r="A127" s="2" t="s">
        <v>3890</v>
      </c>
      <c r="B127">
        <v>1</v>
      </c>
      <c r="C127">
        <v>0.161</v>
      </c>
    </row>
    <row r="128" spans="1:3" x14ac:dyDescent="0.3">
      <c r="A128" s="2" t="s">
        <v>3891</v>
      </c>
      <c r="B128">
        <v>1</v>
      </c>
      <c r="C128">
        <v>0.161</v>
      </c>
    </row>
    <row r="129" spans="1:3" ht="28.8" x14ac:dyDescent="0.3">
      <c r="A129" s="2" t="s">
        <v>3892</v>
      </c>
      <c r="B129">
        <v>1</v>
      </c>
      <c r="C129">
        <v>0.161</v>
      </c>
    </row>
    <row r="130" spans="1:3" ht="28.8" x14ac:dyDescent="0.3">
      <c r="A130" s="2" t="s">
        <v>3893</v>
      </c>
      <c r="B130">
        <v>1</v>
      </c>
      <c r="C130">
        <v>0.161</v>
      </c>
    </row>
    <row r="131" spans="1:3" x14ac:dyDescent="0.3">
      <c r="A131" s="2" t="s">
        <v>3894</v>
      </c>
      <c r="B131">
        <v>1</v>
      </c>
      <c r="C131">
        <v>0.161</v>
      </c>
    </row>
    <row r="132" spans="1:3" x14ac:dyDescent="0.3">
      <c r="A132" s="2" t="s">
        <v>3895</v>
      </c>
      <c r="B132">
        <v>1</v>
      </c>
      <c r="C132">
        <v>0.161</v>
      </c>
    </row>
    <row r="133" spans="1:3" x14ac:dyDescent="0.3">
      <c r="A133" s="2" t="s">
        <v>3896</v>
      </c>
      <c r="B133">
        <v>1</v>
      </c>
      <c r="C133">
        <v>0.161</v>
      </c>
    </row>
    <row r="134" spans="1:3" x14ac:dyDescent="0.3">
      <c r="A134" s="2" t="s">
        <v>3897</v>
      </c>
      <c r="B134">
        <v>1</v>
      </c>
      <c r="C134">
        <v>0.161</v>
      </c>
    </row>
    <row r="135" spans="1:3" ht="28.8" x14ac:dyDescent="0.3">
      <c r="A135" s="2" t="s">
        <v>3898</v>
      </c>
      <c r="B135">
        <v>1</v>
      </c>
      <c r="C135">
        <v>0.161</v>
      </c>
    </row>
    <row r="136" spans="1:3" ht="28.8" x14ac:dyDescent="0.3">
      <c r="A136" s="2" t="s">
        <v>3899</v>
      </c>
      <c r="B136">
        <v>1</v>
      </c>
      <c r="C136">
        <v>0.161</v>
      </c>
    </row>
    <row r="137" spans="1:3" x14ac:dyDescent="0.3">
      <c r="A137" s="2" t="s">
        <v>3900</v>
      </c>
      <c r="B137">
        <v>1</v>
      </c>
      <c r="C137">
        <v>0.161</v>
      </c>
    </row>
    <row r="138" spans="1:3" x14ac:dyDescent="0.3">
      <c r="A138" s="2" t="s">
        <v>3901</v>
      </c>
      <c r="B138">
        <v>1</v>
      </c>
      <c r="C138">
        <v>0.161</v>
      </c>
    </row>
    <row r="139" spans="1:3" x14ac:dyDescent="0.3">
      <c r="A139" s="2" t="s">
        <v>3902</v>
      </c>
      <c r="B139">
        <v>1</v>
      </c>
      <c r="C139">
        <v>0.161</v>
      </c>
    </row>
    <row r="140" spans="1:3" x14ac:dyDescent="0.3">
      <c r="A140" s="2" t="s">
        <v>3903</v>
      </c>
      <c r="B140">
        <v>1</v>
      </c>
      <c r="C140">
        <v>0.161</v>
      </c>
    </row>
    <row r="141" spans="1:3" ht="28.8" x14ac:dyDescent="0.3">
      <c r="A141" s="2" t="s">
        <v>3904</v>
      </c>
      <c r="B141">
        <v>1</v>
      </c>
      <c r="C141">
        <v>0.161</v>
      </c>
    </row>
    <row r="142" spans="1:3" ht="28.8" x14ac:dyDescent="0.3">
      <c r="A142" s="2" t="s">
        <v>3905</v>
      </c>
      <c r="B142">
        <v>1</v>
      </c>
      <c r="C142">
        <v>0.161</v>
      </c>
    </row>
    <row r="143" spans="1:3" ht="28.8" x14ac:dyDescent="0.3">
      <c r="A143" s="2" t="s">
        <v>3906</v>
      </c>
      <c r="B143">
        <v>1</v>
      </c>
      <c r="C143">
        <v>0.161</v>
      </c>
    </row>
    <row r="144" spans="1:3" ht="28.8" x14ac:dyDescent="0.3">
      <c r="A144" s="2" t="s">
        <v>3907</v>
      </c>
      <c r="B144">
        <v>1</v>
      </c>
      <c r="C144">
        <v>0.161</v>
      </c>
    </row>
    <row r="145" spans="1:3" ht="28.8" x14ac:dyDescent="0.3">
      <c r="A145" s="2" t="s">
        <v>3908</v>
      </c>
      <c r="B145">
        <v>1</v>
      </c>
      <c r="C145">
        <v>0.161</v>
      </c>
    </row>
    <row r="146" spans="1:3" ht="28.8" x14ac:dyDescent="0.3">
      <c r="A146" s="2" t="s">
        <v>3909</v>
      </c>
      <c r="B146">
        <v>1</v>
      </c>
      <c r="C146">
        <v>0.161</v>
      </c>
    </row>
    <row r="147" spans="1:3" ht="28.8" x14ac:dyDescent="0.3">
      <c r="A147" s="2" t="s">
        <v>3910</v>
      </c>
      <c r="B147">
        <v>1</v>
      </c>
      <c r="C147">
        <v>0.161</v>
      </c>
    </row>
    <row r="148" spans="1:3" ht="28.8" x14ac:dyDescent="0.3">
      <c r="A148" s="2" t="s">
        <v>3911</v>
      </c>
      <c r="B148">
        <v>1</v>
      </c>
      <c r="C148">
        <v>0.161</v>
      </c>
    </row>
    <row r="149" spans="1:3" x14ac:dyDescent="0.3">
      <c r="A149" s="2" t="s">
        <v>3912</v>
      </c>
      <c r="B149">
        <v>1</v>
      </c>
      <c r="C149">
        <v>0.161</v>
      </c>
    </row>
    <row r="150" spans="1:3" ht="28.8" x14ac:dyDescent="0.3">
      <c r="A150" s="2" t="s">
        <v>3913</v>
      </c>
      <c r="B150">
        <v>1</v>
      </c>
      <c r="C150">
        <v>0.161</v>
      </c>
    </row>
    <row r="151" spans="1:3" ht="28.8" x14ac:dyDescent="0.3">
      <c r="A151" s="2" t="s">
        <v>3914</v>
      </c>
      <c r="B151">
        <v>1</v>
      </c>
      <c r="C151">
        <v>0.161</v>
      </c>
    </row>
    <row r="152" spans="1:3" ht="28.8" x14ac:dyDescent="0.3">
      <c r="A152" s="2" t="s">
        <v>3915</v>
      </c>
      <c r="B152">
        <v>1</v>
      </c>
      <c r="C152">
        <v>0.161</v>
      </c>
    </row>
    <row r="153" spans="1:3" x14ac:dyDescent="0.3">
      <c r="A153" s="2" t="s">
        <v>3916</v>
      </c>
      <c r="B153">
        <v>1</v>
      </c>
      <c r="C153">
        <v>0.161</v>
      </c>
    </row>
    <row r="154" spans="1:3" ht="28.8" x14ac:dyDescent="0.3">
      <c r="A154" s="2" t="s">
        <v>3917</v>
      </c>
      <c r="B154">
        <v>1</v>
      </c>
      <c r="C154">
        <v>0.161</v>
      </c>
    </row>
    <row r="155" spans="1:3" ht="28.8" x14ac:dyDescent="0.3">
      <c r="A155" s="2" t="s">
        <v>3918</v>
      </c>
      <c r="B155">
        <v>1</v>
      </c>
      <c r="C155">
        <v>0.161</v>
      </c>
    </row>
    <row r="156" spans="1:3" ht="28.8" x14ac:dyDescent="0.3">
      <c r="A156" s="2" t="s">
        <v>3919</v>
      </c>
      <c r="B156">
        <v>1</v>
      </c>
      <c r="C156">
        <v>0.161</v>
      </c>
    </row>
    <row r="157" spans="1:3" x14ac:dyDescent="0.3">
      <c r="A157" s="2" t="s">
        <v>3920</v>
      </c>
      <c r="B157">
        <v>1</v>
      </c>
      <c r="C157">
        <v>0.161</v>
      </c>
    </row>
    <row r="158" spans="1:3" x14ac:dyDescent="0.3">
      <c r="A158" s="2" t="s">
        <v>3921</v>
      </c>
      <c r="B158">
        <v>1</v>
      </c>
      <c r="C158">
        <v>0.161</v>
      </c>
    </row>
    <row r="159" spans="1:3" x14ac:dyDescent="0.3">
      <c r="A159" s="2" t="s">
        <v>3922</v>
      </c>
      <c r="B159">
        <v>1</v>
      </c>
      <c r="C159">
        <v>0.161</v>
      </c>
    </row>
    <row r="160" spans="1:3" x14ac:dyDescent="0.3">
      <c r="A160" s="2" t="s">
        <v>3923</v>
      </c>
      <c r="B160">
        <v>1</v>
      </c>
      <c r="C160">
        <v>0.161</v>
      </c>
    </row>
    <row r="161" spans="1:3" x14ac:dyDescent="0.3">
      <c r="A161" s="2" t="s">
        <v>3924</v>
      </c>
      <c r="B161">
        <v>1</v>
      </c>
      <c r="C161">
        <v>0.161</v>
      </c>
    </row>
    <row r="162" spans="1:3" x14ac:dyDescent="0.3">
      <c r="A162" s="2" t="s">
        <v>3925</v>
      </c>
      <c r="B162">
        <v>1</v>
      </c>
      <c r="C162">
        <v>0.161</v>
      </c>
    </row>
    <row r="163" spans="1:3" ht="28.8" x14ac:dyDescent="0.3">
      <c r="A163" s="2" t="s">
        <v>3926</v>
      </c>
      <c r="B163">
        <v>1</v>
      </c>
      <c r="C163">
        <v>0.161</v>
      </c>
    </row>
    <row r="164" spans="1:3" ht="28.8" x14ac:dyDescent="0.3">
      <c r="A164" s="2" t="s">
        <v>3927</v>
      </c>
      <c r="B164">
        <v>1</v>
      </c>
      <c r="C164">
        <v>0.161</v>
      </c>
    </row>
    <row r="165" spans="1:3" x14ac:dyDescent="0.3">
      <c r="A165" s="2" t="s">
        <v>3928</v>
      </c>
      <c r="B165">
        <v>1</v>
      </c>
      <c r="C165">
        <v>0.161</v>
      </c>
    </row>
    <row r="166" spans="1:3" x14ac:dyDescent="0.3">
      <c r="A166" s="2" t="s">
        <v>3929</v>
      </c>
      <c r="B166">
        <v>1</v>
      </c>
      <c r="C166">
        <v>0.161</v>
      </c>
    </row>
    <row r="167" spans="1:3" ht="28.8" x14ac:dyDescent="0.3">
      <c r="A167" s="2" t="s">
        <v>3930</v>
      </c>
      <c r="B167">
        <v>1</v>
      </c>
      <c r="C167">
        <v>0.161</v>
      </c>
    </row>
    <row r="168" spans="1:3" ht="28.8" x14ac:dyDescent="0.3">
      <c r="A168" s="2" t="s">
        <v>3931</v>
      </c>
      <c r="B168">
        <v>1</v>
      </c>
      <c r="C168">
        <v>0.161</v>
      </c>
    </row>
    <row r="169" spans="1:3" ht="28.8" x14ac:dyDescent="0.3">
      <c r="A169" s="2" t="s">
        <v>3932</v>
      </c>
      <c r="B169">
        <v>1</v>
      </c>
      <c r="C169">
        <v>0.161</v>
      </c>
    </row>
    <row r="170" spans="1:3" ht="28.8" x14ac:dyDescent="0.3">
      <c r="A170" s="2" t="s">
        <v>3933</v>
      </c>
      <c r="B170">
        <v>1</v>
      </c>
      <c r="C170">
        <v>0.161</v>
      </c>
    </row>
    <row r="171" spans="1:3" ht="28.8" x14ac:dyDescent="0.3">
      <c r="A171" s="2" t="s">
        <v>3934</v>
      </c>
      <c r="B171">
        <v>1</v>
      </c>
      <c r="C171">
        <v>0.161</v>
      </c>
    </row>
    <row r="172" spans="1:3" x14ac:dyDescent="0.3">
      <c r="A172" s="2" t="s">
        <v>3935</v>
      </c>
      <c r="B172">
        <v>1</v>
      </c>
      <c r="C172">
        <v>0.161</v>
      </c>
    </row>
    <row r="173" spans="1:3" ht="28.8" x14ac:dyDescent="0.3">
      <c r="A173" s="2" t="s">
        <v>3936</v>
      </c>
      <c r="B173">
        <v>1</v>
      </c>
      <c r="C173">
        <v>0.161</v>
      </c>
    </row>
    <row r="174" spans="1:3" ht="28.8" x14ac:dyDescent="0.3">
      <c r="A174" s="2" t="s">
        <v>3937</v>
      </c>
      <c r="B174">
        <v>1</v>
      </c>
      <c r="C174">
        <v>0.161</v>
      </c>
    </row>
    <row r="175" spans="1:3" ht="28.8" x14ac:dyDescent="0.3">
      <c r="A175" s="2" t="s">
        <v>3938</v>
      </c>
      <c r="B175">
        <v>1</v>
      </c>
      <c r="C175">
        <v>0.161</v>
      </c>
    </row>
    <row r="176" spans="1:3" ht="28.8" x14ac:dyDescent="0.3">
      <c r="A176" s="2" t="s">
        <v>3939</v>
      </c>
      <c r="B176">
        <v>1</v>
      </c>
      <c r="C176">
        <v>0.161</v>
      </c>
    </row>
    <row r="177" spans="1:3" ht="28.8" x14ac:dyDescent="0.3">
      <c r="A177" s="2" t="s">
        <v>3940</v>
      </c>
      <c r="B177">
        <v>1</v>
      </c>
      <c r="C177">
        <v>0.161</v>
      </c>
    </row>
    <row r="178" spans="1:3" ht="28.8" x14ac:dyDescent="0.3">
      <c r="A178" s="2" t="s">
        <v>3941</v>
      </c>
      <c r="B178">
        <v>1</v>
      </c>
      <c r="C178">
        <v>0.161</v>
      </c>
    </row>
    <row r="179" spans="1:3" ht="28.8" x14ac:dyDescent="0.3">
      <c r="A179" s="2" t="s">
        <v>3942</v>
      </c>
      <c r="B179">
        <v>1</v>
      </c>
      <c r="C179">
        <v>0.161</v>
      </c>
    </row>
    <row r="180" spans="1:3" x14ac:dyDescent="0.3">
      <c r="A180" s="2" t="s">
        <v>3943</v>
      </c>
      <c r="B180">
        <v>1</v>
      </c>
      <c r="C180">
        <v>0.161</v>
      </c>
    </row>
    <row r="181" spans="1:3" x14ac:dyDescent="0.3">
      <c r="A181" s="2" t="s">
        <v>3944</v>
      </c>
      <c r="B181">
        <v>1</v>
      </c>
      <c r="C181">
        <v>0.161</v>
      </c>
    </row>
    <row r="182" spans="1:3" ht="28.8" x14ac:dyDescent="0.3">
      <c r="A182" s="2" t="s">
        <v>3945</v>
      </c>
      <c r="B182">
        <v>1</v>
      </c>
      <c r="C182">
        <v>0.161</v>
      </c>
    </row>
    <row r="183" spans="1:3" ht="28.8" x14ac:dyDescent="0.3">
      <c r="A183" s="2" t="s">
        <v>3946</v>
      </c>
      <c r="B183">
        <v>1</v>
      </c>
      <c r="C183">
        <v>0.161</v>
      </c>
    </row>
    <row r="184" spans="1:3" x14ac:dyDescent="0.3">
      <c r="A184" s="2" t="s">
        <v>3947</v>
      </c>
      <c r="B184">
        <v>1</v>
      </c>
      <c r="C184">
        <v>0.161</v>
      </c>
    </row>
    <row r="185" spans="1:3" x14ac:dyDescent="0.3">
      <c r="A185" s="2" t="s">
        <v>3948</v>
      </c>
      <c r="B185">
        <v>1</v>
      </c>
      <c r="C185">
        <v>0.161</v>
      </c>
    </row>
    <row r="186" spans="1:3" ht="28.8" x14ac:dyDescent="0.3">
      <c r="A186" s="2" t="s">
        <v>3949</v>
      </c>
      <c r="B186">
        <v>1</v>
      </c>
      <c r="C186">
        <v>0.161</v>
      </c>
    </row>
    <row r="187" spans="1:3" x14ac:dyDescent="0.3">
      <c r="A187" s="2" t="s">
        <v>3950</v>
      </c>
      <c r="B187">
        <v>1</v>
      </c>
      <c r="C187">
        <v>0.161</v>
      </c>
    </row>
    <row r="188" spans="1:3" x14ac:dyDescent="0.3">
      <c r="A188" s="2" t="s">
        <v>3951</v>
      </c>
      <c r="B188">
        <v>1</v>
      </c>
      <c r="C188">
        <v>0.161</v>
      </c>
    </row>
    <row r="189" spans="1:3" x14ac:dyDescent="0.3">
      <c r="A189" s="2" t="s">
        <v>3952</v>
      </c>
      <c r="B189">
        <v>1</v>
      </c>
      <c r="C189">
        <v>0.161</v>
      </c>
    </row>
    <row r="190" spans="1:3" x14ac:dyDescent="0.3">
      <c r="A190" s="2" t="s">
        <v>3953</v>
      </c>
      <c r="B190">
        <v>1</v>
      </c>
      <c r="C190">
        <v>0.161</v>
      </c>
    </row>
    <row r="191" spans="1:3" x14ac:dyDescent="0.3">
      <c r="A191" s="2" t="s">
        <v>3954</v>
      </c>
      <c r="B191">
        <v>1</v>
      </c>
      <c r="C191">
        <v>0.161</v>
      </c>
    </row>
    <row r="192" spans="1:3" x14ac:dyDescent="0.3">
      <c r="A192" s="2" t="s">
        <v>3955</v>
      </c>
      <c r="B192">
        <v>1</v>
      </c>
      <c r="C192">
        <v>0.161</v>
      </c>
    </row>
    <row r="193" spans="1:3" ht="28.8" x14ac:dyDescent="0.3">
      <c r="A193" s="2" t="s">
        <v>3956</v>
      </c>
      <c r="B193">
        <v>1</v>
      </c>
      <c r="C193">
        <v>0.161</v>
      </c>
    </row>
    <row r="194" spans="1:3" ht="28.8" x14ac:dyDescent="0.3">
      <c r="A194" s="2" t="s">
        <v>3957</v>
      </c>
      <c r="B194">
        <v>1</v>
      </c>
      <c r="C194">
        <v>0.161</v>
      </c>
    </row>
    <row r="195" spans="1:3" ht="28.8" x14ac:dyDescent="0.3">
      <c r="A195" s="2" t="s">
        <v>3958</v>
      </c>
      <c r="B195">
        <v>1</v>
      </c>
      <c r="C195">
        <v>0.161</v>
      </c>
    </row>
    <row r="196" spans="1:3" ht="28.8" x14ac:dyDescent="0.3">
      <c r="A196" s="2" t="s">
        <v>3959</v>
      </c>
      <c r="B196">
        <v>1</v>
      </c>
      <c r="C196">
        <v>0.161</v>
      </c>
    </row>
    <row r="197" spans="1:3" x14ac:dyDescent="0.3">
      <c r="A197" s="2" t="s">
        <v>3960</v>
      </c>
      <c r="B197">
        <v>1</v>
      </c>
      <c r="C197">
        <v>0.161</v>
      </c>
    </row>
    <row r="198" spans="1:3" x14ac:dyDescent="0.3">
      <c r="A198" s="2" t="s">
        <v>3961</v>
      </c>
      <c r="B198">
        <v>1</v>
      </c>
      <c r="C198">
        <v>0.161</v>
      </c>
    </row>
    <row r="199" spans="1:3" x14ac:dyDescent="0.3">
      <c r="A199" s="2" t="s">
        <v>3962</v>
      </c>
      <c r="B199">
        <v>1</v>
      </c>
      <c r="C199">
        <v>0.161</v>
      </c>
    </row>
    <row r="200" spans="1:3" x14ac:dyDescent="0.3">
      <c r="A200" s="2" t="s">
        <v>3963</v>
      </c>
      <c r="B200">
        <v>1</v>
      </c>
      <c r="C200">
        <v>0.161</v>
      </c>
    </row>
    <row r="201" spans="1:3" x14ac:dyDescent="0.3">
      <c r="A201" s="2" t="s">
        <v>3964</v>
      </c>
      <c r="B201">
        <v>1</v>
      </c>
      <c r="C201">
        <v>0.161</v>
      </c>
    </row>
    <row r="202" spans="1:3" x14ac:dyDescent="0.3">
      <c r="A202" s="2" t="s">
        <v>3965</v>
      </c>
      <c r="B202">
        <v>1</v>
      </c>
      <c r="C202">
        <v>0.161</v>
      </c>
    </row>
    <row r="203" spans="1:3" x14ac:dyDescent="0.3">
      <c r="A203" s="2" t="s">
        <v>3966</v>
      </c>
      <c r="B203">
        <v>1</v>
      </c>
      <c r="C203">
        <v>0.161</v>
      </c>
    </row>
    <row r="204" spans="1:3" ht="28.8" x14ac:dyDescent="0.3">
      <c r="A204" s="2" t="s">
        <v>3967</v>
      </c>
      <c r="B204">
        <v>1</v>
      </c>
      <c r="C204">
        <v>0.161</v>
      </c>
    </row>
    <row r="205" spans="1:3" ht="28.8" x14ac:dyDescent="0.3">
      <c r="A205" s="2" t="s">
        <v>3968</v>
      </c>
      <c r="B205">
        <v>1</v>
      </c>
      <c r="C205">
        <v>0.161</v>
      </c>
    </row>
    <row r="206" spans="1:3" ht="28.8" x14ac:dyDescent="0.3">
      <c r="A206" s="2" t="s">
        <v>3969</v>
      </c>
      <c r="B206">
        <v>1</v>
      </c>
      <c r="C206">
        <v>0.161</v>
      </c>
    </row>
    <row r="207" spans="1:3" x14ac:dyDescent="0.3">
      <c r="A207" s="2" t="s">
        <v>3970</v>
      </c>
      <c r="B207">
        <v>1</v>
      </c>
      <c r="C207">
        <v>0.161</v>
      </c>
    </row>
    <row r="208" spans="1:3" ht="28.8" x14ac:dyDescent="0.3">
      <c r="A208" s="2" t="s">
        <v>3971</v>
      </c>
      <c r="B208">
        <v>1</v>
      </c>
      <c r="C208">
        <v>0.161</v>
      </c>
    </row>
    <row r="209" spans="1:3" x14ac:dyDescent="0.3">
      <c r="A209" s="2" t="s">
        <v>3972</v>
      </c>
      <c r="B209">
        <v>1</v>
      </c>
      <c r="C209">
        <v>0.161</v>
      </c>
    </row>
    <row r="210" spans="1:3" x14ac:dyDescent="0.3">
      <c r="A210" s="2" t="s">
        <v>3973</v>
      </c>
      <c r="B210">
        <v>1</v>
      </c>
      <c r="C210">
        <v>0.161</v>
      </c>
    </row>
    <row r="211" spans="1:3" ht="28.8" x14ac:dyDescent="0.3">
      <c r="A211" s="2" t="s">
        <v>3974</v>
      </c>
      <c r="B211">
        <v>1</v>
      </c>
      <c r="C211">
        <v>0.161</v>
      </c>
    </row>
    <row r="212" spans="1:3" ht="28.8" x14ac:dyDescent="0.3">
      <c r="A212" s="2" t="s">
        <v>3975</v>
      </c>
      <c r="B212">
        <v>1</v>
      </c>
      <c r="C212">
        <v>0.161</v>
      </c>
    </row>
    <row r="213" spans="1:3" ht="28.8" x14ac:dyDescent="0.3">
      <c r="A213" s="2" t="s">
        <v>3976</v>
      </c>
      <c r="B213">
        <v>1</v>
      </c>
      <c r="C213">
        <v>0.161</v>
      </c>
    </row>
    <row r="214" spans="1:3" ht="28.8" x14ac:dyDescent="0.3">
      <c r="A214" s="2" t="s">
        <v>3977</v>
      </c>
      <c r="B214">
        <v>1</v>
      </c>
      <c r="C214">
        <v>0.161</v>
      </c>
    </row>
    <row r="215" spans="1:3" ht="28.8" x14ac:dyDescent="0.3">
      <c r="A215" s="2" t="s">
        <v>3978</v>
      </c>
      <c r="B215">
        <v>1</v>
      </c>
      <c r="C215">
        <v>0.161</v>
      </c>
    </row>
    <row r="216" spans="1:3" ht="28.8" x14ac:dyDescent="0.3">
      <c r="A216" s="2" t="s">
        <v>3979</v>
      </c>
      <c r="B216">
        <v>1</v>
      </c>
      <c r="C216">
        <v>0.161</v>
      </c>
    </row>
    <row r="217" spans="1:3" x14ac:dyDescent="0.3">
      <c r="A217" s="2" t="s">
        <v>3980</v>
      </c>
      <c r="B217">
        <v>1</v>
      </c>
      <c r="C217">
        <v>0.161</v>
      </c>
    </row>
    <row r="218" spans="1:3" ht="28.8" x14ac:dyDescent="0.3">
      <c r="A218" s="2" t="s">
        <v>3981</v>
      </c>
      <c r="B218">
        <v>1</v>
      </c>
      <c r="C218">
        <v>0.161</v>
      </c>
    </row>
    <row r="219" spans="1:3" ht="28.8" x14ac:dyDescent="0.3">
      <c r="A219" s="2" t="s">
        <v>3982</v>
      </c>
      <c r="B219">
        <v>1</v>
      </c>
      <c r="C219">
        <v>0.161</v>
      </c>
    </row>
    <row r="220" spans="1:3" ht="28.8" x14ac:dyDescent="0.3">
      <c r="A220" s="2" t="s">
        <v>3983</v>
      </c>
      <c r="B220">
        <v>1</v>
      </c>
      <c r="C220">
        <v>0.161</v>
      </c>
    </row>
    <row r="221" spans="1:3" ht="43.2" x14ac:dyDescent="0.3">
      <c r="A221" s="2" t="s">
        <v>3984</v>
      </c>
      <c r="B221">
        <v>1</v>
      </c>
      <c r="C221">
        <v>0.161</v>
      </c>
    </row>
    <row r="222" spans="1:3" x14ac:dyDescent="0.3">
      <c r="A222" s="2" t="s">
        <v>3985</v>
      </c>
      <c r="B222">
        <v>1</v>
      </c>
      <c r="C222">
        <v>0.161</v>
      </c>
    </row>
    <row r="223" spans="1:3" x14ac:dyDescent="0.3">
      <c r="A223" s="2" t="s">
        <v>3986</v>
      </c>
      <c r="B223">
        <v>1</v>
      </c>
      <c r="C223">
        <v>0.161</v>
      </c>
    </row>
    <row r="224" spans="1:3" ht="28.8" x14ac:dyDescent="0.3">
      <c r="A224" s="2" t="s">
        <v>3987</v>
      </c>
      <c r="B224">
        <v>1</v>
      </c>
      <c r="C224">
        <v>0.161</v>
      </c>
    </row>
    <row r="225" spans="1:3" ht="28.8" x14ac:dyDescent="0.3">
      <c r="A225" s="2" t="s">
        <v>3988</v>
      </c>
      <c r="B225">
        <v>1</v>
      </c>
      <c r="C225">
        <v>0.161</v>
      </c>
    </row>
    <row r="226" spans="1:3" ht="28.8" x14ac:dyDescent="0.3">
      <c r="A226" s="2" t="s">
        <v>3989</v>
      </c>
      <c r="B226">
        <v>1</v>
      </c>
      <c r="C226">
        <v>0.161</v>
      </c>
    </row>
    <row r="227" spans="1:3" ht="28.8" x14ac:dyDescent="0.3">
      <c r="A227" s="2" t="s">
        <v>3990</v>
      </c>
      <c r="B227">
        <v>1</v>
      </c>
      <c r="C227">
        <v>0.161</v>
      </c>
    </row>
    <row r="228" spans="1:3" ht="28.8" x14ac:dyDescent="0.3">
      <c r="A228" s="2" t="s">
        <v>3991</v>
      </c>
      <c r="B228">
        <v>1</v>
      </c>
      <c r="C228">
        <v>0.161</v>
      </c>
    </row>
    <row r="229" spans="1:3" ht="28.8" x14ac:dyDescent="0.3">
      <c r="A229" s="2" t="s">
        <v>3992</v>
      </c>
      <c r="B229">
        <v>1</v>
      </c>
      <c r="C229">
        <v>0.161</v>
      </c>
    </row>
    <row r="230" spans="1:3" ht="28.8" x14ac:dyDescent="0.3">
      <c r="A230" s="2" t="s">
        <v>3993</v>
      </c>
      <c r="B230">
        <v>1</v>
      </c>
      <c r="C230">
        <v>0.161</v>
      </c>
    </row>
    <row r="231" spans="1:3" ht="28.8" x14ac:dyDescent="0.3">
      <c r="A231" s="2" t="s">
        <v>3994</v>
      </c>
      <c r="B231">
        <v>1</v>
      </c>
      <c r="C231">
        <v>0.161</v>
      </c>
    </row>
    <row r="232" spans="1:3" ht="28.8" x14ac:dyDescent="0.3">
      <c r="A232" s="2" t="s">
        <v>3995</v>
      </c>
      <c r="B232">
        <v>1</v>
      </c>
      <c r="C232">
        <v>0.161</v>
      </c>
    </row>
    <row r="233" spans="1:3" x14ac:dyDescent="0.3">
      <c r="A233" s="2" t="s">
        <v>3996</v>
      </c>
      <c r="B233">
        <v>1</v>
      </c>
      <c r="C233">
        <v>0.161</v>
      </c>
    </row>
    <row r="234" spans="1:3" ht="28.8" x14ac:dyDescent="0.3">
      <c r="A234" s="2" t="s">
        <v>3997</v>
      </c>
      <c r="B234">
        <v>1</v>
      </c>
      <c r="C234">
        <v>0.161</v>
      </c>
    </row>
    <row r="235" spans="1:3" ht="28.8" x14ac:dyDescent="0.3">
      <c r="A235" s="2" t="s">
        <v>3998</v>
      </c>
      <c r="B235">
        <v>1</v>
      </c>
      <c r="C235">
        <v>0.161</v>
      </c>
    </row>
    <row r="236" spans="1:3" x14ac:dyDescent="0.3">
      <c r="A236" s="2" t="s">
        <v>3999</v>
      </c>
      <c r="B236">
        <v>1</v>
      </c>
      <c r="C236">
        <v>0.161</v>
      </c>
    </row>
    <row r="237" spans="1:3" ht="28.8" x14ac:dyDescent="0.3">
      <c r="A237" s="2" t="s">
        <v>4000</v>
      </c>
      <c r="B237">
        <v>1</v>
      </c>
      <c r="C237">
        <v>0.161</v>
      </c>
    </row>
    <row r="238" spans="1:3" x14ac:dyDescent="0.3">
      <c r="A238" s="2" t="s">
        <v>4001</v>
      </c>
      <c r="B238">
        <v>1</v>
      </c>
      <c r="C238">
        <v>0.161</v>
      </c>
    </row>
    <row r="239" spans="1:3" x14ac:dyDescent="0.3">
      <c r="A239" s="2" t="s">
        <v>4002</v>
      </c>
      <c r="B239">
        <v>1</v>
      </c>
      <c r="C239">
        <v>0.161</v>
      </c>
    </row>
    <row r="240" spans="1:3" x14ac:dyDescent="0.3">
      <c r="A240" s="2" t="s">
        <v>4003</v>
      </c>
      <c r="B240">
        <v>1</v>
      </c>
      <c r="C240">
        <v>0.161</v>
      </c>
    </row>
    <row r="241" spans="1:3" ht="28.8" x14ac:dyDescent="0.3">
      <c r="A241" s="2" t="s">
        <v>4004</v>
      </c>
      <c r="B241">
        <v>1</v>
      </c>
      <c r="C241">
        <v>0.161</v>
      </c>
    </row>
    <row r="242" spans="1:3" ht="28.8" x14ac:dyDescent="0.3">
      <c r="A242" s="2" t="s">
        <v>4005</v>
      </c>
      <c r="B242">
        <v>1</v>
      </c>
      <c r="C242">
        <v>0.161</v>
      </c>
    </row>
    <row r="243" spans="1:3" ht="28.8" x14ac:dyDescent="0.3">
      <c r="A243" s="2" t="s">
        <v>4006</v>
      </c>
      <c r="B243">
        <v>1</v>
      </c>
      <c r="C243">
        <v>0.161</v>
      </c>
    </row>
    <row r="244" spans="1:3" ht="28.8" x14ac:dyDescent="0.3">
      <c r="A244" s="2" t="s">
        <v>4007</v>
      </c>
      <c r="B244">
        <v>1</v>
      </c>
      <c r="C244">
        <v>0.161</v>
      </c>
    </row>
    <row r="245" spans="1:3" ht="28.8" x14ac:dyDescent="0.3">
      <c r="A245" s="2" t="s">
        <v>4008</v>
      </c>
      <c r="B245">
        <v>1</v>
      </c>
      <c r="C245">
        <v>0.161</v>
      </c>
    </row>
    <row r="246" spans="1:3" ht="28.8" x14ac:dyDescent="0.3">
      <c r="A246" s="2" t="s">
        <v>4009</v>
      </c>
      <c r="B246">
        <v>1</v>
      </c>
      <c r="C246">
        <v>0.161</v>
      </c>
    </row>
    <row r="247" spans="1:3" ht="28.8" x14ac:dyDescent="0.3">
      <c r="A247" s="2" t="s">
        <v>4010</v>
      </c>
      <c r="B247">
        <v>1</v>
      </c>
      <c r="C247">
        <v>0.161</v>
      </c>
    </row>
    <row r="248" spans="1:3" x14ac:dyDescent="0.3">
      <c r="A248" s="2" t="s">
        <v>4011</v>
      </c>
      <c r="B248">
        <v>1</v>
      </c>
      <c r="C248">
        <v>0.161</v>
      </c>
    </row>
    <row r="249" spans="1:3" x14ac:dyDescent="0.3">
      <c r="A249" s="2" t="s">
        <v>4012</v>
      </c>
      <c r="B249">
        <v>1</v>
      </c>
      <c r="C249">
        <v>0.161</v>
      </c>
    </row>
    <row r="250" spans="1:3" ht="28.8" x14ac:dyDescent="0.3">
      <c r="A250" s="2" t="s">
        <v>4013</v>
      </c>
      <c r="B250">
        <v>1</v>
      </c>
      <c r="C250">
        <v>0.161</v>
      </c>
    </row>
    <row r="251" spans="1:3" x14ac:dyDescent="0.3">
      <c r="A251" s="2" t="s">
        <v>4014</v>
      </c>
      <c r="B251">
        <v>1</v>
      </c>
      <c r="C251">
        <v>0.161</v>
      </c>
    </row>
    <row r="252" spans="1:3" x14ac:dyDescent="0.3">
      <c r="A252" s="2" t="s">
        <v>4015</v>
      </c>
      <c r="B252">
        <v>1</v>
      </c>
      <c r="C252">
        <v>0.161</v>
      </c>
    </row>
    <row r="253" spans="1:3" x14ac:dyDescent="0.3">
      <c r="A253" s="2" t="s">
        <v>4016</v>
      </c>
      <c r="B253">
        <v>1</v>
      </c>
      <c r="C253">
        <v>0.161</v>
      </c>
    </row>
    <row r="254" spans="1:3" x14ac:dyDescent="0.3">
      <c r="A254" s="2" t="s">
        <v>4017</v>
      </c>
      <c r="B254">
        <v>1</v>
      </c>
      <c r="C254">
        <v>0.161</v>
      </c>
    </row>
    <row r="255" spans="1:3" ht="28.8" x14ac:dyDescent="0.3">
      <c r="A255" s="2" t="s">
        <v>4018</v>
      </c>
      <c r="B255">
        <v>1</v>
      </c>
      <c r="C255">
        <v>0.161</v>
      </c>
    </row>
    <row r="256" spans="1:3" x14ac:dyDescent="0.3">
      <c r="A256" s="2" t="s">
        <v>4019</v>
      </c>
      <c r="B256">
        <v>1</v>
      </c>
      <c r="C256">
        <v>0.161</v>
      </c>
    </row>
    <row r="257" spans="1:3" ht="28.8" x14ac:dyDescent="0.3">
      <c r="A257" s="2" t="s">
        <v>4020</v>
      </c>
      <c r="B257">
        <v>1</v>
      </c>
      <c r="C257">
        <v>0.161</v>
      </c>
    </row>
    <row r="258" spans="1:3" ht="28.8" x14ac:dyDescent="0.3">
      <c r="A258" s="2" t="s">
        <v>4021</v>
      </c>
      <c r="B258">
        <v>1</v>
      </c>
      <c r="C258">
        <v>0.161</v>
      </c>
    </row>
    <row r="259" spans="1:3" x14ac:dyDescent="0.3">
      <c r="A259" s="2" t="s">
        <v>4022</v>
      </c>
      <c r="B259">
        <v>1</v>
      </c>
      <c r="C259">
        <v>0.161</v>
      </c>
    </row>
    <row r="260" spans="1:3" ht="28.8" x14ac:dyDescent="0.3">
      <c r="A260" s="2" t="s">
        <v>4023</v>
      </c>
      <c r="B260">
        <v>1</v>
      </c>
      <c r="C260">
        <v>0.161</v>
      </c>
    </row>
    <row r="261" spans="1:3" x14ac:dyDescent="0.3">
      <c r="A261" s="2" t="s">
        <v>4024</v>
      </c>
      <c r="B261">
        <v>1</v>
      </c>
      <c r="C261">
        <v>0.161</v>
      </c>
    </row>
    <row r="262" spans="1:3" x14ac:dyDescent="0.3">
      <c r="A262" s="2" t="s">
        <v>4025</v>
      </c>
      <c r="B262">
        <v>1</v>
      </c>
      <c r="C262">
        <v>0.161</v>
      </c>
    </row>
    <row r="263" spans="1:3" x14ac:dyDescent="0.3">
      <c r="A263" s="2" t="s">
        <v>4026</v>
      </c>
      <c r="B263">
        <v>1</v>
      </c>
      <c r="C263">
        <v>0.161</v>
      </c>
    </row>
    <row r="264" spans="1:3" ht="28.8" x14ac:dyDescent="0.3">
      <c r="A264" s="2" t="s">
        <v>4027</v>
      </c>
      <c r="B264">
        <v>1</v>
      </c>
      <c r="C264">
        <v>0.161</v>
      </c>
    </row>
    <row r="265" spans="1:3" x14ac:dyDescent="0.3">
      <c r="A265" s="2" t="s">
        <v>4028</v>
      </c>
      <c r="B265">
        <v>1</v>
      </c>
      <c r="C265">
        <v>0.161</v>
      </c>
    </row>
    <row r="266" spans="1:3" x14ac:dyDescent="0.3">
      <c r="A266" s="2" t="s">
        <v>4029</v>
      </c>
      <c r="B266">
        <v>1</v>
      </c>
      <c r="C266">
        <v>0.161</v>
      </c>
    </row>
    <row r="267" spans="1:3" ht="28.8" x14ac:dyDescent="0.3">
      <c r="A267" s="2" t="s">
        <v>4030</v>
      </c>
      <c r="B267">
        <v>1</v>
      </c>
      <c r="C267">
        <v>0.161</v>
      </c>
    </row>
    <row r="268" spans="1:3" ht="28.8" x14ac:dyDescent="0.3">
      <c r="A268" s="2" t="s">
        <v>4031</v>
      </c>
      <c r="B268">
        <v>1</v>
      </c>
      <c r="C268">
        <v>0.161</v>
      </c>
    </row>
    <row r="269" spans="1:3" x14ac:dyDescent="0.3">
      <c r="A269" s="2" t="s">
        <v>4032</v>
      </c>
      <c r="B269">
        <v>1</v>
      </c>
      <c r="C269">
        <v>0.161</v>
      </c>
    </row>
    <row r="270" spans="1:3" x14ac:dyDescent="0.3">
      <c r="A270" s="2" t="s">
        <v>4033</v>
      </c>
      <c r="B270">
        <v>1</v>
      </c>
      <c r="C270">
        <v>0.161</v>
      </c>
    </row>
    <row r="271" spans="1:3" ht="28.8" x14ac:dyDescent="0.3">
      <c r="A271" s="2" t="s">
        <v>4034</v>
      </c>
      <c r="B271">
        <v>1</v>
      </c>
      <c r="C271">
        <v>0.161</v>
      </c>
    </row>
    <row r="272" spans="1:3" ht="28.8" x14ac:dyDescent="0.3">
      <c r="A272" s="2" t="s">
        <v>4035</v>
      </c>
      <c r="B272">
        <v>1</v>
      </c>
      <c r="C272">
        <v>0.161</v>
      </c>
    </row>
    <row r="273" spans="1:3" ht="28.8" x14ac:dyDescent="0.3">
      <c r="A273" s="2" t="s">
        <v>4036</v>
      </c>
      <c r="B273">
        <v>1</v>
      </c>
      <c r="C273">
        <v>0.161</v>
      </c>
    </row>
    <row r="274" spans="1:3" x14ac:dyDescent="0.3">
      <c r="A274" s="2" t="s">
        <v>4037</v>
      </c>
      <c r="B274">
        <v>1</v>
      </c>
      <c r="C274">
        <v>0.161</v>
      </c>
    </row>
    <row r="275" spans="1:3" x14ac:dyDescent="0.3">
      <c r="A275" s="2" t="s">
        <v>4038</v>
      </c>
      <c r="B275">
        <v>1</v>
      </c>
      <c r="C275">
        <v>0.161</v>
      </c>
    </row>
    <row r="276" spans="1:3" x14ac:dyDescent="0.3">
      <c r="A276" s="2" t="s">
        <v>4039</v>
      </c>
      <c r="B276">
        <v>1</v>
      </c>
      <c r="C276">
        <v>0.161</v>
      </c>
    </row>
    <row r="277" spans="1:3" ht="28.8" x14ac:dyDescent="0.3">
      <c r="A277" s="2" t="s">
        <v>4040</v>
      </c>
      <c r="B277">
        <v>1</v>
      </c>
      <c r="C277">
        <v>0.161</v>
      </c>
    </row>
    <row r="278" spans="1:3" x14ac:dyDescent="0.3">
      <c r="A278" s="2" t="s">
        <v>4041</v>
      </c>
      <c r="B278">
        <v>1</v>
      </c>
      <c r="C278">
        <v>0.161</v>
      </c>
    </row>
    <row r="279" spans="1:3" ht="28.8" x14ac:dyDescent="0.3">
      <c r="A279" s="2" t="s">
        <v>4042</v>
      </c>
      <c r="B279">
        <v>1</v>
      </c>
      <c r="C279">
        <v>0.161</v>
      </c>
    </row>
    <row r="280" spans="1:3" ht="28.8" x14ac:dyDescent="0.3">
      <c r="A280" s="2" t="s">
        <v>4043</v>
      </c>
      <c r="B280">
        <v>1</v>
      </c>
      <c r="C280">
        <v>0.161</v>
      </c>
    </row>
    <row r="281" spans="1:3" x14ac:dyDescent="0.3">
      <c r="A281" s="2" t="s">
        <v>4044</v>
      </c>
      <c r="B281">
        <v>1</v>
      </c>
      <c r="C281">
        <v>0.161</v>
      </c>
    </row>
    <row r="282" spans="1:3" x14ac:dyDescent="0.3">
      <c r="A282" s="2" t="s">
        <v>4045</v>
      </c>
      <c r="B282">
        <v>1</v>
      </c>
      <c r="C282">
        <v>0.161</v>
      </c>
    </row>
    <row r="283" spans="1:3" ht="28.8" x14ac:dyDescent="0.3">
      <c r="A283" s="2" t="s">
        <v>4046</v>
      </c>
      <c r="B283">
        <v>1</v>
      </c>
      <c r="C283">
        <v>0.161</v>
      </c>
    </row>
    <row r="284" spans="1:3" ht="28.8" x14ac:dyDescent="0.3">
      <c r="A284" s="2" t="s">
        <v>4047</v>
      </c>
      <c r="B284">
        <v>1</v>
      </c>
      <c r="C284">
        <v>0.161</v>
      </c>
    </row>
    <row r="285" spans="1:3" ht="28.8" x14ac:dyDescent="0.3">
      <c r="A285" s="2" t="s">
        <v>4048</v>
      </c>
      <c r="B285">
        <v>1</v>
      </c>
      <c r="C285">
        <v>0.161</v>
      </c>
    </row>
    <row r="286" spans="1:3" ht="28.8" x14ac:dyDescent="0.3">
      <c r="A286" s="2" t="s">
        <v>4049</v>
      </c>
      <c r="B286">
        <v>1</v>
      </c>
      <c r="C286">
        <v>0.161</v>
      </c>
    </row>
    <row r="287" spans="1:3" x14ac:dyDescent="0.3">
      <c r="A287" s="2" t="s">
        <v>4050</v>
      </c>
      <c r="B287">
        <v>1</v>
      </c>
      <c r="C287">
        <v>0.161</v>
      </c>
    </row>
    <row r="288" spans="1:3" ht="28.8" x14ac:dyDescent="0.3">
      <c r="A288" s="2" t="s">
        <v>4051</v>
      </c>
      <c r="B288">
        <v>1</v>
      </c>
      <c r="C288">
        <v>0.161</v>
      </c>
    </row>
    <row r="289" spans="1:3" x14ac:dyDescent="0.3">
      <c r="A289" s="2" t="s">
        <v>4052</v>
      </c>
      <c r="B289">
        <v>1</v>
      </c>
      <c r="C289">
        <v>0.161</v>
      </c>
    </row>
    <row r="290" spans="1:3" x14ac:dyDescent="0.3">
      <c r="A290" s="2" t="s">
        <v>4053</v>
      </c>
      <c r="B290">
        <v>1</v>
      </c>
      <c r="C290">
        <v>0.161</v>
      </c>
    </row>
    <row r="291" spans="1:3" x14ac:dyDescent="0.3">
      <c r="A291" s="2" t="s">
        <v>4054</v>
      </c>
      <c r="B291">
        <v>1</v>
      </c>
      <c r="C291">
        <v>0.161</v>
      </c>
    </row>
    <row r="292" spans="1:3" ht="28.8" x14ac:dyDescent="0.3">
      <c r="A292" s="2" t="s">
        <v>4055</v>
      </c>
      <c r="B292">
        <v>1</v>
      </c>
      <c r="C292">
        <v>0.161</v>
      </c>
    </row>
    <row r="293" spans="1:3" x14ac:dyDescent="0.3">
      <c r="A293" s="2" t="s">
        <v>4056</v>
      </c>
      <c r="B293">
        <v>1</v>
      </c>
      <c r="C293">
        <v>0.161</v>
      </c>
    </row>
    <row r="294" spans="1:3" ht="28.8" x14ac:dyDescent="0.3">
      <c r="A294" s="2" t="s">
        <v>4057</v>
      </c>
      <c r="B294">
        <v>1</v>
      </c>
      <c r="C294">
        <v>0.161</v>
      </c>
    </row>
    <row r="295" spans="1:3" x14ac:dyDescent="0.3">
      <c r="A295" s="2" t="s">
        <v>4058</v>
      </c>
      <c r="B295">
        <v>1</v>
      </c>
      <c r="C295">
        <v>0.161</v>
      </c>
    </row>
    <row r="296" spans="1:3" ht="28.8" x14ac:dyDescent="0.3">
      <c r="A296" s="2" t="s">
        <v>4059</v>
      </c>
      <c r="B296">
        <v>1</v>
      </c>
      <c r="C296">
        <v>0.161</v>
      </c>
    </row>
    <row r="297" spans="1:3" ht="28.8" x14ac:dyDescent="0.3">
      <c r="A297" s="2" t="s">
        <v>4060</v>
      </c>
      <c r="B297">
        <v>1</v>
      </c>
      <c r="C297">
        <v>0.161</v>
      </c>
    </row>
    <row r="298" spans="1:3" ht="28.8" x14ac:dyDescent="0.3">
      <c r="A298" s="2" t="s">
        <v>4061</v>
      </c>
      <c r="B298">
        <v>1</v>
      </c>
      <c r="C298">
        <v>0.161</v>
      </c>
    </row>
    <row r="299" spans="1:3" ht="28.8" x14ac:dyDescent="0.3">
      <c r="A299" s="2" t="s">
        <v>4062</v>
      </c>
      <c r="B299">
        <v>1</v>
      </c>
      <c r="C299">
        <v>0.161</v>
      </c>
    </row>
    <row r="300" spans="1:3" ht="28.8" x14ac:dyDescent="0.3">
      <c r="A300" s="2" t="s">
        <v>4063</v>
      </c>
      <c r="B300">
        <v>1</v>
      </c>
      <c r="C300">
        <v>0.161</v>
      </c>
    </row>
    <row r="301" spans="1:3" ht="28.8" x14ac:dyDescent="0.3">
      <c r="A301" s="2" t="s">
        <v>4064</v>
      </c>
      <c r="B301">
        <v>1</v>
      </c>
      <c r="C301">
        <v>0.161</v>
      </c>
    </row>
    <row r="302" spans="1:3" ht="28.8" x14ac:dyDescent="0.3">
      <c r="A302" s="2" t="s">
        <v>4065</v>
      </c>
      <c r="B302">
        <v>1</v>
      </c>
      <c r="C302">
        <v>0.161</v>
      </c>
    </row>
    <row r="303" spans="1:3" ht="28.8" x14ac:dyDescent="0.3">
      <c r="A303" s="2" t="s">
        <v>4066</v>
      </c>
      <c r="B303">
        <v>1</v>
      </c>
      <c r="C303">
        <v>0.161</v>
      </c>
    </row>
    <row r="304" spans="1:3" ht="28.8" x14ac:dyDescent="0.3">
      <c r="A304" s="2" t="s">
        <v>4067</v>
      </c>
      <c r="B304">
        <v>1</v>
      </c>
      <c r="C304">
        <v>0.161</v>
      </c>
    </row>
    <row r="305" spans="1:3" ht="28.8" x14ac:dyDescent="0.3">
      <c r="A305" s="2" t="s">
        <v>4068</v>
      </c>
      <c r="B305">
        <v>1</v>
      </c>
      <c r="C305">
        <v>0.161</v>
      </c>
    </row>
    <row r="306" spans="1:3" x14ac:dyDescent="0.3">
      <c r="A306" s="2" t="s">
        <v>4069</v>
      </c>
      <c r="B306">
        <v>1</v>
      </c>
      <c r="C306">
        <v>0.161</v>
      </c>
    </row>
    <row r="307" spans="1:3" x14ac:dyDescent="0.3">
      <c r="A307" s="2" t="s">
        <v>4070</v>
      </c>
      <c r="B307">
        <v>1</v>
      </c>
      <c r="C307">
        <v>0.161</v>
      </c>
    </row>
    <row r="308" spans="1:3" ht="28.8" x14ac:dyDescent="0.3">
      <c r="A308" s="2" t="s">
        <v>4071</v>
      </c>
      <c r="B308">
        <v>1</v>
      </c>
      <c r="C308">
        <v>0.161</v>
      </c>
    </row>
    <row r="309" spans="1:3" x14ac:dyDescent="0.3">
      <c r="A309" s="2" t="s">
        <v>4072</v>
      </c>
      <c r="B309">
        <v>1</v>
      </c>
      <c r="C309">
        <v>0.161</v>
      </c>
    </row>
    <row r="310" spans="1:3" x14ac:dyDescent="0.3">
      <c r="A310" s="2" t="s">
        <v>4073</v>
      </c>
      <c r="B310">
        <v>1</v>
      </c>
      <c r="C310">
        <v>0.161</v>
      </c>
    </row>
    <row r="311" spans="1:3" x14ac:dyDescent="0.3">
      <c r="A311" s="2" t="s">
        <v>4074</v>
      </c>
      <c r="B311">
        <v>1</v>
      </c>
      <c r="C311">
        <v>0.161</v>
      </c>
    </row>
    <row r="312" spans="1:3" x14ac:dyDescent="0.3">
      <c r="A312" s="2" t="s">
        <v>4075</v>
      </c>
      <c r="B312">
        <v>1</v>
      </c>
      <c r="C312">
        <v>0.161</v>
      </c>
    </row>
    <row r="313" spans="1:3" ht="28.8" x14ac:dyDescent="0.3">
      <c r="A313" s="2" t="s">
        <v>4076</v>
      </c>
      <c r="B313">
        <v>1</v>
      </c>
      <c r="C313">
        <v>0.161</v>
      </c>
    </row>
    <row r="314" spans="1:3" ht="28.8" x14ac:dyDescent="0.3">
      <c r="A314" s="2" t="s">
        <v>4077</v>
      </c>
      <c r="B314">
        <v>1</v>
      </c>
      <c r="C314">
        <v>0.161</v>
      </c>
    </row>
    <row r="315" spans="1:3" ht="28.8" x14ac:dyDescent="0.3">
      <c r="A315" s="2" t="s">
        <v>4078</v>
      </c>
      <c r="B315">
        <v>1</v>
      </c>
      <c r="C315">
        <v>0.161</v>
      </c>
    </row>
    <row r="316" spans="1:3" ht="28.8" x14ac:dyDescent="0.3">
      <c r="A316" s="2" t="s">
        <v>4079</v>
      </c>
      <c r="B316">
        <v>1</v>
      </c>
      <c r="C316">
        <v>0.161</v>
      </c>
    </row>
    <row r="317" spans="1:3" x14ac:dyDescent="0.3">
      <c r="A317" s="2" t="s">
        <v>4080</v>
      </c>
      <c r="B317">
        <v>1</v>
      </c>
      <c r="C317">
        <v>0.161</v>
      </c>
    </row>
    <row r="318" spans="1:3" x14ac:dyDescent="0.3">
      <c r="A318" s="2" t="s">
        <v>4081</v>
      </c>
      <c r="B318">
        <v>1</v>
      </c>
      <c r="C318">
        <v>0.161</v>
      </c>
    </row>
    <row r="319" spans="1:3" x14ac:dyDescent="0.3">
      <c r="A319" s="2" t="s">
        <v>4082</v>
      </c>
      <c r="B319">
        <v>1</v>
      </c>
      <c r="C319">
        <v>0.161</v>
      </c>
    </row>
    <row r="320" spans="1:3" x14ac:dyDescent="0.3">
      <c r="A320" s="2" t="s">
        <v>4083</v>
      </c>
      <c r="B320">
        <v>1</v>
      </c>
      <c r="C320">
        <v>0.161</v>
      </c>
    </row>
    <row r="321" spans="1:3" x14ac:dyDescent="0.3">
      <c r="A321" s="2" t="s">
        <v>4084</v>
      </c>
      <c r="B321">
        <v>1</v>
      </c>
      <c r="C321">
        <v>0.161</v>
      </c>
    </row>
    <row r="322" spans="1:3" ht="28.8" x14ac:dyDescent="0.3">
      <c r="A322" s="2" t="s">
        <v>4085</v>
      </c>
      <c r="B322">
        <v>1</v>
      </c>
      <c r="C322">
        <v>0.161</v>
      </c>
    </row>
    <row r="323" spans="1:3" ht="28.8" x14ac:dyDescent="0.3">
      <c r="A323" s="2" t="s">
        <v>4086</v>
      </c>
      <c r="B323">
        <v>1</v>
      </c>
      <c r="C323">
        <v>0.161</v>
      </c>
    </row>
    <row r="324" spans="1:3" x14ac:dyDescent="0.3">
      <c r="A324" s="2" t="s">
        <v>4087</v>
      </c>
      <c r="B324">
        <v>1</v>
      </c>
      <c r="C324">
        <v>0.161</v>
      </c>
    </row>
    <row r="325" spans="1:3" ht="28.8" x14ac:dyDescent="0.3">
      <c r="A325" s="2" t="s">
        <v>4088</v>
      </c>
      <c r="B325">
        <v>1</v>
      </c>
      <c r="C325">
        <v>0.161</v>
      </c>
    </row>
    <row r="326" spans="1:3" ht="28.8" x14ac:dyDescent="0.3">
      <c r="A326" s="2" t="s">
        <v>4089</v>
      </c>
      <c r="B326">
        <v>1</v>
      </c>
      <c r="C326">
        <v>0.161</v>
      </c>
    </row>
    <row r="327" spans="1:3" x14ac:dyDescent="0.3">
      <c r="A327" s="2" t="s">
        <v>4090</v>
      </c>
      <c r="B327">
        <v>1</v>
      </c>
      <c r="C327">
        <v>0.161</v>
      </c>
    </row>
    <row r="328" spans="1:3" ht="28.8" x14ac:dyDescent="0.3">
      <c r="A328" s="2" t="s">
        <v>4091</v>
      </c>
      <c r="B328">
        <v>1</v>
      </c>
      <c r="C328">
        <v>0.161</v>
      </c>
    </row>
    <row r="329" spans="1:3" x14ac:dyDescent="0.3">
      <c r="A329" s="2" t="s">
        <v>4092</v>
      </c>
      <c r="B329">
        <v>1</v>
      </c>
      <c r="C329">
        <v>0.161</v>
      </c>
    </row>
    <row r="330" spans="1:3" x14ac:dyDescent="0.3">
      <c r="A330" s="2" t="s">
        <v>4093</v>
      </c>
      <c r="B330">
        <v>1</v>
      </c>
      <c r="C330">
        <v>0.161</v>
      </c>
    </row>
    <row r="331" spans="1:3" x14ac:dyDescent="0.3">
      <c r="A331" s="2" t="s">
        <v>4094</v>
      </c>
      <c r="B331">
        <v>1</v>
      </c>
      <c r="C331">
        <v>0.161</v>
      </c>
    </row>
    <row r="332" spans="1:3" x14ac:dyDescent="0.3">
      <c r="A332" s="2" t="s">
        <v>4095</v>
      </c>
      <c r="B332">
        <v>1</v>
      </c>
      <c r="C332">
        <v>0.161</v>
      </c>
    </row>
    <row r="333" spans="1:3" ht="28.8" x14ac:dyDescent="0.3">
      <c r="A333" s="2" t="s">
        <v>4096</v>
      </c>
      <c r="B333">
        <v>1</v>
      </c>
      <c r="C333">
        <v>0.161</v>
      </c>
    </row>
    <row r="334" spans="1:3" x14ac:dyDescent="0.3">
      <c r="A334" s="2" t="s">
        <v>4097</v>
      </c>
      <c r="B334">
        <v>1</v>
      </c>
      <c r="C334">
        <v>0.161</v>
      </c>
    </row>
    <row r="335" spans="1:3" x14ac:dyDescent="0.3">
      <c r="A335" s="2" t="s">
        <v>4098</v>
      </c>
      <c r="B335">
        <v>1</v>
      </c>
      <c r="C335">
        <v>0.161</v>
      </c>
    </row>
    <row r="336" spans="1:3" x14ac:dyDescent="0.3">
      <c r="A336" s="2" t="s">
        <v>4099</v>
      </c>
      <c r="B336">
        <v>1</v>
      </c>
      <c r="C336">
        <v>0.161</v>
      </c>
    </row>
    <row r="337" spans="1:3" x14ac:dyDescent="0.3">
      <c r="A337" s="2" t="s">
        <v>4100</v>
      </c>
      <c r="B337">
        <v>1</v>
      </c>
      <c r="C337">
        <v>0.161</v>
      </c>
    </row>
    <row r="338" spans="1:3" ht="28.8" x14ac:dyDescent="0.3">
      <c r="A338" s="2" t="s">
        <v>4101</v>
      </c>
      <c r="B338">
        <v>1</v>
      </c>
      <c r="C338">
        <v>0.161</v>
      </c>
    </row>
    <row r="339" spans="1:3" x14ac:dyDescent="0.3">
      <c r="A339" s="2" t="s">
        <v>4102</v>
      </c>
      <c r="B339">
        <v>1</v>
      </c>
      <c r="C339">
        <v>0.161</v>
      </c>
    </row>
    <row r="340" spans="1:3" x14ac:dyDescent="0.3">
      <c r="A340" s="2" t="s">
        <v>4103</v>
      </c>
      <c r="B340">
        <v>1</v>
      </c>
      <c r="C340">
        <v>0.161</v>
      </c>
    </row>
    <row r="341" spans="1:3" x14ac:dyDescent="0.3">
      <c r="A341" s="2" t="s">
        <v>4104</v>
      </c>
      <c r="B341">
        <v>1</v>
      </c>
      <c r="C341">
        <v>0.161</v>
      </c>
    </row>
    <row r="342" spans="1:3" x14ac:dyDescent="0.3">
      <c r="A342" s="2" t="s">
        <v>4105</v>
      </c>
      <c r="B342">
        <v>1</v>
      </c>
      <c r="C342">
        <v>0.161</v>
      </c>
    </row>
    <row r="343" spans="1:3" x14ac:dyDescent="0.3">
      <c r="A343" s="2" t="s">
        <v>4106</v>
      </c>
      <c r="B343">
        <v>1</v>
      </c>
      <c r="C343">
        <v>0.161</v>
      </c>
    </row>
    <row r="344" spans="1:3" ht="28.8" x14ac:dyDescent="0.3">
      <c r="A344" s="2" t="s">
        <v>4107</v>
      </c>
      <c r="B344">
        <v>1</v>
      </c>
      <c r="C344">
        <v>0.161</v>
      </c>
    </row>
    <row r="345" spans="1:3" ht="28.8" x14ac:dyDescent="0.3">
      <c r="A345" s="2" t="s">
        <v>4108</v>
      </c>
      <c r="B345">
        <v>1</v>
      </c>
      <c r="C345">
        <v>0.161</v>
      </c>
    </row>
    <row r="346" spans="1:3" ht="28.8" x14ac:dyDescent="0.3">
      <c r="A346" s="2" t="s">
        <v>4109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405836-C598-4A90-89B7-932F0EAD63E7}">
  <dimension ref="A1:C1819"/>
  <sheetViews>
    <sheetView workbookViewId="0">
      <selection activeCell="A7" sqref="A7"/>
    </sheetView>
  </sheetViews>
  <sheetFormatPr defaultRowHeight="14.4" x14ac:dyDescent="0.3"/>
  <cols>
    <col min="1" max="1" width="17.33203125" customWidth="1"/>
    <col min="2" max="2" width="10.88671875" customWidth="1"/>
  </cols>
  <sheetData>
    <row r="1" spans="1:3" x14ac:dyDescent="0.3">
      <c r="A1" t="s">
        <v>7</v>
      </c>
      <c r="B1" t="s">
        <v>2864</v>
      </c>
      <c r="C1" t="s">
        <v>2870</v>
      </c>
    </row>
    <row r="2" spans="1:3" x14ac:dyDescent="0.3">
      <c r="A2" t="s">
        <v>4111</v>
      </c>
      <c r="B2">
        <v>5</v>
      </c>
      <c r="C2">
        <v>0.80300000000000005</v>
      </c>
    </row>
    <row r="3" spans="1:3" x14ac:dyDescent="0.3">
      <c r="A3" t="s">
        <v>4112</v>
      </c>
      <c r="B3">
        <v>4</v>
      </c>
      <c r="C3">
        <v>0.64200000000000002</v>
      </c>
    </row>
    <row r="4" spans="1:3" x14ac:dyDescent="0.3">
      <c r="A4" t="s">
        <v>4113</v>
      </c>
      <c r="B4">
        <v>4</v>
      </c>
      <c r="C4">
        <v>0.64200000000000002</v>
      </c>
    </row>
    <row r="5" spans="1:3" x14ac:dyDescent="0.3">
      <c r="A5" t="s">
        <v>4114</v>
      </c>
      <c r="B5">
        <v>4</v>
      </c>
      <c r="C5">
        <v>0.64200000000000002</v>
      </c>
    </row>
    <row r="6" spans="1:3" x14ac:dyDescent="0.3">
      <c r="A6" t="s">
        <v>4115</v>
      </c>
      <c r="B6">
        <v>4</v>
      </c>
      <c r="C6">
        <v>0.64200000000000002</v>
      </c>
    </row>
    <row r="7" spans="1:3" x14ac:dyDescent="0.3">
      <c r="A7" t="s">
        <v>4116</v>
      </c>
      <c r="B7">
        <v>4</v>
      </c>
      <c r="C7">
        <v>0.64200000000000002</v>
      </c>
    </row>
    <row r="8" spans="1:3" x14ac:dyDescent="0.3">
      <c r="A8" t="s">
        <v>4117</v>
      </c>
      <c r="B8">
        <v>3</v>
      </c>
      <c r="C8">
        <v>0.48199999999999998</v>
      </c>
    </row>
    <row r="9" spans="1:3" x14ac:dyDescent="0.3">
      <c r="A9" t="s">
        <v>4118</v>
      </c>
      <c r="B9">
        <v>3</v>
      </c>
      <c r="C9">
        <v>0.48199999999999998</v>
      </c>
    </row>
    <row r="10" spans="1:3" x14ac:dyDescent="0.3">
      <c r="A10" t="s">
        <v>4119</v>
      </c>
      <c r="B10">
        <v>3</v>
      </c>
      <c r="C10">
        <v>0.48199999999999998</v>
      </c>
    </row>
    <row r="11" spans="1:3" x14ac:dyDescent="0.3">
      <c r="A11" t="s">
        <v>4120</v>
      </c>
      <c r="B11">
        <v>3</v>
      </c>
      <c r="C11">
        <v>0.48199999999999998</v>
      </c>
    </row>
    <row r="12" spans="1:3" x14ac:dyDescent="0.3">
      <c r="A12" t="s">
        <v>4121</v>
      </c>
      <c r="B12">
        <v>3</v>
      </c>
      <c r="C12">
        <v>0.48199999999999998</v>
      </c>
    </row>
    <row r="13" spans="1:3" x14ac:dyDescent="0.3">
      <c r="A13" t="s">
        <v>4122</v>
      </c>
      <c r="B13">
        <v>3</v>
      </c>
      <c r="C13">
        <v>0.48199999999999998</v>
      </c>
    </row>
    <row r="14" spans="1:3" x14ac:dyDescent="0.3">
      <c r="A14" t="s">
        <v>4123</v>
      </c>
      <c r="B14">
        <v>3</v>
      </c>
      <c r="C14">
        <v>0.48199999999999998</v>
      </c>
    </row>
    <row r="15" spans="1:3" x14ac:dyDescent="0.3">
      <c r="A15" t="s">
        <v>4124</v>
      </c>
      <c r="B15">
        <v>3</v>
      </c>
      <c r="C15">
        <v>0.48199999999999998</v>
      </c>
    </row>
    <row r="16" spans="1:3" x14ac:dyDescent="0.3">
      <c r="A16" t="s">
        <v>4125</v>
      </c>
      <c r="B16">
        <v>3</v>
      </c>
      <c r="C16">
        <v>0.48199999999999998</v>
      </c>
    </row>
    <row r="17" spans="1:3" x14ac:dyDescent="0.3">
      <c r="A17" t="s">
        <v>4126</v>
      </c>
      <c r="B17">
        <v>3</v>
      </c>
      <c r="C17">
        <v>0.48199999999999998</v>
      </c>
    </row>
    <row r="18" spans="1:3" x14ac:dyDescent="0.3">
      <c r="A18" t="s">
        <v>4127</v>
      </c>
      <c r="B18">
        <v>3</v>
      </c>
      <c r="C18">
        <v>0.48199999999999998</v>
      </c>
    </row>
    <row r="19" spans="1:3" x14ac:dyDescent="0.3">
      <c r="A19" t="s">
        <v>4128</v>
      </c>
      <c r="B19">
        <v>3</v>
      </c>
      <c r="C19">
        <v>0.48199999999999998</v>
      </c>
    </row>
    <row r="20" spans="1:3" x14ac:dyDescent="0.3">
      <c r="A20" t="s">
        <v>4129</v>
      </c>
      <c r="B20">
        <v>3</v>
      </c>
      <c r="C20">
        <v>0.48199999999999998</v>
      </c>
    </row>
    <row r="21" spans="1:3" x14ac:dyDescent="0.3">
      <c r="A21" t="s">
        <v>4130</v>
      </c>
      <c r="B21">
        <v>3</v>
      </c>
      <c r="C21">
        <v>0.48199999999999998</v>
      </c>
    </row>
    <row r="22" spans="1:3" x14ac:dyDescent="0.3">
      <c r="A22" t="s">
        <v>4131</v>
      </c>
      <c r="B22">
        <v>3</v>
      </c>
      <c r="C22">
        <v>0.48199999999999998</v>
      </c>
    </row>
    <row r="23" spans="1:3" x14ac:dyDescent="0.3">
      <c r="A23" t="s">
        <v>4132</v>
      </c>
      <c r="B23">
        <v>2</v>
      </c>
      <c r="C23">
        <v>0.32100000000000001</v>
      </c>
    </row>
    <row r="24" spans="1:3" x14ac:dyDescent="0.3">
      <c r="A24" t="s">
        <v>4133</v>
      </c>
      <c r="B24">
        <v>2</v>
      </c>
      <c r="C24">
        <v>0.32100000000000001</v>
      </c>
    </row>
    <row r="25" spans="1:3" x14ac:dyDescent="0.3">
      <c r="A25" t="s">
        <v>4134</v>
      </c>
      <c r="B25">
        <v>2</v>
      </c>
      <c r="C25">
        <v>0.32100000000000001</v>
      </c>
    </row>
    <row r="26" spans="1:3" x14ac:dyDescent="0.3">
      <c r="A26" t="s">
        <v>4135</v>
      </c>
      <c r="B26">
        <v>2</v>
      </c>
      <c r="C26">
        <v>0.32100000000000001</v>
      </c>
    </row>
    <row r="27" spans="1:3" x14ac:dyDescent="0.3">
      <c r="A27" t="s">
        <v>4136</v>
      </c>
      <c r="B27">
        <v>2</v>
      </c>
      <c r="C27">
        <v>0.32100000000000001</v>
      </c>
    </row>
    <row r="28" spans="1:3" x14ac:dyDescent="0.3">
      <c r="A28" t="s">
        <v>4137</v>
      </c>
      <c r="B28">
        <v>2</v>
      </c>
      <c r="C28">
        <v>0.32100000000000001</v>
      </c>
    </row>
    <row r="29" spans="1:3" x14ac:dyDescent="0.3">
      <c r="A29" t="s">
        <v>4138</v>
      </c>
      <c r="B29">
        <v>2</v>
      </c>
      <c r="C29">
        <v>0.32100000000000001</v>
      </c>
    </row>
    <row r="30" spans="1:3" x14ac:dyDescent="0.3">
      <c r="A30" t="s">
        <v>4139</v>
      </c>
      <c r="B30">
        <v>2</v>
      </c>
      <c r="C30">
        <v>0.32100000000000001</v>
      </c>
    </row>
    <row r="31" spans="1:3" x14ac:dyDescent="0.3">
      <c r="A31" t="s">
        <v>4140</v>
      </c>
      <c r="B31">
        <v>2</v>
      </c>
      <c r="C31">
        <v>0.32100000000000001</v>
      </c>
    </row>
    <row r="32" spans="1:3" x14ac:dyDescent="0.3">
      <c r="A32" t="s">
        <v>4141</v>
      </c>
      <c r="B32">
        <v>2</v>
      </c>
      <c r="C32">
        <v>0.32100000000000001</v>
      </c>
    </row>
    <row r="33" spans="1:3" x14ac:dyDescent="0.3">
      <c r="A33" t="s">
        <v>4142</v>
      </c>
      <c r="B33">
        <v>2</v>
      </c>
      <c r="C33">
        <v>0.32100000000000001</v>
      </c>
    </row>
    <row r="34" spans="1:3" x14ac:dyDescent="0.3">
      <c r="A34" t="s">
        <v>4143</v>
      </c>
      <c r="B34">
        <v>2</v>
      </c>
      <c r="C34">
        <v>0.32100000000000001</v>
      </c>
    </row>
    <row r="35" spans="1:3" x14ac:dyDescent="0.3">
      <c r="A35" t="s">
        <v>4144</v>
      </c>
      <c r="B35">
        <v>2</v>
      </c>
      <c r="C35">
        <v>0.32100000000000001</v>
      </c>
    </row>
    <row r="36" spans="1:3" x14ac:dyDescent="0.3">
      <c r="A36" t="s">
        <v>4145</v>
      </c>
      <c r="B36">
        <v>2</v>
      </c>
      <c r="C36">
        <v>0.32100000000000001</v>
      </c>
    </row>
    <row r="37" spans="1:3" x14ac:dyDescent="0.3">
      <c r="A37" t="s">
        <v>4146</v>
      </c>
      <c r="B37">
        <v>2</v>
      </c>
      <c r="C37">
        <v>0.32100000000000001</v>
      </c>
    </row>
    <row r="38" spans="1:3" x14ac:dyDescent="0.3">
      <c r="A38" t="s">
        <v>4147</v>
      </c>
      <c r="B38">
        <v>2</v>
      </c>
      <c r="C38">
        <v>0.32100000000000001</v>
      </c>
    </row>
    <row r="39" spans="1:3" x14ac:dyDescent="0.3">
      <c r="A39" t="s">
        <v>4148</v>
      </c>
      <c r="B39">
        <v>2</v>
      </c>
      <c r="C39">
        <v>0.32100000000000001</v>
      </c>
    </row>
    <row r="40" spans="1:3" x14ac:dyDescent="0.3">
      <c r="A40" t="s">
        <v>4149</v>
      </c>
      <c r="B40">
        <v>2</v>
      </c>
      <c r="C40">
        <v>0.32100000000000001</v>
      </c>
    </row>
    <row r="41" spans="1:3" x14ac:dyDescent="0.3">
      <c r="A41" t="s">
        <v>4150</v>
      </c>
      <c r="B41">
        <v>2</v>
      </c>
      <c r="C41">
        <v>0.32100000000000001</v>
      </c>
    </row>
    <row r="42" spans="1:3" x14ac:dyDescent="0.3">
      <c r="A42" t="s">
        <v>4151</v>
      </c>
      <c r="B42">
        <v>2</v>
      </c>
      <c r="C42">
        <v>0.32100000000000001</v>
      </c>
    </row>
    <row r="43" spans="1:3" x14ac:dyDescent="0.3">
      <c r="A43" t="s">
        <v>4152</v>
      </c>
      <c r="B43">
        <v>2</v>
      </c>
      <c r="C43">
        <v>0.32100000000000001</v>
      </c>
    </row>
    <row r="44" spans="1:3" x14ac:dyDescent="0.3">
      <c r="A44" t="s">
        <v>4153</v>
      </c>
      <c r="B44">
        <v>2</v>
      </c>
      <c r="C44">
        <v>0.32100000000000001</v>
      </c>
    </row>
    <row r="45" spans="1:3" x14ac:dyDescent="0.3">
      <c r="A45" t="s">
        <v>4154</v>
      </c>
      <c r="B45">
        <v>2</v>
      </c>
      <c r="C45">
        <v>0.32100000000000001</v>
      </c>
    </row>
    <row r="46" spans="1:3" x14ac:dyDescent="0.3">
      <c r="A46" t="s">
        <v>4155</v>
      </c>
      <c r="B46">
        <v>2</v>
      </c>
      <c r="C46">
        <v>0.32100000000000001</v>
      </c>
    </row>
    <row r="47" spans="1:3" x14ac:dyDescent="0.3">
      <c r="A47" t="s">
        <v>4156</v>
      </c>
      <c r="B47">
        <v>2</v>
      </c>
      <c r="C47">
        <v>0.32100000000000001</v>
      </c>
    </row>
    <row r="48" spans="1:3" x14ac:dyDescent="0.3">
      <c r="A48" t="s">
        <v>4157</v>
      </c>
      <c r="B48">
        <v>2</v>
      </c>
      <c r="C48">
        <v>0.32100000000000001</v>
      </c>
    </row>
    <row r="49" spans="1:3" x14ac:dyDescent="0.3">
      <c r="A49" t="s">
        <v>4158</v>
      </c>
      <c r="B49">
        <v>2</v>
      </c>
      <c r="C49">
        <v>0.32100000000000001</v>
      </c>
    </row>
    <row r="50" spans="1:3" x14ac:dyDescent="0.3">
      <c r="A50" t="s">
        <v>4159</v>
      </c>
      <c r="B50">
        <v>2</v>
      </c>
      <c r="C50">
        <v>0.32100000000000001</v>
      </c>
    </row>
    <row r="51" spans="1:3" x14ac:dyDescent="0.3">
      <c r="A51" t="s">
        <v>4160</v>
      </c>
      <c r="B51">
        <v>2</v>
      </c>
      <c r="C51">
        <v>0.32100000000000001</v>
      </c>
    </row>
    <row r="52" spans="1:3" x14ac:dyDescent="0.3">
      <c r="A52" t="s">
        <v>4161</v>
      </c>
      <c r="B52">
        <v>2</v>
      </c>
      <c r="C52">
        <v>0.32100000000000001</v>
      </c>
    </row>
    <row r="53" spans="1:3" x14ac:dyDescent="0.3">
      <c r="A53" t="s">
        <v>4162</v>
      </c>
      <c r="B53">
        <v>2</v>
      </c>
      <c r="C53">
        <v>0.32100000000000001</v>
      </c>
    </row>
    <row r="54" spans="1:3" x14ac:dyDescent="0.3">
      <c r="A54" t="s">
        <v>4163</v>
      </c>
      <c r="B54">
        <v>2</v>
      </c>
      <c r="C54">
        <v>0.32100000000000001</v>
      </c>
    </row>
    <row r="55" spans="1:3" x14ac:dyDescent="0.3">
      <c r="A55" t="s">
        <v>4164</v>
      </c>
      <c r="B55">
        <v>2</v>
      </c>
      <c r="C55">
        <v>0.32100000000000001</v>
      </c>
    </row>
    <row r="56" spans="1:3" x14ac:dyDescent="0.3">
      <c r="A56" t="s">
        <v>4165</v>
      </c>
      <c r="B56">
        <v>2</v>
      </c>
      <c r="C56">
        <v>0.32100000000000001</v>
      </c>
    </row>
    <row r="57" spans="1:3" x14ac:dyDescent="0.3">
      <c r="A57" t="s">
        <v>4166</v>
      </c>
      <c r="B57">
        <v>2</v>
      </c>
      <c r="C57">
        <v>0.32100000000000001</v>
      </c>
    </row>
    <row r="58" spans="1:3" x14ac:dyDescent="0.3">
      <c r="A58" t="s">
        <v>4167</v>
      </c>
      <c r="B58">
        <v>2</v>
      </c>
      <c r="C58">
        <v>0.32100000000000001</v>
      </c>
    </row>
    <row r="59" spans="1:3" x14ac:dyDescent="0.3">
      <c r="A59" t="s">
        <v>4168</v>
      </c>
      <c r="B59">
        <v>2</v>
      </c>
      <c r="C59">
        <v>0.32100000000000001</v>
      </c>
    </row>
    <row r="60" spans="1:3" x14ac:dyDescent="0.3">
      <c r="A60" t="s">
        <v>4169</v>
      </c>
      <c r="B60">
        <v>2</v>
      </c>
      <c r="C60">
        <v>0.32100000000000001</v>
      </c>
    </row>
    <row r="61" spans="1:3" x14ac:dyDescent="0.3">
      <c r="A61" t="s">
        <v>4170</v>
      </c>
      <c r="B61">
        <v>2</v>
      </c>
      <c r="C61">
        <v>0.32100000000000001</v>
      </c>
    </row>
    <row r="62" spans="1:3" x14ac:dyDescent="0.3">
      <c r="A62" t="s">
        <v>4171</v>
      </c>
      <c r="B62">
        <v>2</v>
      </c>
      <c r="C62">
        <v>0.32100000000000001</v>
      </c>
    </row>
    <row r="63" spans="1:3" x14ac:dyDescent="0.3">
      <c r="A63" t="s">
        <v>4172</v>
      </c>
      <c r="B63">
        <v>2</v>
      </c>
      <c r="C63">
        <v>0.32100000000000001</v>
      </c>
    </row>
    <row r="64" spans="1:3" x14ac:dyDescent="0.3">
      <c r="A64" t="s">
        <v>4173</v>
      </c>
      <c r="B64">
        <v>2</v>
      </c>
      <c r="C64">
        <v>0.32100000000000001</v>
      </c>
    </row>
    <row r="65" spans="1:3" x14ac:dyDescent="0.3">
      <c r="A65" t="s">
        <v>4174</v>
      </c>
      <c r="B65">
        <v>2</v>
      </c>
      <c r="C65">
        <v>0.32100000000000001</v>
      </c>
    </row>
    <row r="66" spans="1:3" x14ac:dyDescent="0.3">
      <c r="A66" t="s">
        <v>4175</v>
      </c>
      <c r="B66">
        <v>2</v>
      </c>
      <c r="C66">
        <v>0.32100000000000001</v>
      </c>
    </row>
    <row r="67" spans="1:3" x14ac:dyDescent="0.3">
      <c r="A67" t="s">
        <v>4176</v>
      </c>
      <c r="B67">
        <v>2</v>
      </c>
      <c r="C67">
        <v>0.32100000000000001</v>
      </c>
    </row>
    <row r="68" spans="1:3" x14ac:dyDescent="0.3">
      <c r="A68" t="s">
        <v>4177</v>
      </c>
      <c r="B68">
        <v>2</v>
      </c>
      <c r="C68">
        <v>0.32100000000000001</v>
      </c>
    </row>
    <row r="69" spans="1:3" x14ac:dyDescent="0.3">
      <c r="A69" t="s">
        <v>4178</v>
      </c>
      <c r="B69">
        <v>2</v>
      </c>
      <c r="C69">
        <v>0.32100000000000001</v>
      </c>
    </row>
    <row r="70" spans="1:3" x14ac:dyDescent="0.3">
      <c r="A70" t="s">
        <v>4179</v>
      </c>
      <c r="B70">
        <v>2</v>
      </c>
      <c r="C70">
        <v>0.32100000000000001</v>
      </c>
    </row>
    <row r="71" spans="1:3" x14ac:dyDescent="0.3">
      <c r="A71" t="s">
        <v>4180</v>
      </c>
      <c r="B71">
        <v>2</v>
      </c>
      <c r="C71">
        <v>0.32100000000000001</v>
      </c>
    </row>
    <row r="72" spans="1:3" x14ac:dyDescent="0.3">
      <c r="A72" t="s">
        <v>4181</v>
      </c>
      <c r="B72">
        <v>2</v>
      </c>
      <c r="C72">
        <v>0.32100000000000001</v>
      </c>
    </row>
    <row r="73" spans="1:3" x14ac:dyDescent="0.3">
      <c r="A73" t="s">
        <v>4182</v>
      </c>
      <c r="B73">
        <v>2</v>
      </c>
      <c r="C73">
        <v>0.32100000000000001</v>
      </c>
    </row>
    <row r="74" spans="1:3" x14ac:dyDescent="0.3">
      <c r="A74" t="s">
        <v>4183</v>
      </c>
      <c r="B74">
        <v>2</v>
      </c>
      <c r="C74">
        <v>0.32100000000000001</v>
      </c>
    </row>
    <row r="75" spans="1:3" x14ac:dyDescent="0.3">
      <c r="A75" t="s">
        <v>4184</v>
      </c>
      <c r="B75">
        <v>2</v>
      </c>
      <c r="C75">
        <v>0.32100000000000001</v>
      </c>
    </row>
    <row r="76" spans="1:3" x14ac:dyDescent="0.3">
      <c r="A76" t="s">
        <v>4185</v>
      </c>
      <c r="B76">
        <v>2</v>
      </c>
      <c r="C76">
        <v>0.32100000000000001</v>
      </c>
    </row>
    <row r="77" spans="1:3" x14ac:dyDescent="0.3">
      <c r="A77" t="s">
        <v>4186</v>
      </c>
      <c r="B77">
        <v>2</v>
      </c>
      <c r="C77">
        <v>0.32100000000000001</v>
      </c>
    </row>
    <row r="78" spans="1:3" x14ac:dyDescent="0.3">
      <c r="A78" t="s">
        <v>4187</v>
      </c>
      <c r="B78">
        <v>2</v>
      </c>
      <c r="C78">
        <v>0.32100000000000001</v>
      </c>
    </row>
    <row r="79" spans="1:3" x14ac:dyDescent="0.3">
      <c r="A79" t="s">
        <v>4188</v>
      </c>
      <c r="B79">
        <v>2</v>
      </c>
      <c r="C79">
        <v>0.32100000000000001</v>
      </c>
    </row>
    <row r="80" spans="1:3" x14ac:dyDescent="0.3">
      <c r="A80" t="s">
        <v>4189</v>
      </c>
      <c r="B80">
        <v>2</v>
      </c>
      <c r="C80">
        <v>0.32100000000000001</v>
      </c>
    </row>
    <row r="81" spans="1:3" x14ac:dyDescent="0.3">
      <c r="A81" t="s">
        <v>4190</v>
      </c>
      <c r="B81">
        <v>2</v>
      </c>
      <c r="C81">
        <v>0.32100000000000001</v>
      </c>
    </row>
    <row r="82" spans="1:3" x14ac:dyDescent="0.3">
      <c r="A82" t="s">
        <v>4191</v>
      </c>
      <c r="B82">
        <v>2</v>
      </c>
      <c r="C82">
        <v>0.32100000000000001</v>
      </c>
    </row>
    <row r="83" spans="1:3" x14ac:dyDescent="0.3">
      <c r="A83" t="s">
        <v>4192</v>
      </c>
      <c r="B83">
        <v>2</v>
      </c>
      <c r="C83">
        <v>0.32100000000000001</v>
      </c>
    </row>
    <row r="84" spans="1:3" x14ac:dyDescent="0.3">
      <c r="A84" t="s">
        <v>4193</v>
      </c>
      <c r="B84">
        <v>2</v>
      </c>
      <c r="C84">
        <v>0.32100000000000001</v>
      </c>
    </row>
    <row r="85" spans="1:3" x14ac:dyDescent="0.3">
      <c r="A85" t="s">
        <v>4194</v>
      </c>
      <c r="B85">
        <v>2</v>
      </c>
      <c r="C85">
        <v>0.32100000000000001</v>
      </c>
    </row>
    <row r="86" spans="1:3" x14ac:dyDescent="0.3">
      <c r="A86" t="s">
        <v>4195</v>
      </c>
      <c r="B86">
        <v>2</v>
      </c>
      <c r="C86">
        <v>0.32100000000000001</v>
      </c>
    </row>
    <row r="87" spans="1:3" x14ac:dyDescent="0.3">
      <c r="A87" t="s">
        <v>4196</v>
      </c>
      <c r="B87">
        <v>1</v>
      </c>
      <c r="C87">
        <v>0.161</v>
      </c>
    </row>
    <row r="88" spans="1:3" x14ac:dyDescent="0.3">
      <c r="A88" t="s">
        <v>4197</v>
      </c>
      <c r="B88">
        <v>1</v>
      </c>
      <c r="C88">
        <v>0.161</v>
      </c>
    </row>
    <row r="89" spans="1:3" x14ac:dyDescent="0.3">
      <c r="A89" t="s">
        <v>4198</v>
      </c>
      <c r="B89">
        <v>1</v>
      </c>
      <c r="C89">
        <v>0.161</v>
      </c>
    </row>
    <row r="90" spans="1:3" x14ac:dyDescent="0.3">
      <c r="A90" t="s">
        <v>4199</v>
      </c>
      <c r="B90">
        <v>1</v>
      </c>
      <c r="C90">
        <v>0.161</v>
      </c>
    </row>
    <row r="91" spans="1:3" x14ac:dyDescent="0.3">
      <c r="A91" t="s">
        <v>4200</v>
      </c>
      <c r="B91">
        <v>1</v>
      </c>
      <c r="C91">
        <v>0.161</v>
      </c>
    </row>
    <row r="92" spans="1:3" x14ac:dyDescent="0.3">
      <c r="A92" t="s">
        <v>4201</v>
      </c>
      <c r="B92">
        <v>1</v>
      </c>
      <c r="C92">
        <v>0.161</v>
      </c>
    </row>
    <row r="93" spans="1:3" x14ac:dyDescent="0.3">
      <c r="A93" t="s">
        <v>4202</v>
      </c>
      <c r="B93">
        <v>1</v>
      </c>
      <c r="C93">
        <v>0.161</v>
      </c>
    </row>
    <row r="94" spans="1:3" x14ac:dyDescent="0.3">
      <c r="A94" t="s">
        <v>4203</v>
      </c>
      <c r="B94">
        <v>1</v>
      </c>
      <c r="C94">
        <v>0.161</v>
      </c>
    </row>
    <row r="95" spans="1:3" x14ac:dyDescent="0.3">
      <c r="A95" t="s">
        <v>4204</v>
      </c>
      <c r="B95">
        <v>1</v>
      </c>
      <c r="C95">
        <v>0.161</v>
      </c>
    </row>
    <row r="96" spans="1:3" x14ac:dyDescent="0.3">
      <c r="A96" t="s">
        <v>4205</v>
      </c>
      <c r="B96">
        <v>1</v>
      </c>
      <c r="C96">
        <v>0.161</v>
      </c>
    </row>
    <row r="97" spans="1:3" x14ac:dyDescent="0.3">
      <c r="A97" t="s">
        <v>4206</v>
      </c>
      <c r="B97">
        <v>1</v>
      </c>
      <c r="C97">
        <v>0.161</v>
      </c>
    </row>
    <row r="98" spans="1:3" x14ac:dyDescent="0.3">
      <c r="A98" t="s">
        <v>4207</v>
      </c>
      <c r="B98">
        <v>1</v>
      </c>
      <c r="C98">
        <v>0.161</v>
      </c>
    </row>
    <row r="99" spans="1:3" x14ac:dyDescent="0.3">
      <c r="A99" t="s">
        <v>4208</v>
      </c>
      <c r="B99">
        <v>1</v>
      </c>
      <c r="C99">
        <v>0.161</v>
      </c>
    </row>
    <row r="100" spans="1:3" x14ac:dyDescent="0.3">
      <c r="A100" t="s">
        <v>4209</v>
      </c>
      <c r="B100">
        <v>1</v>
      </c>
      <c r="C100">
        <v>0.161</v>
      </c>
    </row>
    <row r="101" spans="1:3" x14ac:dyDescent="0.3">
      <c r="A101" t="s">
        <v>4210</v>
      </c>
      <c r="B101">
        <v>1</v>
      </c>
      <c r="C101">
        <v>0.161</v>
      </c>
    </row>
    <row r="102" spans="1:3" x14ac:dyDescent="0.3">
      <c r="A102" t="s">
        <v>4211</v>
      </c>
      <c r="B102">
        <v>1</v>
      </c>
      <c r="C102">
        <v>0.161</v>
      </c>
    </row>
    <row r="103" spans="1:3" x14ac:dyDescent="0.3">
      <c r="A103" t="s">
        <v>4212</v>
      </c>
      <c r="B103">
        <v>1</v>
      </c>
      <c r="C103">
        <v>0.161</v>
      </c>
    </row>
    <row r="104" spans="1:3" x14ac:dyDescent="0.3">
      <c r="A104" t="s">
        <v>4213</v>
      </c>
      <c r="B104">
        <v>1</v>
      </c>
      <c r="C104">
        <v>0.161</v>
      </c>
    </row>
    <row r="105" spans="1:3" x14ac:dyDescent="0.3">
      <c r="A105" t="s">
        <v>4214</v>
      </c>
      <c r="B105">
        <v>1</v>
      </c>
      <c r="C105">
        <v>0.161</v>
      </c>
    </row>
    <row r="106" spans="1:3" x14ac:dyDescent="0.3">
      <c r="A106" t="s">
        <v>4215</v>
      </c>
      <c r="B106">
        <v>1</v>
      </c>
      <c r="C106">
        <v>0.161</v>
      </c>
    </row>
    <row r="107" spans="1:3" x14ac:dyDescent="0.3">
      <c r="A107" t="s">
        <v>4216</v>
      </c>
      <c r="B107">
        <v>1</v>
      </c>
      <c r="C107">
        <v>0.161</v>
      </c>
    </row>
    <row r="108" spans="1:3" x14ac:dyDescent="0.3">
      <c r="A108" t="s">
        <v>4217</v>
      </c>
      <c r="B108">
        <v>1</v>
      </c>
      <c r="C108">
        <v>0.161</v>
      </c>
    </row>
    <row r="109" spans="1:3" x14ac:dyDescent="0.3">
      <c r="A109" t="s">
        <v>4218</v>
      </c>
      <c r="B109">
        <v>1</v>
      </c>
      <c r="C109">
        <v>0.161</v>
      </c>
    </row>
    <row r="110" spans="1:3" x14ac:dyDescent="0.3">
      <c r="A110" t="s">
        <v>4219</v>
      </c>
      <c r="B110">
        <v>1</v>
      </c>
      <c r="C110">
        <v>0.161</v>
      </c>
    </row>
    <row r="111" spans="1:3" x14ac:dyDescent="0.3">
      <c r="A111" t="s">
        <v>4220</v>
      </c>
      <c r="B111">
        <v>1</v>
      </c>
      <c r="C111">
        <v>0.161</v>
      </c>
    </row>
    <row r="112" spans="1:3" x14ac:dyDescent="0.3">
      <c r="A112" t="s">
        <v>4221</v>
      </c>
      <c r="B112">
        <v>1</v>
      </c>
      <c r="C112">
        <v>0.161</v>
      </c>
    </row>
    <row r="113" spans="1:3" x14ac:dyDescent="0.3">
      <c r="A113" t="s">
        <v>4222</v>
      </c>
      <c r="B113">
        <v>1</v>
      </c>
      <c r="C113">
        <v>0.161</v>
      </c>
    </row>
    <row r="114" spans="1:3" x14ac:dyDescent="0.3">
      <c r="A114" t="s">
        <v>4223</v>
      </c>
      <c r="B114">
        <v>1</v>
      </c>
      <c r="C114">
        <v>0.161</v>
      </c>
    </row>
    <row r="115" spans="1:3" x14ac:dyDescent="0.3">
      <c r="A115" t="s">
        <v>4224</v>
      </c>
      <c r="B115">
        <v>1</v>
      </c>
      <c r="C115">
        <v>0.161</v>
      </c>
    </row>
    <row r="116" spans="1:3" x14ac:dyDescent="0.3">
      <c r="A116" t="s">
        <v>4225</v>
      </c>
      <c r="B116">
        <v>1</v>
      </c>
      <c r="C116">
        <v>0.161</v>
      </c>
    </row>
    <row r="117" spans="1:3" x14ac:dyDescent="0.3">
      <c r="A117" t="s">
        <v>4226</v>
      </c>
      <c r="B117">
        <v>1</v>
      </c>
      <c r="C117">
        <v>0.161</v>
      </c>
    </row>
    <row r="118" spans="1:3" x14ac:dyDescent="0.3">
      <c r="A118" t="s">
        <v>4227</v>
      </c>
      <c r="B118">
        <v>1</v>
      </c>
      <c r="C118">
        <v>0.161</v>
      </c>
    </row>
    <row r="119" spans="1:3" x14ac:dyDescent="0.3">
      <c r="A119" t="s">
        <v>4228</v>
      </c>
      <c r="B119">
        <v>1</v>
      </c>
      <c r="C119">
        <v>0.161</v>
      </c>
    </row>
    <row r="120" spans="1:3" x14ac:dyDescent="0.3">
      <c r="A120" t="s">
        <v>4229</v>
      </c>
      <c r="B120">
        <v>1</v>
      </c>
      <c r="C120">
        <v>0.161</v>
      </c>
    </row>
    <row r="121" spans="1:3" x14ac:dyDescent="0.3">
      <c r="A121" t="s">
        <v>4230</v>
      </c>
      <c r="B121">
        <v>1</v>
      </c>
      <c r="C121">
        <v>0.161</v>
      </c>
    </row>
    <row r="122" spans="1:3" x14ac:dyDescent="0.3">
      <c r="A122" t="s">
        <v>4231</v>
      </c>
      <c r="B122">
        <v>1</v>
      </c>
      <c r="C122">
        <v>0.161</v>
      </c>
    </row>
    <row r="123" spans="1:3" x14ac:dyDescent="0.3">
      <c r="A123" t="s">
        <v>4232</v>
      </c>
      <c r="B123">
        <v>1</v>
      </c>
      <c r="C123">
        <v>0.161</v>
      </c>
    </row>
    <row r="124" spans="1:3" x14ac:dyDescent="0.3">
      <c r="A124" t="s">
        <v>4233</v>
      </c>
      <c r="B124">
        <v>1</v>
      </c>
      <c r="C124">
        <v>0.161</v>
      </c>
    </row>
    <row r="125" spans="1:3" x14ac:dyDescent="0.3">
      <c r="A125" t="s">
        <v>4234</v>
      </c>
      <c r="B125">
        <v>1</v>
      </c>
      <c r="C125">
        <v>0.161</v>
      </c>
    </row>
    <row r="126" spans="1:3" x14ac:dyDescent="0.3">
      <c r="A126" t="s">
        <v>4235</v>
      </c>
      <c r="B126">
        <v>1</v>
      </c>
      <c r="C126">
        <v>0.161</v>
      </c>
    </row>
    <row r="127" spans="1:3" x14ac:dyDescent="0.3">
      <c r="A127" t="s">
        <v>4236</v>
      </c>
      <c r="B127">
        <v>1</v>
      </c>
      <c r="C127">
        <v>0.161</v>
      </c>
    </row>
    <row r="128" spans="1:3" x14ac:dyDescent="0.3">
      <c r="A128" t="s">
        <v>4237</v>
      </c>
      <c r="B128">
        <v>1</v>
      </c>
      <c r="C128">
        <v>0.161</v>
      </c>
    </row>
    <row r="129" spans="1:3" x14ac:dyDescent="0.3">
      <c r="A129" t="s">
        <v>4238</v>
      </c>
      <c r="B129">
        <v>1</v>
      </c>
      <c r="C129">
        <v>0.161</v>
      </c>
    </row>
    <row r="130" spans="1:3" x14ac:dyDescent="0.3">
      <c r="A130" t="s">
        <v>4239</v>
      </c>
      <c r="B130">
        <v>1</v>
      </c>
      <c r="C130">
        <v>0.161</v>
      </c>
    </row>
    <row r="131" spans="1:3" x14ac:dyDescent="0.3">
      <c r="A131" t="s">
        <v>4240</v>
      </c>
      <c r="B131">
        <v>1</v>
      </c>
      <c r="C131">
        <v>0.161</v>
      </c>
    </row>
    <row r="132" spans="1:3" x14ac:dyDescent="0.3">
      <c r="A132" t="s">
        <v>4241</v>
      </c>
      <c r="B132">
        <v>1</v>
      </c>
      <c r="C132">
        <v>0.161</v>
      </c>
    </row>
    <row r="133" spans="1:3" x14ac:dyDescent="0.3">
      <c r="A133" t="s">
        <v>4242</v>
      </c>
      <c r="B133">
        <v>1</v>
      </c>
      <c r="C133">
        <v>0.161</v>
      </c>
    </row>
    <row r="134" spans="1:3" x14ac:dyDescent="0.3">
      <c r="A134" t="s">
        <v>4243</v>
      </c>
      <c r="B134">
        <v>1</v>
      </c>
      <c r="C134">
        <v>0.161</v>
      </c>
    </row>
    <row r="135" spans="1:3" x14ac:dyDescent="0.3">
      <c r="A135" t="s">
        <v>4244</v>
      </c>
      <c r="B135">
        <v>1</v>
      </c>
      <c r="C135">
        <v>0.161</v>
      </c>
    </row>
    <row r="136" spans="1:3" x14ac:dyDescent="0.3">
      <c r="A136" t="s">
        <v>4245</v>
      </c>
      <c r="B136">
        <v>1</v>
      </c>
      <c r="C136">
        <v>0.161</v>
      </c>
    </row>
    <row r="137" spans="1:3" x14ac:dyDescent="0.3">
      <c r="A137" t="s">
        <v>4246</v>
      </c>
      <c r="B137">
        <v>1</v>
      </c>
      <c r="C137">
        <v>0.161</v>
      </c>
    </row>
    <row r="138" spans="1:3" x14ac:dyDescent="0.3">
      <c r="A138" t="s">
        <v>4247</v>
      </c>
      <c r="B138">
        <v>1</v>
      </c>
      <c r="C138">
        <v>0.161</v>
      </c>
    </row>
    <row r="139" spans="1:3" x14ac:dyDescent="0.3">
      <c r="A139" t="s">
        <v>4248</v>
      </c>
      <c r="B139">
        <v>1</v>
      </c>
      <c r="C139">
        <v>0.161</v>
      </c>
    </row>
    <row r="140" spans="1:3" x14ac:dyDescent="0.3">
      <c r="A140" t="s">
        <v>4249</v>
      </c>
      <c r="B140">
        <v>1</v>
      </c>
      <c r="C140">
        <v>0.161</v>
      </c>
    </row>
    <row r="141" spans="1:3" x14ac:dyDescent="0.3">
      <c r="A141" t="s">
        <v>4250</v>
      </c>
      <c r="B141">
        <v>1</v>
      </c>
      <c r="C141">
        <v>0.161</v>
      </c>
    </row>
    <row r="142" spans="1:3" x14ac:dyDescent="0.3">
      <c r="A142" t="s">
        <v>4251</v>
      </c>
      <c r="B142">
        <v>1</v>
      </c>
      <c r="C142">
        <v>0.161</v>
      </c>
    </row>
    <row r="143" spans="1:3" x14ac:dyDescent="0.3">
      <c r="A143" t="s">
        <v>4252</v>
      </c>
      <c r="B143">
        <v>1</v>
      </c>
      <c r="C143">
        <v>0.161</v>
      </c>
    </row>
    <row r="144" spans="1:3" x14ac:dyDescent="0.3">
      <c r="A144" t="s">
        <v>4253</v>
      </c>
      <c r="B144">
        <v>1</v>
      </c>
      <c r="C144">
        <v>0.161</v>
      </c>
    </row>
    <row r="145" spans="1:3" x14ac:dyDescent="0.3">
      <c r="A145" t="s">
        <v>4254</v>
      </c>
      <c r="B145">
        <v>1</v>
      </c>
      <c r="C145">
        <v>0.161</v>
      </c>
    </row>
    <row r="146" spans="1:3" x14ac:dyDescent="0.3">
      <c r="A146" t="s">
        <v>4255</v>
      </c>
      <c r="B146">
        <v>1</v>
      </c>
      <c r="C146">
        <v>0.161</v>
      </c>
    </row>
    <row r="147" spans="1:3" x14ac:dyDescent="0.3">
      <c r="A147" t="s">
        <v>4256</v>
      </c>
      <c r="B147">
        <v>1</v>
      </c>
      <c r="C147">
        <v>0.161</v>
      </c>
    </row>
    <row r="148" spans="1:3" x14ac:dyDescent="0.3">
      <c r="A148" t="s">
        <v>4257</v>
      </c>
      <c r="B148">
        <v>1</v>
      </c>
      <c r="C148">
        <v>0.161</v>
      </c>
    </row>
    <row r="149" spans="1:3" x14ac:dyDescent="0.3">
      <c r="A149" t="s">
        <v>4258</v>
      </c>
      <c r="B149">
        <v>1</v>
      </c>
      <c r="C149">
        <v>0.161</v>
      </c>
    </row>
    <row r="150" spans="1:3" x14ac:dyDescent="0.3">
      <c r="A150" t="s">
        <v>4259</v>
      </c>
      <c r="B150">
        <v>1</v>
      </c>
      <c r="C150">
        <v>0.161</v>
      </c>
    </row>
    <row r="151" spans="1:3" x14ac:dyDescent="0.3">
      <c r="A151" t="s">
        <v>4260</v>
      </c>
      <c r="B151">
        <v>1</v>
      </c>
      <c r="C151">
        <v>0.161</v>
      </c>
    </row>
    <row r="152" spans="1:3" x14ac:dyDescent="0.3">
      <c r="A152" t="s">
        <v>4261</v>
      </c>
      <c r="B152">
        <v>1</v>
      </c>
      <c r="C152">
        <v>0.161</v>
      </c>
    </row>
    <row r="153" spans="1:3" x14ac:dyDescent="0.3">
      <c r="A153" t="s">
        <v>4262</v>
      </c>
      <c r="B153">
        <v>1</v>
      </c>
      <c r="C153">
        <v>0.161</v>
      </c>
    </row>
    <row r="154" spans="1:3" x14ac:dyDescent="0.3">
      <c r="A154" t="s">
        <v>4263</v>
      </c>
      <c r="B154">
        <v>1</v>
      </c>
      <c r="C154">
        <v>0.161</v>
      </c>
    </row>
    <row r="155" spans="1:3" x14ac:dyDescent="0.3">
      <c r="A155" t="s">
        <v>4264</v>
      </c>
      <c r="B155">
        <v>1</v>
      </c>
      <c r="C155">
        <v>0.161</v>
      </c>
    </row>
    <row r="156" spans="1:3" x14ac:dyDescent="0.3">
      <c r="A156" t="s">
        <v>4265</v>
      </c>
      <c r="B156">
        <v>1</v>
      </c>
      <c r="C156">
        <v>0.161</v>
      </c>
    </row>
    <row r="157" spans="1:3" x14ac:dyDescent="0.3">
      <c r="A157" t="s">
        <v>4266</v>
      </c>
      <c r="B157">
        <v>1</v>
      </c>
      <c r="C157">
        <v>0.161</v>
      </c>
    </row>
    <row r="158" spans="1:3" x14ac:dyDescent="0.3">
      <c r="A158" t="s">
        <v>4267</v>
      </c>
      <c r="B158">
        <v>1</v>
      </c>
      <c r="C158">
        <v>0.161</v>
      </c>
    </row>
    <row r="159" spans="1:3" x14ac:dyDescent="0.3">
      <c r="A159" t="s">
        <v>4268</v>
      </c>
      <c r="B159">
        <v>1</v>
      </c>
      <c r="C159">
        <v>0.161</v>
      </c>
    </row>
    <row r="160" spans="1:3" x14ac:dyDescent="0.3">
      <c r="A160" t="s">
        <v>4269</v>
      </c>
      <c r="B160">
        <v>1</v>
      </c>
      <c r="C160">
        <v>0.161</v>
      </c>
    </row>
    <row r="161" spans="1:3" x14ac:dyDescent="0.3">
      <c r="A161" t="s">
        <v>4270</v>
      </c>
      <c r="B161">
        <v>1</v>
      </c>
      <c r="C161">
        <v>0.161</v>
      </c>
    </row>
    <row r="162" spans="1:3" x14ac:dyDescent="0.3">
      <c r="A162" t="s">
        <v>4271</v>
      </c>
      <c r="B162">
        <v>1</v>
      </c>
      <c r="C162">
        <v>0.161</v>
      </c>
    </row>
    <row r="163" spans="1:3" x14ac:dyDescent="0.3">
      <c r="A163" t="s">
        <v>4272</v>
      </c>
      <c r="B163">
        <v>1</v>
      </c>
      <c r="C163">
        <v>0.161</v>
      </c>
    </row>
    <row r="164" spans="1:3" x14ac:dyDescent="0.3">
      <c r="A164" t="s">
        <v>4273</v>
      </c>
      <c r="B164">
        <v>1</v>
      </c>
      <c r="C164">
        <v>0.161</v>
      </c>
    </row>
    <row r="165" spans="1:3" x14ac:dyDescent="0.3">
      <c r="A165" t="s">
        <v>4274</v>
      </c>
      <c r="B165">
        <v>1</v>
      </c>
      <c r="C165">
        <v>0.161</v>
      </c>
    </row>
    <row r="166" spans="1:3" x14ac:dyDescent="0.3">
      <c r="A166" t="s">
        <v>4275</v>
      </c>
      <c r="B166">
        <v>1</v>
      </c>
      <c r="C166">
        <v>0.161</v>
      </c>
    </row>
    <row r="167" spans="1:3" x14ac:dyDescent="0.3">
      <c r="A167" t="s">
        <v>4276</v>
      </c>
      <c r="B167">
        <v>1</v>
      </c>
      <c r="C167">
        <v>0.161</v>
      </c>
    </row>
    <row r="168" spans="1:3" x14ac:dyDescent="0.3">
      <c r="A168" t="s">
        <v>4277</v>
      </c>
      <c r="B168">
        <v>1</v>
      </c>
      <c r="C168">
        <v>0.161</v>
      </c>
    </row>
    <row r="169" spans="1:3" x14ac:dyDescent="0.3">
      <c r="A169" t="s">
        <v>4278</v>
      </c>
      <c r="B169">
        <v>1</v>
      </c>
      <c r="C169">
        <v>0.161</v>
      </c>
    </row>
    <row r="170" spans="1:3" x14ac:dyDescent="0.3">
      <c r="A170" t="s">
        <v>4279</v>
      </c>
      <c r="B170">
        <v>1</v>
      </c>
      <c r="C170">
        <v>0.161</v>
      </c>
    </row>
    <row r="171" spans="1:3" x14ac:dyDescent="0.3">
      <c r="A171" t="s">
        <v>4280</v>
      </c>
      <c r="B171">
        <v>1</v>
      </c>
      <c r="C171">
        <v>0.161</v>
      </c>
    </row>
    <row r="172" spans="1:3" x14ac:dyDescent="0.3">
      <c r="A172" t="s">
        <v>4281</v>
      </c>
      <c r="B172">
        <v>1</v>
      </c>
      <c r="C172">
        <v>0.161</v>
      </c>
    </row>
    <row r="173" spans="1:3" x14ac:dyDescent="0.3">
      <c r="A173" t="s">
        <v>4282</v>
      </c>
      <c r="B173">
        <v>1</v>
      </c>
      <c r="C173">
        <v>0.161</v>
      </c>
    </row>
    <row r="174" spans="1:3" x14ac:dyDescent="0.3">
      <c r="A174" t="s">
        <v>4283</v>
      </c>
      <c r="B174">
        <v>1</v>
      </c>
      <c r="C174">
        <v>0.161</v>
      </c>
    </row>
    <row r="175" spans="1:3" x14ac:dyDescent="0.3">
      <c r="A175" t="s">
        <v>4284</v>
      </c>
      <c r="B175">
        <v>1</v>
      </c>
      <c r="C175">
        <v>0.161</v>
      </c>
    </row>
    <row r="176" spans="1:3" x14ac:dyDescent="0.3">
      <c r="A176" t="s">
        <v>4285</v>
      </c>
      <c r="B176">
        <v>1</v>
      </c>
      <c r="C176">
        <v>0.161</v>
      </c>
    </row>
    <row r="177" spans="1:3" x14ac:dyDescent="0.3">
      <c r="A177" t="s">
        <v>4286</v>
      </c>
      <c r="B177">
        <v>1</v>
      </c>
      <c r="C177">
        <v>0.161</v>
      </c>
    </row>
    <row r="178" spans="1:3" x14ac:dyDescent="0.3">
      <c r="A178" t="s">
        <v>4287</v>
      </c>
      <c r="B178">
        <v>1</v>
      </c>
      <c r="C178">
        <v>0.161</v>
      </c>
    </row>
    <row r="179" spans="1:3" x14ac:dyDescent="0.3">
      <c r="A179" t="s">
        <v>4288</v>
      </c>
      <c r="B179">
        <v>1</v>
      </c>
      <c r="C179">
        <v>0.161</v>
      </c>
    </row>
    <row r="180" spans="1:3" x14ac:dyDescent="0.3">
      <c r="A180" t="s">
        <v>4289</v>
      </c>
      <c r="B180">
        <v>1</v>
      </c>
      <c r="C180">
        <v>0.161</v>
      </c>
    </row>
    <row r="181" spans="1:3" x14ac:dyDescent="0.3">
      <c r="A181" t="s">
        <v>4290</v>
      </c>
      <c r="B181">
        <v>1</v>
      </c>
      <c r="C181">
        <v>0.161</v>
      </c>
    </row>
    <row r="182" spans="1:3" x14ac:dyDescent="0.3">
      <c r="A182" t="s">
        <v>4291</v>
      </c>
      <c r="B182">
        <v>1</v>
      </c>
      <c r="C182">
        <v>0.161</v>
      </c>
    </row>
    <row r="183" spans="1:3" x14ac:dyDescent="0.3">
      <c r="A183" t="s">
        <v>4292</v>
      </c>
      <c r="B183">
        <v>1</v>
      </c>
      <c r="C183">
        <v>0.161</v>
      </c>
    </row>
    <row r="184" spans="1:3" x14ac:dyDescent="0.3">
      <c r="A184" t="s">
        <v>4293</v>
      </c>
      <c r="B184">
        <v>1</v>
      </c>
      <c r="C184">
        <v>0.161</v>
      </c>
    </row>
    <row r="185" spans="1:3" x14ac:dyDescent="0.3">
      <c r="A185" t="s">
        <v>4294</v>
      </c>
      <c r="B185">
        <v>1</v>
      </c>
      <c r="C185">
        <v>0.161</v>
      </c>
    </row>
    <row r="186" spans="1:3" x14ac:dyDescent="0.3">
      <c r="A186" t="s">
        <v>4295</v>
      </c>
      <c r="B186">
        <v>1</v>
      </c>
      <c r="C186">
        <v>0.161</v>
      </c>
    </row>
    <row r="187" spans="1:3" x14ac:dyDescent="0.3">
      <c r="A187" t="s">
        <v>4296</v>
      </c>
      <c r="B187">
        <v>1</v>
      </c>
      <c r="C187">
        <v>0.161</v>
      </c>
    </row>
    <row r="188" spans="1:3" x14ac:dyDescent="0.3">
      <c r="A188" t="s">
        <v>4297</v>
      </c>
      <c r="B188">
        <v>1</v>
      </c>
      <c r="C188">
        <v>0.161</v>
      </c>
    </row>
    <row r="189" spans="1:3" x14ac:dyDescent="0.3">
      <c r="A189" t="s">
        <v>4298</v>
      </c>
      <c r="B189">
        <v>1</v>
      </c>
      <c r="C189">
        <v>0.161</v>
      </c>
    </row>
    <row r="190" spans="1:3" x14ac:dyDescent="0.3">
      <c r="A190" t="s">
        <v>4299</v>
      </c>
      <c r="B190">
        <v>1</v>
      </c>
      <c r="C190">
        <v>0.161</v>
      </c>
    </row>
    <row r="191" spans="1:3" x14ac:dyDescent="0.3">
      <c r="A191" t="s">
        <v>4300</v>
      </c>
      <c r="B191">
        <v>1</v>
      </c>
      <c r="C191">
        <v>0.161</v>
      </c>
    </row>
    <row r="192" spans="1:3" x14ac:dyDescent="0.3">
      <c r="A192" t="s">
        <v>4301</v>
      </c>
      <c r="B192">
        <v>1</v>
      </c>
      <c r="C192">
        <v>0.161</v>
      </c>
    </row>
    <row r="193" spans="1:3" x14ac:dyDescent="0.3">
      <c r="A193" t="s">
        <v>4302</v>
      </c>
      <c r="B193">
        <v>1</v>
      </c>
      <c r="C193">
        <v>0.161</v>
      </c>
    </row>
    <row r="194" spans="1:3" x14ac:dyDescent="0.3">
      <c r="A194" t="s">
        <v>4303</v>
      </c>
      <c r="B194">
        <v>1</v>
      </c>
      <c r="C194">
        <v>0.161</v>
      </c>
    </row>
    <row r="195" spans="1:3" x14ac:dyDescent="0.3">
      <c r="A195" t="s">
        <v>4304</v>
      </c>
      <c r="B195">
        <v>1</v>
      </c>
      <c r="C195">
        <v>0.161</v>
      </c>
    </row>
    <row r="196" spans="1:3" x14ac:dyDescent="0.3">
      <c r="A196" t="s">
        <v>4305</v>
      </c>
      <c r="B196">
        <v>1</v>
      </c>
      <c r="C196">
        <v>0.161</v>
      </c>
    </row>
    <row r="197" spans="1:3" x14ac:dyDescent="0.3">
      <c r="A197" t="s">
        <v>4306</v>
      </c>
      <c r="B197">
        <v>1</v>
      </c>
      <c r="C197">
        <v>0.161</v>
      </c>
    </row>
    <row r="198" spans="1:3" x14ac:dyDescent="0.3">
      <c r="A198" t="s">
        <v>4307</v>
      </c>
      <c r="B198">
        <v>1</v>
      </c>
      <c r="C198">
        <v>0.161</v>
      </c>
    </row>
    <row r="199" spans="1:3" x14ac:dyDescent="0.3">
      <c r="A199" t="s">
        <v>4308</v>
      </c>
      <c r="B199">
        <v>1</v>
      </c>
      <c r="C199">
        <v>0.161</v>
      </c>
    </row>
    <row r="200" spans="1:3" x14ac:dyDescent="0.3">
      <c r="A200" t="s">
        <v>4309</v>
      </c>
      <c r="B200">
        <v>1</v>
      </c>
      <c r="C200">
        <v>0.161</v>
      </c>
    </row>
    <row r="201" spans="1:3" x14ac:dyDescent="0.3">
      <c r="A201" t="s">
        <v>4310</v>
      </c>
      <c r="B201">
        <v>1</v>
      </c>
      <c r="C201">
        <v>0.161</v>
      </c>
    </row>
    <row r="202" spans="1:3" x14ac:dyDescent="0.3">
      <c r="A202" t="s">
        <v>4311</v>
      </c>
      <c r="B202">
        <v>1</v>
      </c>
      <c r="C202">
        <v>0.161</v>
      </c>
    </row>
    <row r="203" spans="1:3" x14ac:dyDescent="0.3">
      <c r="A203" t="s">
        <v>4312</v>
      </c>
      <c r="B203">
        <v>1</v>
      </c>
      <c r="C203">
        <v>0.161</v>
      </c>
    </row>
    <row r="204" spans="1:3" x14ac:dyDescent="0.3">
      <c r="A204" t="s">
        <v>4313</v>
      </c>
      <c r="B204">
        <v>1</v>
      </c>
      <c r="C204">
        <v>0.161</v>
      </c>
    </row>
    <row r="205" spans="1:3" x14ac:dyDescent="0.3">
      <c r="A205" t="s">
        <v>4314</v>
      </c>
      <c r="B205">
        <v>1</v>
      </c>
      <c r="C205">
        <v>0.161</v>
      </c>
    </row>
    <row r="206" spans="1:3" x14ac:dyDescent="0.3">
      <c r="A206" t="s">
        <v>4315</v>
      </c>
      <c r="B206">
        <v>1</v>
      </c>
      <c r="C206">
        <v>0.161</v>
      </c>
    </row>
    <row r="207" spans="1:3" x14ac:dyDescent="0.3">
      <c r="A207" t="s">
        <v>4316</v>
      </c>
      <c r="B207">
        <v>1</v>
      </c>
      <c r="C207">
        <v>0.161</v>
      </c>
    </row>
    <row r="208" spans="1:3" x14ac:dyDescent="0.3">
      <c r="A208" t="s">
        <v>4317</v>
      </c>
      <c r="B208">
        <v>1</v>
      </c>
      <c r="C208">
        <v>0.161</v>
      </c>
    </row>
    <row r="209" spans="1:3" x14ac:dyDescent="0.3">
      <c r="A209" t="s">
        <v>4318</v>
      </c>
      <c r="B209">
        <v>1</v>
      </c>
      <c r="C209">
        <v>0.161</v>
      </c>
    </row>
    <row r="210" spans="1:3" x14ac:dyDescent="0.3">
      <c r="A210" t="s">
        <v>4319</v>
      </c>
      <c r="B210">
        <v>1</v>
      </c>
      <c r="C210">
        <v>0.161</v>
      </c>
    </row>
    <row r="211" spans="1:3" x14ac:dyDescent="0.3">
      <c r="A211" t="s">
        <v>4320</v>
      </c>
      <c r="B211">
        <v>1</v>
      </c>
      <c r="C211">
        <v>0.161</v>
      </c>
    </row>
    <row r="212" spans="1:3" x14ac:dyDescent="0.3">
      <c r="A212" t="s">
        <v>4321</v>
      </c>
      <c r="B212">
        <v>1</v>
      </c>
      <c r="C212">
        <v>0.161</v>
      </c>
    </row>
    <row r="213" spans="1:3" x14ac:dyDescent="0.3">
      <c r="A213" t="s">
        <v>4322</v>
      </c>
      <c r="B213">
        <v>1</v>
      </c>
      <c r="C213">
        <v>0.161</v>
      </c>
    </row>
    <row r="214" spans="1:3" x14ac:dyDescent="0.3">
      <c r="A214" t="s">
        <v>4323</v>
      </c>
      <c r="B214">
        <v>1</v>
      </c>
      <c r="C214">
        <v>0.161</v>
      </c>
    </row>
    <row r="215" spans="1:3" x14ac:dyDescent="0.3">
      <c r="A215" t="s">
        <v>4324</v>
      </c>
      <c r="B215">
        <v>1</v>
      </c>
      <c r="C215">
        <v>0.161</v>
      </c>
    </row>
    <row r="216" spans="1:3" x14ac:dyDescent="0.3">
      <c r="A216" t="s">
        <v>4325</v>
      </c>
      <c r="B216">
        <v>1</v>
      </c>
      <c r="C216">
        <v>0.161</v>
      </c>
    </row>
    <row r="217" spans="1:3" x14ac:dyDescent="0.3">
      <c r="A217" t="s">
        <v>4326</v>
      </c>
      <c r="B217">
        <v>1</v>
      </c>
      <c r="C217">
        <v>0.161</v>
      </c>
    </row>
    <row r="218" spans="1:3" x14ac:dyDescent="0.3">
      <c r="A218" t="s">
        <v>4327</v>
      </c>
      <c r="B218">
        <v>1</v>
      </c>
      <c r="C218">
        <v>0.161</v>
      </c>
    </row>
    <row r="219" spans="1:3" x14ac:dyDescent="0.3">
      <c r="A219" t="s">
        <v>4328</v>
      </c>
      <c r="B219">
        <v>1</v>
      </c>
      <c r="C219">
        <v>0.161</v>
      </c>
    </row>
    <row r="220" spans="1:3" x14ac:dyDescent="0.3">
      <c r="A220" t="s">
        <v>4329</v>
      </c>
      <c r="B220">
        <v>1</v>
      </c>
      <c r="C220">
        <v>0.161</v>
      </c>
    </row>
    <row r="221" spans="1:3" x14ac:dyDescent="0.3">
      <c r="A221" t="s">
        <v>4330</v>
      </c>
      <c r="B221">
        <v>1</v>
      </c>
      <c r="C221">
        <v>0.161</v>
      </c>
    </row>
    <row r="222" spans="1:3" x14ac:dyDescent="0.3">
      <c r="A222" t="s">
        <v>4331</v>
      </c>
      <c r="B222">
        <v>1</v>
      </c>
      <c r="C222">
        <v>0.161</v>
      </c>
    </row>
    <row r="223" spans="1:3" x14ac:dyDescent="0.3">
      <c r="A223" t="s">
        <v>4332</v>
      </c>
      <c r="B223">
        <v>1</v>
      </c>
      <c r="C223">
        <v>0.161</v>
      </c>
    </row>
    <row r="224" spans="1:3" x14ac:dyDescent="0.3">
      <c r="A224" t="s">
        <v>4333</v>
      </c>
      <c r="B224">
        <v>1</v>
      </c>
      <c r="C224">
        <v>0.161</v>
      </c>
    </row>
    <row r="225" spans="1:3" x14ac:dyDescent="0.3">
      <c r="A225" t="s">
        <v>4334</v>
      </c>
      <c r="B225">
        <v>1</v>
      </c>
      <c r="C225">
        <v>0.161</v>
      </c>
    </row>
    <row r="226" spans="1:3" x14ac:dyDescent="0.3">
      <c r="A226" t="s">
        <v>4335</v>
      </c>
      <c r="B226">
        <v>1</v>
      </c>
      <c r="C226">
        <v>0.161</v>
      </c>
    </row>
    <row r="227" spans="1:3" x14ac:dyDescent="0.3">
      <c r="A227" t="s">
        <v>4336</v>
      </c>
      <c r="B227">
        <v>1</v>
      </c>
      <c r="C227">
        <v>0.161</v>
      </c>
    </row>
    <row r="228" spans="1:3" x14ac:dyDescent="0.3">
      <c r="A228" t="s">
        <v>4337</v>
      </c>
      <c r="B228">
        <v>1</v>
      </c>
      <c r="C228">
        <v>0.161</v>
      </c>
    </row>
    <row r="229" spans="1:3" x14ac:dyDescent="0.3">
      <c r="A229" t="s">
        <v>4338</v>
      </c>
      <c r="B229">
        <v>1</v>
      </c>
      <c r="C229">
        <v>0.161</v>
      </c>
    </row>
    <row r="230" spans="1:3" x14ac:dyDescent="0.3">
      <c r="A230" t="s">
        <v>4339</v>
      </c>
      <c r="B230">
        <v>1</v>
      </c>
      <c r="C230">
        <v>0.161</v>
      </c>
    </row>
    <row r="231" spans="1:3" x14ac:dyDescent="0.3">
      <c r="A231" t="s">
        <v>4340</v>
      </c>
      <c r="B231">
        <v>1</v>
      </c>
      <c r="C231">
        <v>0.161</v>
      </c>
    </row>
    <row r="232" spans="1:3" x14ac:dyDescent="0.3">
      <c r="A232" t="s">
        <v>4341</v>
      </c>
      <c r="B232">
        <v>1</v>
      </c>
      <c r="C232">
        <v>0.161</v>
      </c>
    </row>
    <row r="233" spans="1:3" x14ac:dyDescent="0.3">
      <c r="A233" t="s">
        <v>4342</v>
      </c>
      <c r="B233">
        <v>1</v>
      </c>
      <c r="C233">
        <v>0.161</v>
      </c>
    </row>
    <row r="234" spans="1:3" x14ac:dyDescent="0.3">
      <c r="A234" t="s">
        <v>4343</v>
      </c>
      <c r="B234">
        <v>1</v>
      </c>
      <c r="C234">
        <v>0.161</v>
      </c>
    </row>
    <row r="235" spans="1:3" x14ac:dyDescent="0.3">
      <c r="A235" t="s">
        <v>4344</v>
      </c>
      <c r="B235">
        <v>1</v>
      </c>
      <c r="C235">
        <v>0.161</v>
      </c>
    </row>
    <row r="236" spans="1:3" x14ac:dyDescent="0.3">
      <c r="A236" t="s">
        <v>4345</v>
      </c>
      <c r="B236">
        <v>1</v>
      </c>
      <c r="C236">
        <v>0.161</v>
      </c>
    </row>
    <row r="237" spans="1:3" x14ac:dyDescent="0.3">
      <c r="A237" t="s">
        <v>4346</v>
      </c>
      <c r="B237">
        <v>1</v>
      </c>
      <c r="C237">
        <v>0.161</v>
      </c>
    </row>
    <row r="238" spans="1:3" x14ac:dyDescent="0.3">
      <c r="A238" t="s">
        <v>4347</v>
      </c>
      <c r="B238">
        <v>1</v>
      </c>
      <c r="C238">
        <v>0.161</v>
      </c>
    </row>
    <row r="239" spans="1:3" x14ac:dyDescent="0.3">
      <c r="A239" t="s">
        <v>4348</v>
      </c>
      <c r="B239">
        <v>1</v>
      </c>
      <c r="C239">
        <v>0.161</v>
      </c>
    </row>
    <row r="240" spans="1:3" x14ac:dyDescent="0.3">
      <c r="A240" t="s">
        <v>4349</v>
      </c>
      <c r="B240">
        <v>1</v>
      </c>
      <c r="C240">
        <v>0.161</v>
      </c>
    </row>
    <row r="241" spans="1:3" x14ac:dyDescent="0.3">
      <c r="A241" t="s">
        <v>4350</v>
      </c>
      <c r="B241">
        <v>1</v>
      </c>
      <c r="C241">
        <v>0.161</v>
      </c>
    </row>
    <row r="242" spans="1:3" x14ac:dyDescent="0.3">
      <c r="A242" t="s">
        <v>4351</v>
      </c>
      <c r="B242">
        <v>1</v>
      </c>
      <c r="C242">
        <v>0.161</v>
      </c>
    </row>
    <row r="243" spans="1:3" x14ac:dyDescent="0.3">
      <c r="A243" t="s">
        <v>4352</v>
      </c>
      <c r="B243">
        <v>1</v>
      </c>
      <c r="C243">
        <v>0.161</v>
      </c>
    </row>
    <row r="244" spans="1:3" x14ac:dyDescent="0.3">
      <c r="A244" t="s">
        <v>4353</v>
      </c>
      <c r="B244">
        <v>1</v>
      </c>
      <c r="C244">
        <v>0.161</v>
      </c>
    </row>
    <row r="245" spans="1:3" x14ac:dyDescent="0.3">
      <c r="A245" t="s">
        <v>4354</v>
      </c>
      <c r="B245">
        <v>1</v>
      </c>
      <c r="C245">
        <v>0.161</v>
      </c>
    </row>
    <row r="246" spans="1:3" x14ac:dyDescent="0.3">
      <c r="A246" t="s">
        <v>4355</v>
      </c>
      <c r="B246">
        <v>1</v>
      </c>
      <c r="C246">
        <v>0.161</v>
      </c>
    </row>
    <row r="247" spans="1:3" x14ac:dyDescent="0.3">
      <c r="A247" t="s">
        <v>4356</v>
      </c>
      <c r="B247">
        <v>1</v>
      </c>
      <c r="C247">
        <v>0.161</v>
      </c>
    </row>
    <row r="248" spans="1:3" x14ac:dyDescent="0.3">
      <c r="A248" t="s">
        <v>4357</v>
      </c>
      <c r="B248">
        <v>1</v>
      </c>
      <c r="C248">
        <v>0.161</v>
      </c>
    </row>
    <row r="249" spans="1:3" x14ac:dyDescent="0.3">
      <c r="A249" t="s">
        <v>4358</v>
      </c>
      <c r="B249">
        <v>1</v>
      </c>
      <c r="C249">
        <v>0.161</v>
      </c>
    </row>
    <row r="250" spans="1:3" x14ac:dyDescent="0.3">
      <c r="A250" t="s">
        <v>4359</v>
      </c>
      <c r="B250">
        <v>1</v>
      </c>
      <c r="C250">
        <v>0.161</v>
      </c>
    </row>
    <row r="251" spans="1:3" x14ac:dyDescent="0.3">
      <c r="A251" t="s">
        <v>4360</v>
      </c>
      <c r="B251">
        <v>1</v>
      </c>
      <c r="C251">
        <v>0.161</v>
      </c>
    </row>
    <row r="252" spans="1:3" x14ac:dyDescent="0.3">
      <c r="A252" t="s">
        <v>4361</v>
      </c>
      <c r="B252">
        <v>1</v>
      </c>
      <c r="C252">
        <v>0.161</v>
      </c>
    </row>
    <row r="253" spans="1:3" x14ac:dyDescent="0.3">
      <c r="A253" t="s">
        <v>4362</v>
      </c>
      <c r="B253">
        <v>1</v>
      </c>
      <c r="C253">
        <v>0.161</v>
      </c>
    </row>
    <row r="254" spans="1:3" x14ac:dyDescent="0.3">
      <c r="A254" t="s">
        <v>4363</v>
      </c>
      <c r="B254">
        <v>1</v>
      </c>
      <c r="C254">
        <v>0.161</v>
      </c>
    </row>
    <row r="255" spans="1:3" x14ac:dyDescent="0.3">
      <c r="A255" t="s">
        <v>4364</v>
      </c>
      <c r="B255">
        <v>1</v>
      </c>
      <c r="C255">
        <v>0.161</v>
      </c>
    </row>
    <row r="256" spans="1:3" x14ac:dyDescent="0.3">
      <c r="A256" t="s">
        <v>4365</v>
      </c>
      <c r="B256">
        <v>1</v>
      </c>
      <c r="C256">
        <v>0.161</v>
      </c>
    </row>
    <row r="257" spans="1:3" x14ac:dyDescent="0.3">
      <c r="A257" t="s">
        <v>4366</v>
      </c>
      <c r="B257">
        <v>1</v>
      </c>
      <c r="C257">
        <v>0.161</v>
      </c>
    </row>
    <row r="258" spans="1:3" x14ac:dyDescent="0.3">
      <c r="A258" t="s">
        <v>4367</v>
      </c>
      <c r="B258">
        <v>1</v>
      </c>
      <c r="C258">
        <v>0.161</v>
      </c>
    </row>
    <row r="259" spans="1:3" x14ac:dyDescent="0.3">
      <c r="A259" t="s">
        <v>4368</v>
      </c>
      <c r="B259">
        <v>1</v>
      </c>
      <c r="C259">
        <v>0.161</v>
      </c>
    </row>
    <row r="260" spans="1:3" x14ac:dyDescent="0.3">
      <c r="A260" t="s">
        <v>4369</v>
      </c>
      <c r="B260">
        <v>1</v>
      </c>
      <c r="C260">
        <v>0.161</v>
      </c>
    </row>
    <row r="261" spans="1:3" x14ac:dyDescent="0.3">
      <c r="A261" t="s">
        <v>4370</v>
      </c>
      <c r="B261">
        <v>1</v>
      </c>
      <c r="C261">
        <v>0.161</v>
      </c>
    </row>
    <row r="262" spans="1:3" x14ac:dyDescent="0.3">
      <c r="A262" t="s">
        <v>4371</v>
      </c>
      <c r="B262">
        <v>1</v>
      </c>
      <c r="C262">
        <v>0.161</v>
      </c>
    </row>
    <row r="263" spans="1:3" x14ac:dyDescent="0.3">
      <c r="A263" t="s">
        <v>4372</v>
      </c>
      <c r="B263">
        <v>1</v>
      </c>
      <c r="C263">
        <v>0.161</v>
      </c>
    </row>
    <row r="264" spans="1:3" x14ac:dyDescent="0.3">
      <c r="A264" t="s">
        <v>4373</v>
      </c>
      <c r="B264">
        <v>1</v>
      </c>
      <c r="C264">
        <v>0.161</v>
      </c>
    </row>
    <row r="265" spans="1:3" x14ac:dyDescent="0.3">
      <c r="A265" t="s">
        <v>4374</v>
      </c>
      <c r="B265">
        <v>1</v>
      </c>
      <c r="C265">
        <v>0.161</v>
      </c>
    </row>
    <row r="266" spans="1:3" x14ac:dyDescent="0.3">
      <c r="A266" t="s">
        <v>4375</v>
      </c>
      <c r="B266">
        <v>1</v>
      </c>
      <c r="C266">
        <v>0.161</v>
      </c>
    </row>
    <row r="267" spans="1:3" x14ac:dyDescent="0.3">
      <c r="A267" t="s">
        <v>4376</v>
      </c>
      <c r="B267">
        <v>1</v>
      </c>
      <c r="C267">
        <v>0.161</v>
      </c>
    </row>
    <row r="268" spans="1:3" x14ac:dyDescent="0.3">
      <c r="A268" t="s">
        <v>4377</v>
      </c>
      <c r="B268">
        <v>1</v>
      </c>
      <c r="C268">
        <v>0.161</v>
      </c>
    </row>
    <row r="269" spans="1:3" x14ac:dyDescent="0.3">
      <c r="A269" t="s">
        <v>4378</v>
      </c>
      <c r="B269">
        <v>1</v>
      </c>
      <c r="C269">
        <v>0.161</v>
      </c>
    </row>
    <row r="270" spans="1:3" x14ac:dyDescent="0.3">
      <c r="A270" t="s">
        <v>4379</v>
      </c>
      <c r="B270">
        <v>1</v>
      </c>
      <c r="C270">
        <v>0.161</v>
      </c>
    </row>
    <row r="271" spans="1:3" x14ac:dyDescent="0.3">
      <c r="A271" t="s">
        <v>4380</v>
      </c>
      <c r="B271">
        <v>1</v>
      </c>
      <c r="C271">
        <v>0.161</v>
      </c>
    </row>
    <row r="272" spans="1:3" x14ac:dyDescent="0.3">
      <c r="A272" t="s">
        <v>4381</v>
      </c>
      <c r="B272">
        <v>1</v>
      </c>
      <c r="C272">
        <v>0.161</v>
      </c>
    </row>
    <row r="273" spans="1:3" x14ac:dyDescent="0.3">
      <c r="A273" t="s">
        <v>4382</v>
      </c>
      <c r="B273">
        <v>1</v>
      </c>
      <c r="C273">
        <v>0.161</v>
      </c>
    </row>
    <row r="274" spans="1:3" x14ac:dyDescent="0.3">
      <c r="A274" t="s">
        <v>4383</v>
      </c>
      <c r="B274">
        <v>1</v>
      </c>
      <c r="C274">
        <v>0.161</v>
      </c>
    </row>
    <row r="275" spans="1:3" x14ac:dyDescent="0.3">
      <c r="A275" t="s">
        <v>4384</v>
      </c>
      <c r="B275">
        <v>1</v>
      </c>
      <c r="C275">
        <v>0.161</v>
      </c>
    </row>
    <row r="276" spans="1:3" x14ac:dyDescent="0.3">
      <c r="A276" t="s">
        <v>4385</v>
      </c>
      <c r="B276">
        <v>1</v>
      </c>
      <c r="C276">
        <v>0.161</v>
      </c>
    </row>
    <row r="277" spans="1:3" x14ac:dyDescent="0.3">
      <c r="A277" t="s">
        <v>4386</v>
      </c>
      <c r="B277">
        <v>1</v>
      </c>
      <c r="C277">
        <v>0.161</v>
      </c>
    </row>
    <row r="278" spans="1:3" x14ac:dyDescent="0.3">
      <c r="A278" t="s">
        <v>4387</v>
      </c>
      <c r="B278">
        <v>1</v>
      </c>
      <c r="C278">
        <v>0.161</v>
      </c>
    </row>
    <row r="279" spans="1:3" x14ac:dyDescent="0.3">
      <c r="A279" t="s">
        <v>4388</v>
      </c>
      <c r="B279">
        <v>1</v>
      </c>
      <c r="C279">
        <v>0.161</v>
      </c>
    </row>
    <row r="280" spans="1:3" x14ac:dyDescent="0.3">
      <c r="A280" t="s">
        <v>4389</v>
      </c>
      <c r="B280">
        <v>1</v>
      </c>
      <c r="C280">
        <v>0.161</v>
      </c>
    </row>
    <row r="281" spans="1:3" x14ac:dyDescent="0.3">
      <c r="A281" t="s">
        <v>4390</v>
      </c>
      <c r="B281">
        <v>1</v>
      </c>
      <c r="C281">
        <v>0.161</v>
      </c>
    </row>
    <row r="282" spans="1:3" x14ac:dyDescent="0.3">
      <c r="A282" t="s">
        <v>4391</v>
      </c>
      <c r="B282">
        <v>1</v>
      </c>
      <c r="C282">
        <v>0.161</v>
      </c>
    </row>
    <row r="283" spans="1:3" x14ac:dyDescent="0.3">
      <c r="A283" t="s">
        <v>4392</v>
      </c>
      <c r="B283">
        <v>1</v>
      </c>
      <c r="C283">
        <v>0.161</v>
      </c>
    </row>
    <row r="284" spans="1:3" x14ac:dyDescent="0.3">
      <c r="A284" t="s">
        <v>4393</v>
      </c>
      <c r="B284">
        <v>1</v>
      </c>
      <c r="C284">
        <v>0.161</v>
      </c>
    </row>
    <row r="285" spans="1:3" x14ac:dyDescent="0.3">
      <c r="A285" t="s">
        <v>4394</v>
      </c>
      <c r="B285">
        <v>1</v>
      </c>
      <c r="C285">
        <v>0.161</v>
      </c>
    </row>
    <row r="286" spans="1:3" x14ac:dyDescent="0.3">
      <c r="A286" t="s">
        <v>4395</v>
      </c>
      <c r="B286">
        <v>1</v>
      </c>
      <c r="C286">
        <v>0.161</v>
      </c>
    </row>
    <row r="287" spans="1:3" x14ac:dyDescent="0.3">
      <c r="A287" t="s">
        <v>4396</v>
      </c>
      <c r="B287">
        <v>1</v>
      </c>
      <c r="C287">
        <v>0.161</v>
      </c>
    </row>
    <row r="288" spans="1:3" x14ac:dyDescent="0.3">
      <c r="A288" t="s">
        <v>4397</v>
      </c>
      <c r="B288">
        <v>1</v>
      </c>
      <c r="C288">
        <v>0.161</v>
      </c>
    </row>
    <row r="289" spans="1:3" x14ac:dyDescent="0.3">
      <c r="A289" t="s">
        <v>4398</v>
      </c>
      <c r="B289">
        <v>1</v>
      </c>
      <c r="C289">
        <v>0.161</v>
      </c>
    </row>
    <row r="290" spans="1:3" x14ac:dyDescent="0.3">
      <c r="A290" t="s">
        <v>4399</v>
      </c>
      <c r="B290">
        <v>1</v>
      </c>
      <c r="C290">
        <v>0.161</v>
      </c>
    </row>
    <row r="291" spans="1:3" x14ac:dyDescent="0.3">
      <c r="A291" t="s">
        <v>4400</v>
      </c>
      <c r="B291">
        <v>1</v>
      </c>
      <c r="C291">
        <v>0.161</v>
      </c>
    </row>
    <row r="292" spans="1:3" x14ac:dyDescent="0.3">
      <c r="A292" t="s">
        <v>4401</v>
      </c>
      <c r="B292">
        <v>1</v>
      </c>
      <c r="C292">
        <v>0.161</v>
      </c>
    </row>
    <row r="293" spans="1:3" x14ac:dyDescent="0.3">
      <c r="A293" t="s">
        <v>4402</v>
      </c>
      <c r="B293">
        <v>1</v>
      </c>
      <c r="C293">
        <v>0.161</v>
      </c>
    </row>
    <row r="294" spans="1:3" x14ac:dyDescent="0.3">
      <c r="A294" t="s">
        <v>4403</v>
      </c>
      <c r="B294">
        <v>1</v>
      </c>
      <c r="C294">
        <v>0.161</v>
      </c>
    </row>
    <row r="295" spans="1:3" x14ac:dyDescent="0.3">
      <c r="A295" t="s">
        <v>4404</v>
      </c>
      <c r="B295">
        <v>1</v>
      </c>
      <c r="C295">
        <v>0.161</v>
      </c>
    </row>
    <row r="296" spans="1:3" x14ac:dyDescent="0.3">
      <c r="A296" t="s">
        <v>4405</v>
      </c>
      <c r="B296">
        <v>1</v>
      </c>
      <c r="C296">
        <v>0.161</v>
      </c>
    </row>
    <row r="297" spans="1:3" x14ac:dyDescent="0.3">
      <c r="A297" t="s">
        <v>4406</v>
      </c>
      <c r="B297">
        <v>1</v>
      </c>
      <c r="C297">
        <v>0.161</v>
      </c>
    </row>
    <row r="298" spans="1:3" x14ac:dyDescent="0.3">
      <c r="A298" t="s">
        <v>4407</v>
      </c>
      <c r="B298">
        <v>1</v>
      </c>
      <c r="C298">
        <v>0.161</v>
      </c>
    </row>
    <row r="299" spans="1:3" x14ac:dyDescent="0.3">
      <c r="A299" t="s">
        <v>4408</v>
      </c>
      <c r="B299">
        <v>1</v>
      </c>
      <c r="C299">
        <v>0.161</v>
      </c>
    </row>
    <row r="300" spans="1:3" x14ac:dyDescent="0.3">
      <c r="A300" t="s">
        <v>4409</v>
      </c>
      <c r="B300">
        <v>1</v>
      </c>
      <c r="C300">
        <v>0.161</v>
      </c>
    </row>
    <row r="301" spans="1:3" x14ac:dyDescent="0.3">
      <c r="A301" t="s">
        <v>4410</v>
      </c>
      <c r="B301">
        <v>1</v>
      </c>
      <c r="C301">
        <v>0.161</v>
      </c>
    </row>
    <row r="302" spans="1:3" x14ac:dyDescent="0.3">
      <c r="A302" t="s">
        <v>4411</v>
      </c>
      <c r="B302">
        <v>1</v>
      </c>
      <c r="C302">
        <v>0.161</v>
      </c>
    </row>
    <row r="303" spans="1:3" x14ac:dyDescent="0.3">
      <c r="A303" t="s">
        <v>4412</v>
      </c>
      <c r="B303">
        <v>1</v>
      </c>
      <c r="C303">
        <v>0.161</v>
      </c>
    </row>
    <row r="304" spans="1:3" x14ac:dyDescent="0.3">
      <c r="A304" t="s">
        <v>4413</v>
      </c>
      <c r="B304">
        <v>1</v>
      </c>
      <c r="C304">
        <v>0.161</v>
      </c>
    </row>
    <row r="305" spans="1:3" x14ac:dyDescent="0.3">
      <c r="A305" t="s">
        <v>4414</v>
      </c>
      <c r="B305">
        <v>1</v>
      </c>
      <c r="C305">
        <v>0.161</v>
      </c>
    </row>
    <row r="306" spans="1:3" x14ac:dyDescent="0.3">
      <c r="A306" t="s">
        <v>4415</v>
      </c>
      <c r="B306">
        <v>1</v>
      </c>
      <c r="C306">
        <v>0.161</v>
      </c>
    </row>
    <row r="307" spans="1:3" x14ac:dyDescent="0.3">
      <c r="A307" t="s">
        <v>4416</v>
      </c>
      <c r="B307">
        <v>1</v>
      </c>
      <c r="C307">
        <v>0.161</v>
      </c>
    </row>
    <row r="308" spans="1:3" x14ac:dyDescent="0.3">
      <c r="A308" t="s">
        <v>4417</v>
      </c>
      <c r="B308">
        <v>1</v>
      </c>
      <c r="C308">
        <v>0.161</v>
      </c>
    </row>
    <row r="309" spans="1:3" x14ac:dyDescent="0.3">
      <c r="A309" t="s">
        <v>4418</v>
      </c>
      <c r="B309">
        <v>1</v>
      </c>
      <c r="C309">
        <v>0.161</v>
      </c>
    </row>
    <row r="310" spans="1:3" x14ac:dyDescent="0.3">
      <c r="A310" t="s">
        <v>4419</v>
      </c>
      <c r="B310">
        <v>1</v>
      </c>
      <c r="C310">
        <v>0.161</v>
      </c>
    </row>
    <row r="311" spans="1:3" x14ac:dyDescent="0.3">
      <c r="A311" t="s">
        <v>4420</v>
      </c>
      <c r="B311">
        <v>1</v>
      </c>
      <c r="C311">
        <v>0.161</v>
      </c>
    </row>
    <row r="312" spans="1:3" x14ac:dyDescent="0.3">
      <c r="A312" t="s">
        <v>4421</v>
      </c>
      <c r="B312">
        <v>1</v>
      </c>
      <c r="C312">
        <v>0.161</v>
      </c>
    </row>
    <row r="313" spans="1:3" x14ac:dyDescent="0.3">
      <c r="A313" t="s">
        <v>4422</v>
      </c>
      <c r="B313">
        <v>1</v>
      </c>
      <c r="C313">
        <v>0.161</v>
      </c>
    </row>
    <row r="314" spans="1:3" x14ac:dyDescent="0.3">
      <c r="A314" t="s">
        <v>4423</v>
      </c>
      <c r="B314">
        <v>1</v>
      </c>
      <c r="C314">
        <v>0.161</v>
      </c>
    </row>
    <row r="315" spans="1:3" x14ac:dyDescent="0.3">
      <c r="A315" t="s">
        <v>4424</v>
      </c>
      <c r="B315">
        <v>1</v>
      </c>
      <c r="C315">
        <v>0.161</v>
      </c>
    </row>
    <row r="316" spans="1:3" x14ac:dyDescent="0.3">
      <c r="A316" t="s">
        <v>4425</v>
      </c>
      <c r="B316">
        <v>1</v>
      </c>
      <c r="C316">
        <v>0.161</v>
      </c>
    </row>
    <row r="317" spans="1:3" x14ac:dyDescent="0.3">
      <c r="A317" t="s">
        <v>4426</v>
      </c>
      <c r="B317">
        <v>1</v>
      </c>
      <c r="C317">
        <v>0.161</v>
      </c>
    </row>
    <row r="318" spans="1:3" x14ac:dyDescent="0.3">
      <c r="A318" t="s">
        <v>4427</v>
      </c>
      <c r="B318">
        <v>1</v>
      </c>
      <c r="C318">
        <v>0.161</v>
      </c>
    </row>
    <row r="319" spans="1:3" x14ac:dyDescent="0.3">
      <c r="A319" t="s">
        <v>4428</v>
      </c>
      <c r="B319">
        <v>1</v>
      </c>
      <c r="C319">
        <v>0.161</v>
      </c>
    </row>
    <row r="320" spans="1:3" x14ac:dyDescent="0.3">
      <c r="A320" t="s">
        <v>4429</v>
      </c>
      <c r="B320">
        <v>1</v>
      </c>
      <c r="C320">
        <v>0.161</v>
      </c>
    </row>
    <row r="321" spans="1:3" x14ac:dyDescent="0.3">
      <c r="A321" t="s">
        <v>4430</v>
      </c>
      <c r="B321">
        <v>1</v>
      </c>
      <c r="C321">
        <v>0.161</v>
      </c>
    </row>
    <row r="322" spans="1:3" x14ac:dyDescent="0.3">
      <c r="A322" t="s">
        <v>4431</v>
      </c>
      <c r="B322">
        <v>1</v>
      </c>
      <c r="C322">
        <v>0.161</v>
      </c>
    </row>
    <row r="323" spans="1:3" x14ac:dyDescent="0.3">
      <c r="A323" t="s">
        <v>4432</v>
      </c>
      <c r="B323">
        <v>1</v>
      </c>
      <c r="C323">
        <v>0.161</v>
      </c>
    </row>
    <row r="324" spans="1:3" x14ac:dyDescent="0.3">
      <c r="A324" t="s">
        <v>4433</v>
      </c>
      <c r="B324">
        <v>1</v>
      </c>
      <c r="C324">
        <v>0.161</v>
      </c>
    </row>
    <row r="325" spans="1:3" x14ac:dyDescent="0.3">
      <c r="A325" t="s">
        <v>4434</v>
      </c>
      <c r="B325">
        <v>1</v>
      </c>
      <c r="C325">
        <v>0.161</v>
      </c>
    </row>
    <row r="326" spans="1:3" x14ac:dyDescent="0.3">
      <c r="A326" t="s">
        <v>4435</v>
      </c>
      <c r="B326">
        <v>1</v>
      </c>
      <c r="C326">
        <v>0.161</v>
      </c>
    </row>
    <row r="327" spans="1:3" x14ac:dyDescent="0.3">
      <c r="A327" t="s">
        <v>4436</v>
      </c>
      <c r="B327">
        <v>1</v>
      </c>
      <c r="C327">
        <v>0.161</v>
      </c>
    </row>
    <row r="328" spans="1:3" x14ac:dyDescent="0.3">
      <c r="A328" t="s">
        <v>4437</v>
      </c>
      <c r="B328">
        <v>1</v>
      </c>
      <c r="C328">
        <v>0.161</v>
      </c>
    </row>
    <row r="329" spans="1:3" x14ac:dyDescent="0.3">
      <c r="A329" t="s">
        <v>4438</v>
      </c>
      <c r="B329">
        <v>1</v>
      </c>
      <c r="C329">
        <v>0.161</v>
      </c>
    </row>
    <row r="330" spans="1:3" x14ac:dyDescent="0.3">
      <c r="A330" t="s">
        <v>4439</v>
      </c>
      <c r="B330">
        <v>1</v>
      </c>
      <c r="C330">
        <v>0.161</v>
      </c>
    </row>
    <row r="331" spans="1:3" x14ac:dyDescent="0.3">
      <c r="A331" t="s">
        <v>4440</v>
      </c>
      <c r="B331">
        <v>1</v>
      </c>
      <c r="C331">
        <v>0.161</v>
      </c>
    </row>
    <row r="332" spans="1:3" x14ac:dyDescent="0.3">
      <c r="A332" t="s">
        <v>4441</v>
      </c>
      <c r="B332">
        <v>1</v>
      </c>
      <c r="C332">
        <v>0.161</v>
      </c>
    </row>
    <row r="333" spans="1:3" x14ac:dyDescent="0.3">
      <c r="A333" t="s">
        <v>4442</v>
      </c>
      <c r="B333">
        <v>1</v>
      </c>
      <c r="C333">
        <v>0.161</v>
      </c>
    </row>
    <row r="334" spans="1:3" x14ac:dyDescent="0.3">
      <c r="A334" t="s">
        <v>4443</v>
      </c>
      <c r="B334">
        <v>1</v>
      </c>
      <c r="C334">
        <v>0.161</v>
      </c>
    </row>
    <row r="335" spans="1:3" x14ac:dyDescent="0.3">
      <c r="A335" t="s">
        <v>4444</v>
      </c>
      <c r="B335">
        <v>1</v>
      </c>
      <c r="C335">
        <v>0.161</v>
      </c>
    </row>
    <row r="336" spans="1:3" x14ac:dyDescent="0.3">
      <c r="A336" t="s">
        <v>4445</v>
      </c>
      <c r="B336">
        <v>1</v>
      </c>
      <c r="C336">
        <v>0.161</v>
      </c>
    </row>
    <row r="337" spans="1:3" x14ac:dyDescent="0.3">
      <c r="A337" t="s">
        <v>4446</v>
      </c>
      <c r="B337">
        <v>1</v>
      </c>
      <c r="C337">
        <v>0.161</v>
      </c>
    </row>
    <row r="338" spans="1:3" x14ac:dyDescent="0.3">
      <c r="A338" t="s">
        <v>4447</v>
      </c>
      <c r="B338">
        <v>1</v>
      </c>
      <c r="C338">
        <v>0.161</v>
      </c>
    </row>
    <row r="339" spans="1:3" x14ac:dyDescent="0.3">
      <c r="A339" t="s">
        <v>4448</v>
      </c>
      <c r="B339">
        <v>1</v>
      </c>
      <c r="C339">
        <v>0.161</v>
      </c>
    </row>
    <row r="340" spans="1:3" x14ac:dyDescent="0.3">
      <c r="A340" t="s">
        <v>4449</v>
      </c>
      <c r="B340">
        <v>1</v>
      </c>
      <c r="C340">
        <v>0.161</v>
      </c>
    </row>
    <row r="341" spans="1:3" x14ac:dyDescent="0.3">
      <c r="A341" t="s">
        <v>4450</v>
      </c>
      <c r="B341">
        <v>1</v>
      </c>
      <c r="C341">
        <v>0.161</v>
      </c>
    </row>
    <row r="342" spans="1:3" x14ac:dyDescent="0.3">
      <c r="A342" t="s">
        <v>4451</v>
      </c>
      <c r="B342">
        <v>1</v>
      </c>
      <c r="C342">
        <v>0.161</v>
      </c>
    </row>
    <row r="343" spans="1:3" x14ac:dyDescent="0.3">
      <c r="A343" t="s">
        <v>4452</v>
      </c>
      <c r="B343">
        <v>1</v>
      </c>
      <c r="C343">
        <v>0.161</v>
      </c>
    </row>
    <row r="344" spans="1:3" x14ac:dyDescent="0.3">
      <c r="A344" t="s">
        <v>4453</v>
      </c>
      <c r="B344">
        <v>1</v>
      </c>
      <c r="C344">
        <v>0.161</v>
      </c>
    </row>
    <row r="345" spans="1:3" x14ac:dyDescent="0.3">
      <c r="A345" t="s">
        <v>4454</v>
      </c>
      <c r="B345">
        <v>1</v>
      </c>
      <c r="C345">
        <v>0.161</v>
      </c>
    </row>
    <row r="346" spans="1:3" x14ac:dyDescent="0.3">
      <c r="A346" t="s">
        <v>4455</v>
      </c>
      <c r="B346">
        <v>1</v>
      </c>
      <c r="C346">
        <v>0.161</v>
      </c>
    </row>
    <row r="347" spans="1:3" x14ac:dyDescent="0.3">
      <c r="A347" t="s">
        <v>4456</v>
      </c>
      <c r="B347">
        <v>1</v>
      </c>
      <c r="C347">
        <v>0.161</v>
      </c>
    </row>
    <row r="348" spans="1:3" x14ac:dyDescent="0.3">
      <c r="A348" t="s">
        <v>4457</v>
      </c>
      <c r="B348">
        <v>1</v>
      </c>
      <c r="C348">
        <v>0.161</v>
      </c>
    </row>
    <row r="349" spans="1:3" x14ac:dyDescent="0.3">
      <c r="A349" t="s">
        <v>4458</v>
      </c>
      <c r="B349">
        <v>1</v>
      </c>
      <c r="C349">
        <v>0.161</v>
      </c>
    </row>
    <row r="350" spans="1:3" x14ac:dyDescent="0.3">
      <c r="A350" t="s">
        <v>4459</v>
      </c>
      <c r="B350">
        <v>1</v>
      </c>
      <c r="C350">
        <v>0.161</v>
      </c>
    </row>
    <row r="351" spans="1:3" x14ac:dyDescent="0.3">
      <c r="A351" t="s">
        <v>4460</v>
      </c>
      <c r="B351">
        <v>1</v>
      </c>
      <c r="C351">
        <v>0.161</v>
      </c>
    </row>
    <row r="352" spans="1:3" x14ac:dyDescent="0.3">
      <c r="A352" t="s">
        <v>4461</v>
      </c>
      <c r="B352">
        <v>1</v>
      </c>
      <c r="C352">
        <v>0.161</v>
      </c>
    </row>
    <row r="353" spans="1:3" x14ac:dyDescent="0.3">
      <c r="A353" t="s">
        <v>4462</v>
      </c>
      <c r="B353">
        <v>1</v>
      </c>
      <c r="C353">
        <v>0.161</v>
      </c>
    </row>
    <row r="354" spans="1:3" x14ac:dyDescent="0.3">
      <c r="A354" t="s">
        <v>4463</v>
      </c>
      <c r="B354">
        <v>1</v>
      </c>
      <c r="C354">
        <v>0.161</v>
      </c>
    </row>
    <row r="355" spans="1:3" x14ac:dyDescent="0.3">
      <c r="A355" t="s">
        <v>4464</v>
      </c>
      <c r="B355">
        <v>1</v>
      </c>
      <c r="C355">
        <v>0.161</v>
      </c>
    </row>
    <row r="356" spans="1:3" x14ac:dyDescent="0.3">
      <c r="A356" t="s">
        <v>4465</v>
      </c>
      <c r="B356">
        <v>1</v>
      </c>
      <c r="C356">
        <v>0.161</v>
      </c>
    </row>
    <row r="357" spans="1:3" x14ac:dyDescent="0.3">
      <c r="A357" t="s">
        <v>4466</v>
      </c>
      <c r="B357">
        <v>1</v>
      </c>
      <c r="C357">
        <v>0.161</v>
      </c>
    </row>
    <row r="358" spans="1:3" x14ac:dyDescent="0.3">
      <c r="A358" t="s">
        <v>4467</v>
      </c>
      <c r="B358">
        <v>1</v>
      </c>
      <c r="C358">
        <v>0.161</v>
      </c>
    </row>
    <row r="359" spans="1:3" x14ac:dyDescent="0.3">
      <c r="A359" t="s">
        <v>4468</v>
      </c>
      <c r="B359">
        <v>1</v>
      </c>
      <c r="C359">
        <v>0.161</v>
      </c>
    </row>
    <row r="360" spans="1:3" x14ac:dyDescent="0.3">
      <c r="A360" t="s">
        <v>4469</v>
      </c>
      <c r="B360">
        <v>1</v>
      </c>
      <c r="C360">
        <v>0.161</v>
      </c>
    </row>
    <row r="361" spans="1:3" x14ac:dyDescent="0.3">
      <c r="A361" t="s">
        <v>4470</v>
      </c>
      <c r="B361">
        <v>1</v>
      </c>
      <c r="C361">
        <v>0.161</v>
      </c>
    </row>
    <row r="362" spans="1:3" x14ac:dyDescent="0.3">
      <c r="A362" t="s">
        <v>4471</v>
      </c>
      <c r="B362">
        <v>1</v>
      </c>
      <c r="C362">
        <v>0.161</v>
      </c>
    </row>
    <row r="363" spans="1:3" x14ac:dyDescent="0.3">
      <c r="A363" t="s">
        <v>4472</v>
      </c>
      <c r="B363">
        <v>1</v>
      </c>
      <c r="C363">
        <v>0.161</v>
      </c>
    </row>
    <row r="364" spans="1:3" x14ac:dyDescent="0.3">
      <c r="A364" t="s">
        <v>4473</v>
      </c>
      <c r="B364">
        <v>1</v>
      </c>
      <c r="C364">
        <v>0.161</v>
      </c>
    </row>
    <row r="365" spans="1:3" x14ac:dyDescent="0.3">
      <c r="A365" t="s">
        <v>4474</v>
      </c>
      <c r="B365">
        <v>1</v>
      </c>
      <c r="C365">
        <v>0.161</v>
      </c>
    </row>
    <row r="366" spans="1:3" x14ac:dyDescent="0.3">
      <c r="A366" t="s">
        <v>4475</v>
      </c>
      <c r="B366">
        <v>1</v>
      </c>
      <c r="C366">
        <v>0.161</v>
      </c>
    </row>
    <row r="367" spans="1:3" x14ac:dyDescent="0.3">
      <c r="A367" t="s">
        <v>4476</v>
      </c>
      <c r="B367">
        <v>1</v>
      </c>
      <c r="C367">
        <v>0.161</v>
      </c>
    </row>
    <row r="368" spans="1:3" x14ac:dyDescent="0.3">
      <c r="A368" t="s">
        <v>4477</v>
      </c>
      <c r="B368">
        <v>1</v>
      </c>
      <c r="C368">
        <v>0.161</v>
      </c>
    </row>
    <row r="369" spans="1:3" x14ac:dyDescent="0.3">
      <c r="A369" t="s">
        <v>4478</v>
      </c>
      <c r="B369">
        <v>1</v>
      </c>
      <c r="C369">
        <v>0.161</v>
      </c>
    </row>
    <row r="370" spans="1:3" x14ac:dyDescent="0.3">
      <c r="A370" t="s">
        <v>4479</v>
      </c>
      <c r="B370">
        <v>1</v>
      </c>
      <c r="C370">
        <v>0.161</v>
      </c>
    </row>
    <row r="371" spans="1:3" x14ac:dyDescent="0.3">
      <c r="A371" t="s">
        <v>4480</v>
      </c>
      <c r="B371">
        <v>1</v>
      </c>
      <c r="C371">
        <v>0.161</v>
      </c>
    </row>
    <row r="372" spans="1:3" x14ac:dyDescent="0.3">
      <c r="A372" t="s">
        <v>4481</v>
      </c>
      <c r="B372">
        <v>1</v>
      </c>
      <c r="C372">
        <v>0.161</v>
      </c>
    </row>
    <row r="373" spans="1:3" x14ac:dyDescent="0.3">
      <c r="A373" t="s">
        <v>4482</v>
      </c>
      <c r="B373">
        <v>1</v>
      </c>
      <c r="C373">
        <v>0.161</v>
      </c>
    </row>
    <row r="374" spans="1:3" x14ac:dyDescent="0.3">
      <c r="A374" t="s">
        <v>4483</v>
      </c>
      <c r="B374">
        <v>1</v>
      </c>
      <c r="C374">
        <v>0.161</v>
      </c>
    </row>
    <row r="375" spans="1:3" x14ac:dyDescent="0.3">
      <c r="A375" t="s">
        <v>4484</v>
      </c>
      <c r="B375">
        <v>1</v>
      </c>
      <c r="C375">
        <v>0.161</v>
      </c>
    </row>
    <row r="376" spans="1:3" x14ac:dyDescent="0.3">
      <c r="A376" t="s">
        <v>4485</v>
      </c>
      <c r="B376">
        <v>1</v>
      </c>
      <c r="C376">
        <v>0.161</v>
      </c>
    </row>
    <row r="377" spans="1:3" x14ac:dyDescent="0.3">
      <c r="A377" t="s">
        <v>4486</v>
      </c>
      <c r="B377">
        <v>1</v>
      </c>
      <c r="C377">
        <v>0.161</v>
      </c>
    </row>
    <row r="378" spans="1:3" x14ac:dyDescent="0.3">
      <c r="A378" t="s">
        <v>4487</v>
      </c>
      <c r="B378">
        <v>1</v>
      </c>
      <c r="C378">
        <v>0.161</v>
      </c>
    </row>
    <row r="379" spans="1:3" x14ac:dyDescent="0.3">
      <c r="A379" t="s">
        <v>4488</v>
      </c>
      <c r="B379">
        <v>1</v>
      </c>
      <c r="C379">
        <v>0.161</v>
      </c>
    </row>
    <row r="380" spans="1:3" x14ac:dyDescent="0.3">
      <c r="A380" t="s">
        <v>4489</v>
      </c>
      <c r="B380">
        <v>1</v>
      </c>
      <c r="C380">
        <v>0.161</v>
      </c>
    </row>
    <row r="381" spans="1:3" x14ac:dyDescent="0.3">
      <c r="A381" t="s">
        <v>4490</v>
      </c>
      <c r="B381">
        <v>1</v>
      </c>
      <c r="C381">
        <v>0.161</v>
      </c>
    </row>
    <row r="382" spans="1:3" x14ac:dyDescent="0.3">
      <c r="A382" t="s">
        <v>4491</v>
      </c>
      <c r="B382">
        <v>1</v>
      </c>
      <c r="C382">
        <v>0.161</v>
      </c>
    </row>
    <row r="383" spans="1:3" x14ac:dyDescent="0.3">
      <c r="A383" t="s">
        <v>4492</v>
      </c>
      <c r="B383">
        <v>1</v>
      </c>
      <c r="C383">
        <v>0.161</v>
      </c>
    </row>
    <row r="384" spans="1:3" x14ac:dyDescent="0.3">
      <c r="A384" t="s">
        <v>4493</v>
      </c>
      <c r="B384">
        <v>1</v>
      </c>
      <c r="C384">
        <v>0.161</v>
      </c>
    </row>
    <row r="385" spans="1:3" x14ac:dyDescent="0.3">
      <c r="A385" t="s">
        <v>4494</v>
      </c>
      <c r="B385">
        <v>1</v>
      </c>
      <c r="C385">
        <v>0.161</v>
      </c>
    </row>
    <row r="386" spans="1:3" x14ac:dyDescent="0.3">
      <c r="A386" t="s">
        <v>4495</v>
      </c>
      <c r="B386">
        <v>1</v>
      </c>
      <c r="C386">
        <v>0.161</v>
      </c>
    </row>
    <row r="387" spans="1:3" x14ac:dyDescent="0.3">
      <c r="A387" t="s">
        <v>4496</v>
      </c>
      <c r="B387">
        <v>1</v>
      </c>
      <c r="C387">
        <v>0.161</v>
      </c>
    </row>
    <row r="388" spans="1:3" x14ac:dyDescent="0.3">
      <c r="A388" t="s">
        <v>4497</v>
      </c>
      <c r="B388">
        <v>1</v>
      </c>
      <c r="C388">
        <v>0.161</v>
      </c>
    </row>
    <row r="389" spans="1:3" x14ac:dyDescent="0.3">
      <c r="A389" t="s">
        <v>4498</v>
      </c>
      <c r="B389">
        <v>1</v>
      </c>
      <c r="C389">
        <v>0.161</v>
      </c>
    </row>
    <row r="390" spans="1:3" x14ac:dyDescent="0.3">
      <c r="A390" t="s">
        <v>4499</v>
      </c>
      <c r="B390">
        <v>1</v>
      </c>
      <c r="C390">
        <v>0.161</v>
      </c>
    </row>
    <row r="391" spans="1:3" x14ac:dyDescent="0.3">
      <c r="A391" t="s">
        <v>4500</v>
      </c>
      <c r="B391">
        <v>1</v>
      </c>
      <c r="C391">
        <v>0.161</v>
      </c>
    </row>
    <row r="392" spans="1:3" x14ac:dyDescent="0.3">
      <c r="A392" t="s">
        <v>4501</v>
      </c>
      <c r="B392">
        <v>1</v>
      </c>
      <c r="C392">
        <v>0.161</v>
      </c>
    </row>
    <row r="393" spans="1:3" x14ac:dyDescent="0.3">
      <c r="A393" t="s">
        <v>4502</v>
      </c>
      <c r="B393">
        <v>1</v>
      </c>
      <c r="C393">
        <v>0.161</v>
      </c>
    </row>
    <row r="394" spans="1:3" x14ac:dyDescent="0.3">
      <c r="A394" t="s">
        <v>4503</v>
      </c>
      <c r="B394">
        <v>1</v>
      </c>
      <c r="C394">
        <v>0.161</v>
      </c>
    </row>
    <row r="395" spans="1:3" x14ac:dyDescent="0.3">
      <c r="A395" t="s">
        <v>4504</v>
      </c>
      <c r="B395">
        <v>1</v>
      </c>
      <c r="C395">
        <v>0.161</v>
      </c>
    </row>
    <row r="396" spans="1:3" x14ac:dyDescent="0.3">
      <c r="A396" t="s">
        <v>4505</v>
      </c>
      <c r="B396">
        <v>1</v>
      </c>
      <c r="C396">
        <v>0.161</v>
      </c>
    </row>
    <row r="397" spans="1:3" x14ac:dyDescent="0.3">
      <c r="A397" t="s">
        <v>4506</v>
      </c>
      <c r="B397">
        <v>1</v>
      </c>
      <c r="C397">
        <v>0.161</v>
      </c>
    </row>
    <row r="398" spans="1:3" x14ac:dyDescent="0.3">
      <c r="A398" t="s">
        <v>4507</v>
      </c>
      <c r="B398">
        <v>1</v>
      </c>
      <c r="C398">
        <v>0.161</v>
      </c>
    </row>
    <row r="399" spans="1:3" x14ac:dyDescent="0.3">
      <c r="A399" t="s">
        <v>4508</v>
      </c>
      <c r="B399">
        <v>1</v>
      </c>
      <c r="C399">
        <v>0.161</v>
      </c>
    </row>
    <row r="400" spans="1:3" x14ac:dyDescent="0.3">
      <c r="A400" t="s">
        <v>4509</v>
      </c>
      <c r="B400">
        <v>1</v>
      </c>
      <c r="C400">
        <v>0.161</v>
      </c>
    </row>
    <row r="401" spans="1:3" x14ac:dyDescent="0.3">
      <c r="A401" t="s">
        <v>4510</v>
      </c>
      <c r="B401">
        <v>1</v>
      </c>
      <c r="C401">
        <v>0.161</v>
      </c>
    </row>
    <row r="402" spans="1:3" x14ac:dyDescent="0.3">
      <c r="A402" t="s">
        <v>4511</v>
      </c>
      <c r="B402">
        <v>1</v>
      </c>
      <c r="C402">
        <v>0.161</v>
      </c>
    </row>
    <row r="403" spans="1:3" x14ac:dyDescent="0.3">
      <c r="A403" t="s">
        <v>4512</v>
      </c>
      <c r="B403">
        <v>1</v>
      </c>
      <c r="C403">
        <v>0.161</v>
      </c>
    </row>
    <row r="404" spans="1:3" x14ac:dyDescent="0.3">
      <c r="A404" t="s">
        <v>4513</v>
      </c>
      <c r="B404">
        <v>1</v>
      </c>
      <c r="C404">
        <v>0.161</v>
      </c>
    </row>
    <row r="405" spans="1:3" x14ac:dyDescent="0.3">
      <c r="A405" t="s">
        <v>4514</v>
      </c>
      <c r="B405">
        <v>1</v>
      </c>
      <c r="C405">
        <v>0.161</v>
      </c>
    </row>
    <row r="406" spans="1:3" x14ac:dyDescent="0.3">
      <c r="A406" t="s">
        <v>4515</v>
      </c>
      <c r="B406">
        <v>1</v>
      </c>
      <c r="C406">
        <v>0.161</v>
      </c>
    </row>
    <row r="407" spans="1:3" x14ac:dyDescent="0.3">
      <c r="A407" t="s">
        <v>4516</v>
      </c>
      <c r="B407">
        <v>1</v>
      </c>
      <c r="C407">
        <v>0.161</v>
      </c>
    </row>
    <row r="408" spans="1:3" x14ac:dyDescent="0.3">
      <c r="A408" t="s">
        <v>4517</v>
      </c>
      <c r="B408">
        <v>1</v>
      </c>
      <c r="C408">
        <v>0.161</v>
      </c>
    </row>
    <row r="409" spans="1:3" x14ac:dyDescent="0.3">
      <c r="A409" t="s">
        <v>4518</v>
      </c>
      <c r="B409">
        <v>1</v>
      </c>
      <c r="C409">
        <v>0.161</v>
      </c>
    </row>
    <row r="410" spans="1:3" x14ac:dyDescent="0.3">
      <c r="A410" t="s">
        <v>4519</v>
      </c>
      <c r="B410">
        <v>1</v>
      </c>
      <c r="C410">
        <v>0.161</v>
      </c>
    </row>
    <row r="411" spans="1:3" x14ac:dyDescent="0.3">
      <c r="A411" t="s">
        <v>4520</v>
      </c>
      <c r="B411">
        <v>1</v>
      </c>
      <c r="C411">
        <v>0.161</v>
      </c>
    </row>
    <row r="412" spans="1:3" x14ac:dyDescent="0.3">
      <c r="A412" t="s">
        <v>4521</v>
      </c>
      <c r="B412">
        <v>1</v>
      </c>
      <c r="C412">
        <v>0.161</v>
      </c>
    </row>
    <row r="413" spans="1:3" x14ac:dyDescent="0.3">
      <c r="A413" t="s">
        <v>4522</v>
      </c>
      <c r="B413">
        <v>1</v>
      </c>
      <c r="C413">
        <v>0.161</v>
      </c>
    </row>
    <row r="414" spans="1:3" x14ac:dyDescent="0.3">
      <c r="A414" t="s">
        <v>4523</v>
      </c>
      <c r="B414">
        <v>1</v>
      </c>
      <c r="C414">
        <v>0.161</v>
      </c>
    </row>
    <row r="415" spans="1:3" x14ac:dyDescent="0.3">
      <c r="A415" t="s">
        <v>4524</v>
      </c>
      <c r="B415">
        <v>1</v>
      </c>
      <c r="C415">
        <v>0.161</v>
      </c>
    </row>
    <row r="416" spans="1:3" x14ac:dyDescent="0.3">
      <c r="A416" t="s">
        <v>4525</v>
      </c>
      <c r="B416">
        <v>1</v>
      </c>
      <c r="C416">
        <v>0.161</v>
      </c>
    </row>
    <row r="417" spans="1:3" x14ac:dyDescent="0.3">
      <c r="A417" t="s">
        <v>4526</v>
      </c>
      <c r="B417">
        <v>1</v>
      </c>
      <c r="C417">
        <v>0.161</v>
      </c>
    </row>
    <row r="418" spans="1:3" x14ac:dyDescent="0.3">
      <c r="A418" t="s">
        <v>4527</v>
      </c>
      <c r="B418">
        <v>1</v>
      </c>
      <c r="C418">
        <v>0.161</v>
      </c>
    </row>
    <row r="419" spans="1:3" x14ac:dyDescent="0.3">
      <c r="A419" t="s">
        <v>4528</v>
      </c>
      <c r="B419">
        <v>1</v>
      </c>
      <c r="C419">
        <v>0.161</v>
      </c>
    </row>
    <row r="420" spans="1:3" x14ac:dyDescent="0.3">
      <c r="A420" t="s">
        <v>4529</v>
      </c>
      <c r="B420">
        <v>1</v>
      </c>
      <c r="C420">
        <v>0.161</v>
      </c>
    </row>
    <row r="421" spans="1:3" x14ac:dyDescent="0.3">
      <c r="A421" t="s">
        <v>4530</v>
      </c>
      <c r="B421">
        <v>1</v>
      </c>
      <c r="C421">
        <v>0.161</v>
      </c>
    </row>
    <row r="422" spans="1:3" x14ac:dyDescent="0.3">
      <c r="A422" t="s">
        <v>4531</v>
      </c>
      <c r="B422">
        <v>1</v>
      </c>
      <c r="C422">
        <v>0.161</v>
      </c>
    </row>
    <row r="423" spans="1:3" x14ac:dyDescent="0.3">
      <c r="A423" t="s">
        <v>4532</v>
      </c>
      <c r="B423">
        <v>1</v>
      </c>
      <c r="C423">
        <v>0.161</v>
      </c>
    </row>
    <row r="424" spans="1:3" x14ac:dyDescent="0.3">
      <c r="A424" t="s">
        <v>4533</v>
      </c>
      <c r="B424">
        <v>1</v>
      </c>
      <c r="C424">
        <v>0.161</v>
      </c>
    </row>
    <row r="425" spans="1:3" x14ac:dyDescent="0.3">
      <c r="A425" t="s">
        <v>4534</v>
      </c>
      <c r="B425">
        <v>1</v>
      </c>
      <c r="C425">
        <v>0.161</v>
      </c>
    </row>
    <row r="426" spans="1:3" x14ac:dyDescent="0.3">
      <c r="A426" t="s">
        <v>4535</v>
      </c>
      <c r="B426">
        <v>1</v>
      </c>
      <c r="C426">
        <v>0.161</v>
      </c>
    </row>
    <row r="427" spans="1:3" x14ac:dyDescent="0.3">
      <c r="A427" t="s">
        <v>4536</v>
      </c>
      <c r="B427">
        <v>1</v>
      </c>
      <c r="C427">
        <v>0.161</v>
      </c>
    </row>
    <row r="428" spans="1:3" x14ac:dyDescent="0.3">
      <c r="A428" t="s">
        <v>4537</v>
      </c>
      <c r="B428">
        <v>1</v>
      </c>
      <c r="C428">
        <v>0.161</v>
      </c>
    </row>
    <row r="429" spans="1:3" x14ac:dyDescent="0.3">
      <c r="A429" t="s">
        <v>4538</v>
      </c>
      <c r="B429">
        <v>1</v>
      </c>
      <c r="C429">
        <v>0.161</v>
      </c>
    </row>
    <row r="430" spans="1:3" x14ac:dyDescent="0.3">
      <c r="A430" t="s">
        <v>4539</v>
      </c>
      <c r="B430">
        <v>1</v>
      </c>
      <c r="C430">
        <v>0.161</v>
      </c>
    </row>
    <row r="431" spans="1:3" x14ac:dyDescent="0.3">
      <c r="A431" t="s">
        <v>4540</v>
      </c>
      <c r="B431">
        <v>1</v>
      </c>
      <c r="C431">
        <v>0.161</v>
      </c>
    </row>
    <row r="432" spans="1:3" x14ac:dyDescent="0.3">
      <c r="A432" t="s">
        <v>4541</v>
      </c>
      <c r="B432">
        <v>1</v>
      </c>
      <c r="C432">
        <v>0.161</v>
      </c>
    </row>
    <row r="433" spans="1:3" x14ac:dyDescent="0.3">
      <c r="A433" t="s">
        <v>4542</v>
      </c>
      <c r="B433">
        <v>1</v>
      </c>
      <c r="C433">
        <v>0.161</v>
      </c>
    </row>
    <row r="434" spans="1:3" x14ac:dyDescent="0.3">
      <c r="A434" t="s">
        <v>4543</v>
      </c>
      <c r="B434">
        <v>1</v>
      </c>
      <c r="C434">
        <v>0.161</v>
      </c>
    </row>
    <row r="435" spans="1:3" x14ac:dyDescent="0.3">
      <c r="A435" t="s">
        <v>4544</v>
      </c>
      <c r="B435">
        <v>1</v>
      </c>
      <c r="C435">
        <v>0.161</v>
      </c>
    </row>
    <row r="436" spans="1:3" x14ac:dyDescent="0.3">
      <c r="A436" t="s">
        <v>4545</v>
      </c>
      <c r="B436">
        <v>1</v>
      </c>
      <c r="C436">
        <v>0.161</v>
      </c>
    </row>
    <row r="437" spans="1:3" x14ac:dyDescent="0.3">
      <c r="A437" t="s">
        <v>4546</v>
      </c>
      <c r="B437">
        <v>1</v>
      </c>
      <c r="C437">
        <v>0.161</v>
      </c>
    </row>
    <row r="438" spans="1:3" x14ac:dyDescent="0.3">
      <c r="A438" t="s">
        <v>4547</v>
      </c>
      <c r="B438">
        <v>1</v>
      </c>
      <c r="C438">
        <v>0.161</v>
      </c>
    </row>
    <row r="439" spans="1:3" x14ac:dyDescent="0.3">
      <c r="A439" t="s">
        <v>4548</v>
      </c>
      <c r="B439">
        <v>1</v>
      </c>
      <c r="C439">
        <v>0.161</v>
      </c>
    </row>
    <row r="440" spans="1:3" x14ac:dyDescent="0.3">
      <c r="A440" t="s">
        <v>4549</v>
      </c>
      <c r="B440">
        <v>1</v>
      </c>
      <c r="C440">
        <v>0.161</v>
      </c>
    </row>
    <row r="441" spans="1:3" x14ac:dyDescent="0.3">
      <c r="A441" t="s">
        <v>4550</v>
      </c>
      <c r="B441">
        <v>1</v>
      </c>
      <c r="C441">
        <v>0.161</v>
      </c>
    </row>
    <row r="442" spans="1:3" x14ac:dyDescent="0.3">
      <c r="A442" t="s">
        <v>4551</v>
      </c>
      <c r="B442">
        <v>1</v>
      </c>
      <c r="C442">
        <v>0.161</v>
      </c>
    </row>
    <row r="443" spans="1:3" x14ac:dyDescent="0.3">
      <c r="A443" t="s">
        <v>4552</v>
      </c>
      <c r="B443">
        <v>1</v>
      </c>
      <c r="C443">
        <v>0.161</v>
      </c>
    </row>
    <row r="444" spans="1:3" x14ac:dyDescent="0.3">
      <c r="A444" t="s">
        <v>4553</v>
      </c>
      <c r="B444">
        <v>1</v>
      </c>
      <c r="C444">
        <v>0.161</v>
      </c>
    </row>
    <row r="445" spans="1:3" x14ac:dyDescent="0.3">
      <c r="A445" t="s">
        <v>4554</v>
      </c>
      <c r="B445">
        <v>1</v>
      </c>
      <c r="C445">
        <v>0.161</v>
      </c>
    </row>
    <row r="446" spans="1:3" x14ac:dyDescent="0.3">
      <c r="A446" t="s">
        <v>4555</v>
      </c>
      <c r="B446">
        <v>1</v>
      </c>
      <c r="C446">
        <v>0.161</v>
      </c>
    </row>
    <row r="447" spans="1:3" x14ac:dyDescent="0.3">
      <c r="A447" t="s">
        <v>4556</v>
      </c>
      <c r="B447">
        <v>1</v>
      </c>
      <c r="C447">
        <v>0.161</v>
      </c>
    </row>
    <row r="448" spans="1:3" x14ac:dyDescent="0.3">
      <c r="A448" t="s">
        <v>4557</v>
      </c>
      <c r="B448">
        <v>1</v>
      </c>
      <c r="C448">
        <v>0.161</v>
      </c>
    </row>
    <row r="449" spans="1:3" x14ac:dyDescent="0.3">
      <c r="A449" t="s">
        <v>4558</v>
      </c>
      <c r="B449">
        <v>1</v>
      </c>
      <c r="C449">
        <v>0.161</v>
      </c>
    </row>
    <row r="450" spans="1:3" x14ac:dyDescent="0.3">
      <c r="A450" t="s">
        <v>4559</v>
      </c>
      <c r="B450">
        <v>1</v>
      </c>
      <c r="C450">
        <v>0.161</v>
      </c>
    </row>
    <row r="451" spans="1:3" x14ac:dyDescent="0.3">
      <c r="A451" t="s">
        <v>4560</v>
      </c>
      <c r="B451">
        <v>1</v>
      </c>
      <c r="C451">
        <v>0.161</v>
      </c>
    </row>
    <row r="452" spans="1:3" x14ac:dyDescent="0.3">
      <c r="A452" t="s">
        <v>4561</v>
      </c>
      <c r="B452">
        <v>1</v>
      </c>
      <c r="C452">
        <v>0.161</v>
      </c>
    </row>
    <row r="453" spans="1:3" x14ac:dyDescent="0.3">
      <c r="A453" t="s">
        <v>4562</v>
      </c>
      <c r="B453">
        <v>1</v>
      </c>
      <c r="C453">
        <v>0.161</v>
      </c>
    </row>
    <row r="454" spans="1:3" x14ac:dyDescent="0.3">
      <c r="A454" t="s">
        <v>4563</v>
      </c>
      <c r="B454">
        <v>1</v>
      </c>
      <c r="C454">
        <v>0.161</v>
      </c>
    </row>
    <row r="455" spans="1:3" x14ac:dyDescent="0.3">
      <c r="A455" t="s">
        <v>4564</v>
      </c>
      <c r="B455">
        <v>1</v>
      </c>
      <c r="C455">
        <v>0.161</v>
      </c>
    </row>
    <row r="456" spans="1:3" x14ac:dyDescent="0.3">
      <c r="A456" t="s">
        <v>4565</v>
      </c>
      <c r="B456">
        <v>1</v>
      </c>
      <c r="C456">
        <v>0.161</v>
      </c>
    </row>
    <row r="457" spans="1:3" x14ac:dyDescent="0.3">
      <c r="A457" t="s">
        <v>4566</v>
      </c>
      <c r="B457">
        <v>1</v>
      </c>
      <c r="C457">
        <v>0.161</v>
      </c>
    </row>
    <row r="458" spans="1:3" x14ac:dyDescent="0.3">
      <c r="A458" t="s">
        <v>4567</v>
      </c>
      <c r="B458">
        <v>1</v>
      </c>
      <c r="C458">
        <v>0.161</v>
      </c>
    </row>
    <row r="459" spans="1:3" x14ac:dyDescent="0.3">
      <c r="A459" t="s">
        <v>4568</v>
      </c>
      <c r="B459">
        <v>1</v>
      </c>
      <c r="C459">
        <v>0.161</v>
      </c>
    </row>
    <row r="460" spans="1:3" x14ac:dyDescent="0.3">
      <c r="A460" t="s">
        <v>4569</v>
      </c>
      <c r="B460">
        <v>1</v>
      </c>
      <c r="C460">
        <v>0.161</v>
      </c>
    </row>
    <row r="461" spans="1:3" x14ac:dyDescent="0.3">
      <c r="A461" t="s">
        <v>4570</v>
      </c>
      <c r="B461">
        <v>1</v>
      </c>
      <c r="C461">
        <v>0.161</v>
      </c>
    </row>
    <row r="462" spans="1:3" x14ac:dyDescent="0.3">
      <c r="A462" t="s">
        <v>4571</v>
      </c>
      <c r="B462">
        <v>1</v>
      </c>
      <c r="C462">
        <v>0.161</v>
      </c>
    </row>
    <row r="463" spans="1:3" x14ac:dyDescent="0.3">
      <c r="A463" t="s">
        <v>4572</v>
      </c>
      <c r="B463">
        <v>1</v>
      </c>
      <c r="C463">
        <v>0.161</v>
      </c>
    </row>
    <row r="464" spans="1:3" x14ac:dyDescent="0.3">
      <c r="A464" t="s">
        <v>4573</v>
      </c>
      <c r="B464">
        <v>1</v>
      </c>
      <c r="C464">
        <v>0.161</v>
      </c>
    </row>
    <row r="465" spans="1:3" x14ac:dyDescent="0.3">
      <c r="A465" t="s">
        <v>4574</v>
      </c>
      <c r="B465">
        <v>1</v>
      </c>
      <c r="C465">
        <v>0.161</v>
      </c>
    </row>
    <row r="466" spans="1:3" x14ac:dyDescent="0.3">
      <c r="A466" t="s">
        <v>4575</v>
      </c>
      <c r="B466">
        <v>1</v>
      </c>
      <c r="C466">
        <v>0.161</v>
      </c>
    </row>
    <row r="467" spans="1:3" x14ac:dyDescent="0.3">
      <c r="A467" t="s">
        <v>4576</v>
      </c>
      <c r="B467">
        <v>1</v>
      </c>
      <c r="C467">
        <v>0.161</v>
      </c>
    </row>
    <row r="468" spans="1:3" x14ac:dyDescent="0.3">
      <c r="A468" t="s">
        <v>4577</v>
      </c>
      <c r="B468">
        <v>1</v>
      </c>
      <c r="C468">
        <v>0.161</v>
      </c>
    </row>
    <row r="469" spans="1:3" x14ac:dyDescent="0.3">
      <c r="A469" t="s">
        <v>4578</v>
      </c>
      <c r="B469">
        <v>1</v>
      </c>
      <c r="C469">
        <v>0.161</v>
      </c>
    </row>
    <row r="470" spans="1:3" x14ac:dyDescent="0.3">
      <c r="A470" t="s">
        <v>4579</v>
      </c>
      <c r="B470">
        <v>1</v>
      </c>
      <c r="C470">
        <v>0.161</v>
      </c>
    </row>
    <row r="471" spans="1:3" x14ac:dyDescent="0.3">
      <c r="A471" t="s">
        <v>4580</v>
      </c>
      <c r="B471">
        <v>1</v>
      </c>
      <c r="C471">
        <v>0.161</v>
      </c>
    </row>
    <row r="472" spans="1:3" x14ac:dyDescent="0.3">
      <c r="A472" t="s">
        <v>4581</v>
      </c>
      <c r="B472">
        <v>1</v>
      </c>
      <c r="C472">
        <v>0.161</v>
      </c>
    </row>
    <row r="473" spans="1:3" x14ac:dyDescent="0.3">
      <c r="A473" t="s">
        <v>4582</v>
      </c>
      <c r="B473">
        <v>1</v>
      </c>
      <c r="C473">
        <v>0.161</v>
      </c>
    </row>
    <row r="474" spans="1:3" x14ac:dyDescent="0.3">
      <c r="A474" t="s">
        <v>4583</v>
      </c>
      <c r="B474">
        <v>1</v>
      </c>
      <c r="C474">
        <v>0.161</v>
      </c>
    </row>
    <row r="475" spans="1:3" x14ac:dyDescent="0.3">
      <c r="A475" t="s">
        <v>4584</v>
      </c>
      <c r="B475">
        <v>1</v>
      </c>
      <c r="C475">
        <v>0.161</v>
      </c>
    </row>
    <row r="476" spans="1:3" x14ac:dyDescent="0.3">
      <c r="A476" t="s">
        <v>4585</v>
      </c>
      <c r="B476">
        <v>1</v>
      </c>
      <c r="C476">
        <v>0.161</v>
      </c>
    </row>
    <row r="477" spans="1:3" x14ac:dyDescent="0.3">
      <c r="A477" t="s">
        <v>4586</v>
      </c>
      <c r="B477">
        <v>1</v>
      </c>
      <c r="C477">
        <v>0.161</v>
      </c>
    </row>
    <row r="478" spans="1:3" x14ac:dyDescent="0.3">
      <c r="A478" t="s">
        <v>4587</v>
      </c>
      <c r="B478">
        <v>1</v>
      </c>
      <c r="C478">
        <v>0.161</v>
      </c>
    </row>
    <row r="479" spans="1:3" x14ac:dyDescent="0.3">
      <c r="A479" t="s">
        <v>4588</v>
      </c>
      <c r="B479">
        <v>1</v>
      </c>
      <c r="C479">
        <v>0.161</v>
      </c>
    </row>
    <row r="480" spans="1:3" x14ac:dyDescent="0.3">
      <c r="A480" t="s">
        <v>4589</v>
      </c>
      <c r="B480">
        <v>1</v>
      </c>
      <c r="C480">
        <v>0.161</v>
      </c>
    </row>
    <row r="481" spans="1:3" x14ac:dyDescent="0.3">
      <c r="A481" t="s">
        <v>4590</v>
      </c>
      <c r="B481">
        <v>1</v>
      </c>
      <c r="C481">
        <v>0.161</v>
      </c>
    </row>
    <row r="482" spans="1:3" x14ac:dyDescent="0.3">
      <c r="A482" t="s">
        <v>4591</v>
      </c>
      <c r="B482">
        <v>1</v>
      </c>
      <c r="C482">
        <v>0.161</v>
      </c>
    </row>
    <row r="483" spans="1:3" x14ac:dyDescent="0.3">
      <c r="A483" t="s">
        <v>4592</v>
      </c>
      <c r="B483">
        <v>1</v>
      </c>
      <c r="C483">
        <v>0.161</v>
      </c>
    </row>
    <row r="484" spans="1:3" x14ac:dyDescent="0.3">
      <c r="A484" t="s">
        <v>4593</v>
      </c>
      <c r="B484">
        <v>1</v>
      </c>
      <c r="C484">
        <v>0.161</v>
      </c>
    </row>
    <row r="485" spans="1:3" x14ac:dyDescent="0.3">
      <c r="A485" t="s">
        <v>4594</v>
      </c>
      <c r="B485">
        <v>1</v>
      </c>
      <c r="C485">
        <v>0.161</v>
      </c>
    </row>
    <row r="486" spans="1:3" x14ac:dyDescent="0.3">
      <c r="A486" t="s">
        <v>4595</v>
      </c>
      <c r="B486">
        <v>1</v>
      </c>
      <c r="C486">
        <v>0.161</v>
      </c>
    </row>
    <row r="487" spans="1:3" x14ac:dyDescent="0.3">
      <c r="A487" t="s">
        <v>4596</v>
      </c>
      <c r="B487">
        <v>1</v>
      </c>
      <c r="C487">
        <v>0.161</v>
      </c>
    </row>
    <row r="488" spans="1:3" x14ac:dyDescent="0.3">
      <c r="A488" t="s">
        <v>4597</v>
      </c>
      <c r="B488">
        <v>1</v>
      </c>
      <c r="C488">
        <v>0.161</v>
      </c>
    </row>
    <row r="489" spans="1:3" x14ac:dyDescent="0.3">
      <c r="A489" t="s">
        <v>4598</v>
      </c>
      <c r="B489">
        <v>1</v>
      </c>
      <c r="C489">
        <v>0.161</v>
      </c>
    </row>
    <row r="490" spans="1:3" x14ac:dyDescent="0.3">
      <c r="A490" t="s">
        <v>4599</v>
      </c>
      <c r="B490">
        <v>1</v>
      </c>
      <c r="C490">
        <v>0.161</v>
      </c>
    </row>
    <row r="491" spans="1:3" x14ac:dyDescent="0.3">
      <c r="A491" t="s">
        <v>4600</v>
      </c>
      <c r="B491">
        <v>1</v>
      </c>
      <c r="C491">
        <v>0.161</v>
      </c>
    </row>
    <row r="492" spans="1:3" x14ac:dyDescent="0.3">
      <c r="A492" t="s">
        <v>4601</v>
      </c>
      <c r="B492">
        <v>1</v>
      </c>
      <c r="C492">
        <v>0.161</v>
      </c>
    </row>
    <row r="493" spans="1:3" x14ac:dyDescent="0.3">
      <c r="A493" t="s">
        <v>4602</v>
      </c>
      <c r="B493">
        <v>1</v>
      </c>
      <c r="C493">
        <v>0.161</v>
      </c>
    </row>
    <row r="494" spans="1:3" x14ac:dyDescent="0.3">
      <c r="A494" t="s">
        <v>4603</v>
      </c>
      <c r="B494">
        <v>1</v>
      </c>
      <c r="C494">
        <v>0.161</v>
      </c>
    </row>
    <row r="495" spans="1:3" x14ac:dyDescent="0.3">
      <c r="A495" t="s">
        <v>4604</v>
      </c>
      <c r="B495">
        <v>1</v>
      </c>
      <c r="C495">
        <v>0.161</v>
      </c>
    </row>
    <row r="496" spans="1:3" x14ac:dyDescent="0.3">
      <c r="A496" t="s">
        <v>4605</v>
      </c>
      <c r="B496">
        <v>1</v>
      </c>
      <c r="C496">
        <v>0.161</v>
      </c>
    </row>
    <row r="497" spans="1:3" x14ac:dyDescent="0.3">
      <c r="A497" t="s">
        <v>4606</v>
      </c>
      <c r="B497">
        <v>1</v>
      </c>
      <c r="C497">
        <v>0.161</v>
      </c>
    </row>
    <row r="498" spans="1:3" x14ac:dyDescent="0.3">
      <c r="A498" t="s">
        <v>4607</v>
      </c>
      <c r="B498">
        <v>1</v>
      </c>
      <c r="C498">
        <v>0.161</v>
      </c>
    </row>
    <row r="499" spans="1:3" x14ac:dyDescent="0.3">
      <c r="A499" t="s">
        <v>4608</v>
      </c>
      <c r="B499">
        <v>1</v>
      </c>
      <c r="C499">
        <v>0.161</v>
      </c>
    </row>
    <row r="500" spans="1:3" x14ac:dyDescent="0.3">
      <c r="A500" t="s">
        <v>4609</v>
      </c>
      <c r="B500">
        <v>1</v>
      </c>
      <c r="C500">
        <v>0.161</v>
      </c>
    </row>
    <row r="501" spans="1:3" x14ac:dyDescent="0.3">
      <c r="A501" t="s">
        <v>4610</v>
      </c>
      <c r="B501">
        <v>1</v>
      </c>
      <c r="C501">
        <v>0.161</v>
      </c>
    </row>
    <row r="502" spans="1:3" x14ac:dyDescent="0.3">
      <c r="A502" t="s">
        <v>4611</v>
      </c>
      <c r="B502">
        <v>1</v>
      </c>
      <c r="C502">
        <v>0.161</v>
      </c>
    </row>
    <row r="503" spans="1:3" x14ac:dyDescent="0.3">
      <c r="A503" t="s">
        <v>4612</v>
      </c>
      <c r="B503">
        <v>1</v>
      </c>
      <c r="C503">
        <v>0.161</v>
      </c>
    </row>
    <row r="504" spans="1:3" x14ac:dyDescent="0.3">
      <c r="A504" t="s">
        <v>4613</v>
      </c>
      <c r="B504">
        <v>1</v>
      </c>
      <c r="C504">
        <v>0.161</v>
      </c>
    </row>
    <row r="505" spans="1:3" x14ac:dyDescent="0.3">
      <c r="A505" t="s">
        <v>4614</v>
      </c>
      <c r="B505">
        <v>1</v>
      </c>
      <c r="C505">
        <v>0.161</v>
      </c>
    </row>
    <row r="506" spans="1:3" x14ac:dyDescent="0.3">
      <c r="A506" t="s">
        <v>4615</v>
      </c>
      <c r="B506">
        <v>1</v>
      </c>
      <c r="C506">
        <v>0.161</v>
      </c>
    </row>
    <row r="507" spans="1:3" x14ac:dyDescent="0.3">
      <c r="A507" t="s">
        <v>4616</v>
      </c>
      <c r="B507">
        <v>1</v>
      </c>
      <c r="C507">
        <v>0.161</v>
      </c>
    </row>
    <row r="508" spans="1:3" x14ac:dyDescent="0.3">
      <c r="A508" t="s">
        <v>4617</v>
      </c>
      <c r="B508">
        <v>1</v>
      </c>
      <c r="C508">
        <v>0.161</v>
      </c>
    </row>
    <row r="509" spans="1:3" x14ac:dyDescent="0.3">
      <c r="A509" t="s">
        <v>4618</v>
      </c>
      <c r="B509">
        <v>1</v>
      </c>
      <c r="C509">
        <v>0.161</v>
      </c>
    </row>
    <row r="510" spans="1:3" x14ac:dyDescent="0.3">
      <c r="A510" t="s">
        <v>4619</v>
      </c>
      <c r="B510">
        <v>1</v>
      </c>
      <c r="C510">
        <v>0.161</v>
      </c>
    </row>
    <row r="511" spans="1:3" x14ac:dyDescent="0.3">
      <c r="A511" t="s">
        <v>4620</v>
      </c>
      <c r="B511">
        <v>1</v>
      </c>
      <c r="C511">
        <v>0.161</v>
      </c>
    </row>
    <row r="512" spans="1:3" x14ac:dyDescent="0.3">
      <c r="A512" t="s">
        <v>4621</v>
      </c>
      <c r="B512">
        <v>1</v>
      </c>
      <c r="C512">
        <v>0.161</v>
      </c>
    </row>
    <row r="513" spans="1:3" x14ac:dyDescent="0.3">
      <c r="A513" t="s">
        <v>4622</v>
      </c>
      <c r="B513">
        <v>1</v>
      </c>
      <c r="C513">
        <v>0.161</v>
      </c>
    </row>
    <row r="514" spans="1:3" x14ac:dyDescent="0.3">
      <c r="A514" t="s">
        <v>4623</v>
      </c>
      <c r="B514">
        <v>1</v>
      </c>
      <c r="C514">
        <v>0.161</v>
      </c>
    </row>
    <row r="515" spans="1:3" x14ac:dyDescent="0.3">
      <c r="A515" t="s">
        <v>4624</v>
      </c>
      <c r="B515">
        <v>1</v>
      </c>
      <c r="C515">
        <v>0.161</v>
      </c>
    </row>
    <row r="516" spans="1:3" x14ac:dyDescent="0.3">
      <c r="A516" t="s">
        <v>4625</v>
      </c>
      <c r="B516">
        <v>1</v>
      </c>
      <c r="C516">
        <v>0.161</v>
      </c>
    </row>
    <row r="517" spans="1:3" x14ac:dyDescent="0.3">
      <c r="A517" t="s">
        <v>4626</v>
      </c>
      <c r="B517">
        <v>1</v>
      </c>
      <c r="C517">
        <v>0.161</v>
      </c>
    </row>
    <row r="518" spans="1:3" x14ac:dyDescent="0.3">
      <c r="A518" t="s">
        <v>4627</v>
      </c>
      <c r="B518">
        <v>1</v>
      </c>
      <c r="C518">
        <v>0.161</v>
      </c>
    </row>
    <row r="519" spans="1:3" x14ac:dyDescent="0.3">
      <c r="A519" t="s">
        <v>4628</v>
      </c>
      <c r="B519">
        <v>1</v>
      </c>
      <c r="C519">
        <v>0.161</v>
      </c>
    </row>
    <row r="520" spans="1:3" x14ac:dyDescent="0.3">
      <c r="A520" t="s">
        <v>4629</v>
      </c>
      <c r="B520">
        <v>1</v>
      </c>
      <c r="C520">
        <v>0.161</v>
      </c>
    </row>
    <row r="521" spans="1:3" x14ac:dyDescent="0.3">
      <c r="A521" t="s">
        <v>4630</v>
      </c>
      <c r="B521">
        <v>1</v>
      </c>
      <c r="C521">
        <v>0.161</v>
      </c>
    </row>
    <row r="522" spans="1:3" x14ac:dyDescent="0.3">
      <c r="A522" t="s">
        <v>4631</v>
      </c>
      <c r="B522">
        <v>1</v>
      </c>
      <c r="C522">
        <v>0.161</v>
      </c>
    </row>
    <row r="523" spans="1:3" x14ac:dyDescent="0.3">
      <c r="A523" t="s">
        <v>4632</v>
      </c>
      <c r="B523">
        <v>1</v>
      </c>
      <c r="C523">
        <v>0.161</v>
      </c>
    </row>
    <row r="524" spans="1:3" x14ac:dyDescent="0.3">
      <c r="A524" t="s">
        <v>4633</v>
      </c>
      <c r="B524">
        <v>1</v>
      </c>
      <c r="C524">
        <v>0.161</v>
      </c>
    </row>
    <row r="525" spans="1:3" x14ac:dyDescent="0.3">
      <c r="A525" t="s">
        <v>4634</v>
      </c>
      <c r="B525">
        <v>1</v>
      </c>
      <c r="C525">
        <v>0.161</v>
      </c>
    </row>
    <row r="526" spans="1:3" x14ac:dyDescent="0.3">
      <c r="A526" t="s">
        <v>4635</v>
      </c>
      <c r="B526">
        <v>1</v>
      </c>
      <c r="C526">
        <v>0.161</v>
      </c>
    </row>
    <row r="527" spans="1:3" x14ac:dyDescent="0.3">
      <c r="A527" t="s">
        <v>4636</v>
      </c>
      <c r="B527">
        <v>1</v>
      </c>
      <c r="C527">
        <v>0.161</v>
      </c>
    </row>
    <row r="528" spans="1:3" x14ac:dyDescent="0.3">
      <c r="A528" t="s">
        <v>4637</v>
      </c>
      <c r="B528">
        <v>1</v>
      </c>
      <c r="C528">
        <v>0.161</v>
      </c>
    </row>
    <row r="529" spans="1:3" x14ac:dyDescent="0.3">
      <c r="A529" t="s">
        <v>4638</v>
      </c>
      <c r="B529">
        <v>1</v>
      </c>
      <c r="C529">
        <v>0.161</v>
      </c>
    </row>
    <row r="530" spans="1:3" x14ac:dyDescent="0.3">
      <c r="A530" t="s">
        <v>4639</v>
      </c>
      <c r="B530">
        <v>1</v>
      </c>
      <c r="C530">
        <v>0.161</v>
      </c>
    </row>
    <row r="531" spans="1:3" x14ac:dyDescent="0.3">
      <c r="A531" t="s">
        <v>4640</v>
      </c>
      <c r="B531">
        <v>1</v>
      </c>
      <c r="C531">
        <v>0.161</v>
      </c>
    </row>
    <row r="532" spans="1:3" x14ac:dyDescent="0.3">
      <c r="A532" t="s">
        <v>4641</v>
      </c>
      <c r="B532">
        <v>1</v>
      </c>
      <c r="C532">
        <v>0.161</v>
      </c>
    </row>
    <row r="533" spans="1:3" x14ac:dyDescent="0.3">
      <c r="A533" t="s">
        <v>4642</v>
      </c>
      <c r="B533">
        <v>1</v>
      </c>
      <c r="C533">
        <v>0.161</v>
      </c>
    </row>
    <row r="534" spans="1:3" x14ac:dyDescent="0.3">
      <c r="A534" t="s">
        <v>4643</v>
      </c>
      <c r="B534">
        <v>1</v>
      </c>
      <c r="C534">
        <v>0.161</v>
      </c>
    </row>
    <row r="535" spans="1:3" x14ac:dyDescent="0.3">
      <c r="A535" t="s">
        <v>4644</v>
      </c>
      <c r="B535">
        <v>1</v>
      </c>
      <c r="C535">
        <v>0.161</v>
      </c>
    </row>
    <row r="536" spans="1:3" x14ac:dyDescent="0.3">
      <c r="A536" t="s">
        <v>4645</v>
      </c>
      <c r="B536">
        <v>1</v>
      </c>
      <c r="C536">
        <v>0.161</v>
      </c>
    </row>
    <row r="537" spans="1:3" x14ac:dyDescent="0.3">
      <c r="A537" t="s">
        <v>4646</v>
      </c>
      <c r="B537">
        <v>1</v>
      </c>
      <c r="C537">
        <v>0.161</v>
      </c>
    </row>
    <row r="538" spans="1:3" x14ac:dyDescent="0.3">
      <c r="A538" t="s">
        <v>4647</v>
      </c>
      <c r="B538">
        <v>1</v>
      </c>
      <c r="C538">
        <v>0.161</v>
      </c>
    </row>
    <row r="539" spans="1:3" x14ac:dyDescent="0.3">
      <c r="A539" t="s">
        <v>4648</v>
      </c>
      <c r="B539">
        <v>1</v>
      </c>
      <c r="C539">
        <v>0.161</v>
      </c>
    </row>
    <row r="540" spans="1:3" x14ac:dyDescent="0.3">
      <c r="A540" t="s">
        <v>4649</v>
      </c>
      <c r="B540">
        <v>1</v>
      </c>
      <c r="C540">
        <v>0.161</v>
      </c>
    </row>
    <row r="541" spans="1:3" x14ac:dyDescent="0.3">
      <c r="A541" t="s">
        <v>4650</v>
      </c>
      <c r="B541">
        <v>1</v>
      </c>
      <c r="C541">
        <v>0.161</v>
      </c>
    </row>
    <row r="542" spans="1:3" x14ac:dyDescent="0.3">
      <c r="A542" t="s">
        <v>4651</v>
      </c>
      <c r="B542">
        <v>1</v>
      </c>
      <c r="C542">
        <v>0.161</v>
      </c>
    </row>
    <row r="543" spans="1:3" x14ac:dyDescent="0.3">
      <c r="A543" t="s">
        <v>4652</v>
      </c>
      <c r="B543">
        <v>1</v>
      </c>
      <c r="C543">
        <v>0.161</v>
      </c>
    </row>
    <row r="544" spans="1:3" x14ac:dyDescent="0.3">
      <c r="A544" t="s">
        <v>4653</v>
      </c>
      <c r="B544">
        <v>1</v>
      </c>
      <c r="C544">
        <v>0.161</v>
      </c>
    </row>
    <row r="545" spans="1:3" x14ac:dyDescent="0.3">
      <c r="A545" t="s">
        <v>4654</v>
      </c>
      <c r="B545">
        <v>1</v>
      </c>
      <c r="C545">
        <v>0.161</v>
      </c>
    </row>
    <row r="546" spans="1:3" x14ac:dyDescent="0.3">
      <c r="A546" t="s">
        <v>4655</v>
      </c>
      <c r="B546">
        <v>1</v>
      </c>
      <c r="C546">
        <v>0.161</v>
      </c>
    </row>
    <row r="547" spans="1:3" x14ac:dyDescent="0.3">
      <c r="A547" t="s">
        <v>4656</v>
      </c>
      <c r="B547">
        <v>1</v>
      </c>
      <c r="C547">
        <v>0.161</v>
      </c>
    </row>
    <row r="548" spans="1:3" x14ac:dyDescent="0.3">
      <c r="A548" t="s">
        <v>4657</v>
      </c>
      <c r="B548">
        <v>1</v>
      </c>
      <c r="C548">
        <v>0.161</v>
      </c>
    </row>
    <row r="549" spans="1:3" x14ac:dyDescent="0.3">
      <c r="A549" t="s">
        <v>4658</v>
      </c>
      <c r="B549">
        <v>1</v>
      </c>
      <c r="C549">
        <v>0.161</v>
      </c>
    </row>
    <row r="550" spans="1:3" x14ac:dyDescent="0.3">
      <c r="A550" t="s">
        <v>4659</v>
      </c>
      <c r="B550">
        <v>1</v>
      </c>
      <c r="C550">
        <v>0.161</v>
      </c>
    </row>
    <row r="551" spans="1:3" x14ac:dyDescent="0.3">
      <c r="A551" t="s">
        <v>4660</v>
      </c>
      <c r="B551">
        <v>1</v>
      </c>
      <c r="C551">
        <v>0.161</v>
      </c>
    </row>
    <row r="552" spans="1:3" x14ac:dyDescent="0.3">
      <c r="A552" t="s">
        <v>4661</v>
      </c>
      <c r="B552">
        <v>1</v>
      </c>
      <c r="C552">
        <v>0.161</v>
      </c>
    </row>
    <row r="553" spans="1:3" x14ac:dyDescent="0.3">
      <c r="A553" t="s">
        <v>4662</v>
      </c>
      <c r="B553">
        <v>1</v>
      </c>
      <c r="C553">
        <v>0.161</v>
      </c>
    </row>
    <row r="554" spans="1:3" x14ac:dyDescent="0.3">
      <c r="A554" t="s">
        <v>4663</v>
      </c>
      <c r="B554">
        <v>1</v>
      </c>
      <c r="C554">
        <v>0.161</v>
      </c>
    </row>
    <row r="555" spans="1:3" x14ac:dyDescent="0.3">
      <c r="A555" t="s">
        <v>4664</v>
      </c>
      <c r="B555">
        <v>1</v>
      </c>
      <c r="C555">
        <v>0.161</v>
      </c>
    </row>
    <row r="556" spans="1:3" x14ac:dyDescent="0.3">
      <c r="A556" t="s">
        <v>4665</v>
      </c>
      <c r="B556">
        <v>1</v>
      </c>
      <c r="C556">
        <v>0.161</v>
      </c>
    </row>
    <row r="557" spans="1:3" x14ac:dyDescent="0.3">
      <c r="A557" t="s">
        <v>4666</v>
      </c>
      <c r="B557">
        <v>1</v>
      </c>
      <c r="C557">
        <v>0.161</v>
      </c>
    </row>
    <row r="558" spans="1:3" x14ac:dyDescent="0.3">
      <c r="A558" t="s">
        <v>4667</v>
      </c>
      <c r="B558">
        <v>1</v>
      </c>
      <c r="C558">
        <v>0.161</v>
      </c>
    </row>
    <row r="559" spans="1:3" x14ac:dyDescent="0.3">
      <c r="A559" t="s">
        <v>4668</v>
      </c>
      <c r="B559">
        <v>1</v>
      </c>
      <c r="C559">
        <v>0.161</v>
      </c>
    </row>
    <row r="560" spans="1:3" x14ac:dyDescent="0.3">
      <c r="A560" t="s">
        <v>4669</v>
      </c>
      <c r="B560">
        <v>1</v>
      </c>
      <c r="C560">
        <v>0.161</v>
      </c>
    </row>
    <row r="561" spans="1:3" x14ac:dyDescent="0.3">
      <c r="A561" t="s">
        <v>4670</v>
      </c>
      <c r="B561">
        <v>1</v>
      </c>
      <c r="C561">
        <v>0.161</v>
      </c>
    </row>
    <row r="562" spans="1:3" x14ac:dyDescent="0.3">
      <c r="A562" t="s">
        <v>4671</v>
      </c>
      <c r="B562">
        <v>1</v>
      </c>
      <c r="C562">
        <v>0.161</v>
      </c>
    </row>
    <row r="563" spans="1:3" x14ac:dyDescent="0.3">
      <c r="A563" t="s">
        <v>4672</v>
      </c>
      <c r="B563">
        <v>1</v>
      </c>
      <c r="C563">
        <v>0.161</v>
      </c>
    </row>
    <row r="564" spans="1:3" x14ac:dyDescent="0.3">
      <c r="A564" t="s">
        <v>4673</v>
      </c>
      <c r="B564">
        <v>1</v>
      </c>
      <c r="C564">
        <v>0.161</v>
      </c>
    </row>
    <row r="565" spans="1:3" x14ac:dyDescent="0.3">
      <c r="A565" t="s">
        <v>4674</v>
      </c>
      <c r="B565">
        <v>1</v>
      </c>
      <c r="C565">
        <v>0.161</v>
      </c>
    </row>
    <row r="566" spans="1:3" x14ac:dyDescent="0.3">
      <c r="A566" t="s">
        <v>4675</v>
      </c>
      <c r="B566">
        <v>1</v>
      </c>
      <c r="C566">
        <v>0.161</v>
      </c>
    </row>
    <row r="567" spans="1:3" x14ac:dyDescent="0.3">
      <c r="A567" t="s">
        <v>4676</v>
      </c>
      <c r="B567">
        <v>1</v>
      </c>
      <c r="C567">
        <v>0.161</v>
      </c>
    </row>
    <row r="568" spans="1:3" x14ac:dyDescent="0.3">
      <c r="A568" t="s">
        <v>4677</v>
      </c>
      <c r="B568">
        <v>1</v>
      </c>
      <c r="C568">
        <v>0.161</v>
      </c>
    </row>
    <row r="569" spans="1:3" x14ac:dyDescent="0.3">
      <c r="A569" t="s">
        <v>4678</v>
      </c>
      <c r="B569">
        <v>1</v>
      </c>
      <c r="C569">
        <v>0.161</v>
      </c>
    </row>
    <row r="570" spans="1:3" x14ac:dyDescent="0.3">
      <c r="A570" t="s">
        <v>4679</v>
      </c>
      <c r="B570">
        <v>1</v>
      </c>
      <c r="C570">
        <v>0.161</v>
      </c>
    </row>
    <row r="571" spans="1:3" x14ac:dyDescent="0.3">
      <c r="A571" t="s">
        <v>4680</v>
      </c>
      <c r="B571">
        <v>1</v>
      </c>
      <c r="C571">
        <v>0.161</v>
      </c>
    </row>
    <row r="572" spans="1:3" x14ac:dyDescent="0.3">
      <c r="A572" t="s">
        <v>4681</v>
      </c>
      <c r="B572">
        <v>1</v>
      </c>
      <c r="C572">
        <v>0.161</v>
      </c>
    </row>
    <row r="573" spans="1:3" x14ac:dyDescent="0.3">
      <c r="A573" t="s">
        <v>4682</v>
      </c>
      <c r="B573">
        <v>1</v>
      </c>
      <c r="C573">
        <v>0.161</v>
      </c>
    </row>
    <row r="574" spans="1:3" x14ac:dyDescent="0.3">
      <c r="A574" t="s">
        <v>4683</v>
      </c>
      <c r="B574">
        <v>1</v>
      </c>
      <c r="C574">
        <v>0.161</v>
      </c>
    </row>
    <row r="575" spans="1:3" x14ac:dyDescent="0.3">
      <c r="A575" t="s">
        <v>4684</v>
      </c>
      <c r="B575">
        <v>1</v>
      </c>
      <c r="C575">
        <v>0.161</v>
      </c>
    </row>
    <row r="576" spans="1:3" x14ac:dyDescent="0.3">
      <c r="A576" t="s">
        <v>4685</v>
      </c>
      <c r="B576">
        <v>1</v>
      </c>
      <c r="C576">
        <v>0.161</v>
      </c>
    </row>
    <row r="577" spans="1:3" x14ac:dyDescent="0.3">
      <c r="A577" t="s">
        <v>4686</v>
      </c>
      <c r="B577">
        <v>1</v>
      </c>
      <c r="C577">
        <v>0.161</v>
      </c>
    </row>
    <row r="578" spans="1:3" x14ac:dyDescent="0.3">
      <c r="A578" t="s">
        <v>4687</v>
      </c>
      <c r="B578">
        <v>1</v>
      </c>
      <c r="C578">
        <v>0.161</v>
      </c>
    </row>
    <row r="579" spans="1:3" x14ac:dyDescent="0.3">
      <c r="A579" t="s">
        <v>4688</v>
      </c>
      <c r="B579">
        <v>1</v>
      </c>
      <c r="C579">
        <v>0.161</v>
      </c>
    </row>
    <row r="580" spans="1:3" x14ac:dyDescent="0.3">
      <c r="A580" t="s">
        <v>4689</v>
      </c>
      <c r="B580">
        <v>1</v>
      </c>
      <c r="C580">
        <v>0.161</v>
      </c>
    </row>
    <row r="581" spans="1:3" x14ac:dyDescent="0.3">
      <c r="A581" t="s">
        <v>4690</v>
      </c>
      <c r="B581">
        <v>1</v>
      </c>
      <c r="C581">
        <v>0.161</v>
      </c>
    </row>
    <row r="582" spans="1:3" x14ac:dyDescent="0.3">
      <c r="A582" t="s">
        <v>4691</v>
      </c>
      <c r="B582">
        <v>1</v>
      </c>
      <c r="C582">
        <v>0.161</v>
      </c>
    </row>
    <row r="583" spans="1:3" x14ac:dyDescent="0.3">
      <c r="A583" t="s">
        <v>4692</v>
      </c>
      <c r="B583">
        <v>1</v>
      </c>
      <c r="C583">
        <v>0.161</v>
      </c>
    </row>
    <row r="584" spans="1:3" x14ac:dyDescent="0.3">
      <c r="A584" t="s">
        <v>4693</v>
      </c>
      <c r="B584">
        <v>1</v>
      </c>
      <c r="C584">
        <v>0.161</v>
      </c>
    </row>
    <row r="585" spans="1:3" x14ac:dyDescent="0.3">
      <c r="A585" t="s">
        <v>4694</v>
      </c>
      <c r="B585">
        <v>1</v>
      </c>
      <c r="C585">
        <v>0.161</v>
      </c>
    </row>
    <row r="586" spans="1:3" x14ac:dyDescent="0.3">
      <c r="A586" t="s">
        <v>4695</v>
      </c>
      <c r="B586">
        <v>1</v>
      </c>
      <c r="C586">
        <v>0.161</v>
      </c>
    </row>
    <row r="587" spans="1:3" x14ac:dyDescent="0.3">
      <c r="A587" t="s">
        <v>4696</v>
      </c>
      <c r="B587">
        <v>1</v>
      </c>
      <c r="C587">
        <v>0.161</v>
      </c>
    </row>
    <row r="588" spans="1:3" x14ac:dyDescent="0.3">
      <c r="A588" t="s">
        <v>4697</v>
      </c>
      <c r="B588">
        <v>1</v>
      </c>
      <c r="C588">
        <v>0.161</v>
      </c>
    </row>
    <row r="589" spans="1:3" x14ac:dyDescent="0.3">
      <c r="A589" t="s">
        <v>4698</v>
      </c>
      <c r="B589">
        <v>1</v>
      </c>
      <c r="C589">
        <v>0.161</v>
      </c>
    </row>
    <row r="590" spans="1:3" x14ac:dyDescent="0.3">
      <c r="A590" t="s">
        <v>4699</v>
      </c>
      <c r="B590">
        <v>1</v>
      </c>
      <c r="C590">
        <v>0.161</v>
      </c>
    </row>
    <row r="591" spans="1:3" x14ac:dyDescent="0.3">
      <c r="A591" t="s">
        <v>4700</v>
      </c>
      <c r="B591">
        <v>1</v>
      </c>
      <c r="C591">
        <v>0.161</v>
      </c>
    </row>
    <row r="592" spans="1:3" x14ac:dyDescent="0.3">
      <c r="A592" t="s">
        <v>4701</v>
      </c>
      <c r="B592">
        <v>1</v>
      </c>
      <c r="C592">
        <v>0.161</v>
      </c>
    </row>
    <row r="593" spans="1:3" x14ac:dyDescent="0.3">
      <c r="A593" t="s">
        <v>4702</v>
      </c>
      <c r="B593">
        <v>1</v>
      </c>
      <c r="C593">
        <v>0.161</v>
      </c>
    </row>
    <row r="594" spans="1:3" x14ac:dyDescent="0.3">
      <c r="A594" t="s">
        <v>4703</v>
      </c>
      <c r="B594">
        <v>1</v>
      </c>
      <c r="C594">
        <v>0.161</v>
      </c>
    </row>
    <row r="595" spans="1:3" x14ac:dyDescent="0.3">
      <c r="A595" t="s">
        <v>4704</v>
      </c>
      <c r="B595">
        <v>1</v>
      </c>
      <c r="C595">
        <v>0.161</v>
      </c>
    </row>
    <row r="596" spans="1:3" x14ac:dyDescent="0.3">
      <c r="A596" t="s">
        <v>4705</v>
      </c>
      <c r="B596">
        <v>1</v>
      </c>
      <c r="C596">
        <v>0.161</v>
      </c>
    </row>
    <row r="597" spans="1:3" x14ac:dyDescent="0.3">
      <c r="A597" t="s">
        <v>4706</v>
      </c>
      <c r="B597">
        <v>1</v>
      </c>
      <c r="C597">
        <v>0.161</v>
      </c>
    </row>
    <row r="598" spans="1:3" x14ac:dyDescent="0.3">
      <c r="A598" t="s">
        <v>4707</v>
      </c>
      <c r="B598">
        <v>1</v>
      </c>
      <c r="C598">
        <v>0.161</v>
      </c>
    </row>
    <row r="599" spans="1:3" x14ac:dyDescent="0.3">
      <c r="A599" t="s">
        <v>4708</v>
      </c>
      <c r="B599">
        <v>1</v>
      </c>
      <c r="C599">
        <v>0.161</v>
      </c>
    </row>
    <row r="600" spans="1:3" x14ac:dyDescent="0.3">
      <c r="A600" t="s">
        <v>4709</v>
      </c>
      <c r="B600">
        <v>1</v>
      </c>
      <c r="C600">
        <v>0.161</v>
      </c>
    </row>
    <row r="601" spans="1:3" x14ac:dyDescent="0.3">
      <c r="A601" t="s">
        <v>4710</v>
      </c>
      <c r="B601">
        <v>1</v>
      </c>
      <c r="C601">
        <v>0.161</v>
      </c>
    </row>
    <row r="602" spans="1:3" x14ac:dyDescent="0.3">
      <c r="A602" t="s">
        <v>4711</v>
      </c>
      <c r="B602">
        <v>1</v>
      </c>
      <c r="C602">
        <v>0.161</v>
      </c>
    </row>
    <row r="603" spans="1:3" x14ac:dyDescent="0.3">
      <c r="A603" t="s">
        <v>4712</v>
      </c>
      <c r="B603">
        <v>1</v>
      </c>
      <c r="C603">
        <v>0.161</v>
      </c>
    </row>
    <row r="604" spans="1:3" x14ac:dyDescent="0.3">
      <c r="A604" t="s">
        <v>4713</v>
      </c>
      <c r="B604">
        <v>1</v>
      </c>
      <c r="C604">
        <v>0.161</v>
      </c>
    </row>
    <row r="605" spans="1:3" x14ac:dyDescent="0.3">
      <c r="A605" t="s">
        <v>4714</v>
      </c>
      <c r="B605">
        <v>1</v>
      </c>
      <c r="C605">
        <v>0.161</v>
      </c>
    </row>
    <row r="606" spans="1:3" x14ac:dyDescent="0.3">
      <c r="A606" t="s">
        <v>4715</v>
      </c>
      <c r="B606">
        <v>1</v>
      </c>
      <c r="C606">
        <v>0.161</v>
      </c>
    </row>
    <row r="607" spans="1:3" x14ac:dyDescent="0.3">
      <c r="A607" t="s">
        <v>4716</v>
      </c>
      <c r="B607">
        <v>1</v>
      </c>
      <c r="C607">
        <v>0.161</v>
      </c>
    </row>
    <row r="608" spans="1:3" x14ac:dyDescent="0.3">
      <c r="A608" t="s">
        <v>4717</v>
      </c>
      <c r="B608">
        <v>1</v>
      </c>
      <c r="C608">
        <v>0.161</v>
      </c>
    </row>
    <row r="609" spans="1:3" x14ac:dyDescent="0.3">
      <c r="A609" t="s">
        <v>4718</v>
      </c>
      <c r="B609">
        <v>1</v>
      </c>
      <c r="C609">
        <v>0.161</v>
      </c>
    </row>
    <row r="610" spans="1:3" x14ac:dyDescent="0.3">
      <c r="A610" t="s">
        <v>4719</v>
      </c>
      <c r="B610">
        <v>1</v>
      </c>
      <c r="C610">
        <v>0.161</v>
      </c>
    </row>
    <row r="611" spans="1:3" x14ac:dyDescent="0.3">
      <c r="A611" t="s">
        <v>4720</v>
      </c>
      <c r="B611">
        <v>1</v>
      </c>
      <c r="C611">
        <v>0.161</v>
      </c>
    </row>
    <row r="612" spans="1:3" x14ac:dyDescent="0.3">
      <c r="A612" t="s">
        <v>4721</v>
      </c>
      <c r="B612">
        <v>1</v>
      </c>
      <c r="C612">
        <v>0.161</v>
      </c>
    </row>
    <row r="613" spans="1:3" x14ac:dyDescent="0.3">
      <c r="A613" t="s">
        <v>4722</v>
      </c>
      <c r="B613">
        <v>1</v>
      </c>
      <c r="C613">
        <v>0.161</v>
      </c>
    </row>
    <row r="614" spans="1:3" x14ac:dyDescent="0.3">
      <c r="A614" t="s">
        <v>4723</v>
      </c>
      <c r="B614">
        <v>1</v>
      </c>
      <c r="C614">
        <v>0.161</v>
      </c>
    </row>
    <row r="615" spans="1:3" x14ac:dyDescent="0.3">
      <c r="A615" t="s">
        <v>4724</v>
      </c>
      <c r="B615">
        <v>1</v>
      </c>
      <c r="C615">
        <v>0.161</v>
      </c>
    </row>
    <row r="616" spans="1:3" x14ac:dyDescent="0.3">
      <c r="A616" t="s">
        <v>4725</v>
      </c>
      <c r="B616">
        <v>1</v>
      </c>
      <c r="C616">
        <v>0.161</v>
      </c>
    </row>
    <row r="617" spans="1:3" x14ac:dyDescent="0.3">
      <c r="A617" t="s">
        <v>4726</v>
      </c>
      <c r="B617">
        <v>1</v>
      </c>
      <c r="C617">
        <v>0.161</v>
      </c>
    </row>
    <row r="618" spans="1:3" x14ac:dyDescent="0.3">
      <c r="A618" t="s">
        <v>4727</v>
      </c>
      <c r="B618">
        <v>1</v>
      </c>
      <c r="C618">
        <v>0.161</v>
      </c>
    </row>
    <row r="619" spans="1:3" x14ac:dyDescent="0.3">
      <c r="A619" t="s">
        <v>4728</v>
      </c>
      <c r="B619">
        <v>1</v>
      </c>
      <c r="C619">
        <v>0.161</v>
      </c>
    </row>
    <row r="620" spans="1:3" x14ac:dyDescent="0.3">
      <c r="A620" t="s">
        <v>4729</v>
      </c>
      <c r="B620">
        <v>1</v>
      </c>
      <c r="C620">
        <v>0.161</v>
      </c>
    </row>
    <row r="621" spans="1:3" x14ac:dyDescent="0.3">
      <c r="A621" t="s">
        <v>4730</v>
      </c>
      <c r="B621">
        <v>1</v>
      </c>
      <c r="C621">
        <v>0.161</v>
      </c>
    </row>
    <row r="622" spans="1:3" x14ac:dyDescent="0.3">
      <c r="A622" t="s">
        <v>4731</v>
      </c>
      <c r="B622">
        <v>1</v>
      </c>
      <c r="C622">
        <v>0.161</v>
      </c>
    </row>
    <row r="623" spans="1:3" x14ac:dyDescent="0.3">
      <c r="A623" t="s">
        <v>4732</v>
      </c>
      <c r="B623">
        <v>1</v>
      </c>
      <c r="C623">
        <v>0.161</v>
      </c>
    </row>
    <row r="624" spans="1:3" x14ac:dyDescent="0.3">
      <c r="A624" t="s">
        <v>4733</v>
      </c>
      <c r="B624">
        <v>1</v>
      </c>
      <c r="C624">
        <v>0.161</v>
      </c>
    </row>
    <row r="625" spans="1:3" x14ac:dyDescent="0.3">
      <c r="A625" t="s">
        <v>4734</v>
      </c>
      <c r="B625">
        <v>1</v>
      </c>
      <c r="C625">
        <v>0.161</v>
      </c>
    </row>
    <row r="626" spans="1:3" x14ac:dyDescent="0.3">
      <c r="A626" t="s">
        <v>4735</v>
      </c>
      <c r="B626">
        <v>1</v>
      </c>
      <c r="C626">
        <v>0.161</v>
      </c>
    </row>
    <row r="627" spans="1:3" x14ac:dyDescent="0.3">
      <c r="A627" t="s">
        <v>4736</v>
      </c>
      <c r="B627">
        <v>1</v>
      </c>
      <c r="C627">
        <v>0.161</v>
      </c>
    </row>
    <row r="628" spans="1:3" x14ac:dyDescent="0.3">
      <c r="A628" t="s">
        <v>4737</v>
      </c>
      <c r="B628">
        <v>1</v>
      </c>
      <c r="C628">
        <v>0.161</v>
      </c>
    </row>
    <row r="629" spans="1:3" x14ac:dyDescent="0.3">
      <c r="A629" t="s">
        <v>4738</v>
      </c>
      <c r="B629">
        <v>1</v>
      </c>
      <c r="C629">
        <v>0.161</v>
      </c>
    </row>
    <row r="630" spans="1:3" x14ac:dyDescent="0.3">
      <c r="A630" t="s">
        <v>4739</v>
      </c>
      <c r="B630">
        <v>1</v>
      </c>
      <c r="C630">
        <v>0.161</v>
      </c>
    </row>
    <row r="631" spans="1:3" x14ac:dyDescent="0.3">
      <c r="A631" t="s">
        <v>4740</v>
      </c>
      <c r="B631">
        <v>1</v>
      </c>
      <c r="C631">
        <v>0.161</v>
      </c>
    </row>
    <row r="632" spans="1:3" x14ac:dyDescent="0.3">
      <c r="A632" t="s">
        <v>4741</v>
      </c>
      <c r="B632">
        <v>1</v>
      </c>
      <c r="C632">
        <v>0.161</v>
      </c>
    </row>
    <row r="633" spans="1:3" x14ac:dyDescent="0.3">
      <c r="A633" t="s">
        <v>4742</v>
      </c>
      <c r="B633">
        <v>1</v>
      </c>
      <c r="C633">
        <v>0.161</v>
      </c>
    </row>
    <row r="634" spans="1:3" x14ac:dyDescent="0.3">
      <c r="A634" t="s">
        <v>4743</v>
      </c>
      <c r="B634">
        <v>1</v>
      </c>
      <c r="C634">
        <v>0.161</v>
      </c>
    </row>
    <row r="635" spans="1:3" x14ac:dyDescent="0.3">
      <c r="A635" t="s">
        <v>4744</v>
      </c>
      <c r="B635">
        <v>1</v>
      </c>
      <c r="C635">
        <v>0.161</v>
      </c>
    </row>
    <row r="636" spans="1:3" x14ac:dyDescent="0.3">
      <c r="A636" t="s">
        <v>4745</v>
      </c>
      <c r="B636">
        <v>1</v>
      </c>
      <c r="C636">
        <v>0.161</v>
      </c>
    </row>
    <row r="637" spans="1:3" x14ac:dyDescent="0.3">
      <c r="A637" t="s">
        <v>4746</v>
      </c>
      <c r="B637">
        <v>1</v>
      </c>
      <c r="C637">
        <v>0.161</v>
      </c>
    </row>
    <row r="638" spans="1:3" x14ac:dyDescent="0.3">
      <c r="A638" t="s">
        <v>4747</v>
      </c>
      <c r="B638">
        <v>1</v>
      </c>
      <c r="C638">
        <v>0.161</v>
      </c>
    </row>
    <row r="639" spans="1:3" x14ac:dyDescent="0.3">
      <c r="A639" t="s">
        <v>4748</v>
      </c>
      <c r="B639">
        <v>1</v>
      </c>
      <c r="C639">
        <v>0.161</v>
      </c>
    </row>
    <row r="640" spans="1:3" x14ac:dyDescent="0.3">
      <c r="A640" t="s">
        <v>4749</v>
      </c>
      <c r="B640">
        <v>1</v>
      </c>
      <c r="C640">
        <v>0.161</v>
      </c>
    </row>
    <row r="641" spans="1:3" x14ac:dyDescent="0.3">
      <c r="A641" t="s">
        <v>4750</v>
      </c>
      <c r="B641">
        <v>1</v>
      </c>
      <c r="C641">
        <v>0.161</v>
      </c>
    </row>
    <row r="642" spans="1:3" x14ac:dyDescent="0.3">
      <c r="A642" t="s">
        <v>4751</v>
      </c>
      <c r="B642">
        <v>1</v>
      </c>
      <c r="C642">
        <v>0.161</v>
      </c>
    </row>
    <row r="643" spans="1:3" x14ac:dyDescent="0.3">
      <c r="A643" t="s">
        <v>4752</v>
      </c>
      <c r="B643">
        <v>1</v>
      </c>
      <c r="C643">
        <v>0.161</v>
      </c>
    </row>
    <row r="644" spans="1:3" x14ac:dyDescent="0.3">
      <c r="A644" t="s">
        <v>4753</v>
      </c>
      <c r="B644">
        <v>1</v>
      </c>
      <c r="C644">
        <v>0.161</v>
      </c>
    </row>
    <row r="645" spans="1:3" x14ac:dyDescent="0.3">
      <c r="A645" t="s">
        <v>4754</v>
      </c>
      <c r="B645">
        <v>1</v>
      </c>
      <c r="C645">
        <v>0.161</v>
      </c>
    </row>
    <row r="646" spans="1:3" x14ac:dyDescent="0.3">
      <c r="A646" t="s">
        <v>4755</v>
      </c>
      <c r="B646">
        <v>1</v>
      </c>
      <c r="C646">
        <v>0.161</v>
      </c>
    </row>
    <row r="647" spans="1:3" x14ac:dyDescent="0.3">
      <c r="A647" t="s">
        <v>4756</v>
      </c>
      <c r="B647">
        <v>1</v>
      </c>
      <c r="C647">
        <v>0.161</v>
      </c>
    </row>
    <row r="648" spans="1:3" x14ac:dyDescent="0.3">
      <c r="A648" t="s">
        <v>4757</v>
      </c>
      <c r="B648">
        <v>1</v>
      </c>
      <c r="C648">
        <v>0.161</v>
      </c>
    </row>
    <row r="649" spans="1:3" x14ac:dyDescent="0.3">
      <c r="A649" t="s">
        <v>4758</v>
      </c>
      <c r="B649">
        <v>1</v>
      </c>
      <c r="C649">
        <v>0.161</v>
      </c>
    </row>
    <row r="650" spans="1:3" x14ac:dyDescent="0.3">
      <c r="A650" t="s">
        <v>4759</v>
      </c>
      <c r="B650">
        <v>1</v>
      </c>
      <c r="C650">
        <v>0.161</v>
      </c>
    </row>
    <row r="651" spans="1:3" x14ac:dyDescent="0.3">
      <c r="A651" t="s">
        <v>4760</v>
      </c>
      <c r="B651">
        <v>1</v>
      </c>
      <c r="C651">
        <v>0.161</v>
      </c>
    </row>
    <row r="652" spans="1:3" x14ac:dyDescent="0.3">
      <c r="A652" t="s">
        <v>4761</v>
      </c>
      <c r="B652">
        <v>1</v>
      </c>
      <c r="C652">
        <v>0.161</v>
      </c>
    </row>
    <row r="653" spans="1:3" x14ac:dyDescent="0.3">
      <c r="A653" t="s">
        <v>4762</v>
      </c>
      <c r="B653">
        <v>1</v>
      </c>
      <c r="C653">
        <v>0.161</v>
      </c>
    </row>
    <row r="654" spans="1:3" x14ac:dyDescent="0.3">
      <c r="A654" t="s">
        <v>4763</v>
      </c>
      <c r="B654">
        <v>1</v>
      </c>
      <c r="C654">
        <v>0.161</v>
      </c>
    </row>
    <row r="655" spans="1:3" x14ac:dyDescent="0.3">
      <c r="A655" t="s">
        <v>4764</v>
      </c>
      <c r="B655">
        <v>1</v>
      </c>
      <c r="C655">
        <v>0.161</v>
      </c>
    </row>
    <row r="656" spans="1:3" x14ac:dyDescent="0.3">
      <c r="A656" t="s">
        <v>4765</v>
      </c>
      <c r="B656">
        <v>1</v>
      </c>
      <c r="C656">
        <v>0.161</v>
      </c>
    </row>
    <row r="657" spans="1:3" x14ac:dyDescent="0.3">
      <c r="A657" t="s">
        <v>4766</v>
      </c>
      <c r="B657">
        <v>1</v>
      </c>
      <c r="C657">
        <v>0.161</v>
      </c>
    </row>
    <row r="658" spans="1:3" x14ac:dyDescent="0.3">
      <c r="A658" t="s">
        <v>4767</v>
      </c>
      <c r="B658">
        <v>1</v>
      </c>
      <c r="C658">
        <v>0.161</v>
      </c>
    </row>
    <row r="659" spans="1:3" x14ac:dyDescent="0.3">
      <c r="A659" t="s">
        <v>4768</v>
      </c>
      <c r="B659">
        <v>1</v>
      </c>
      <c r="C659">
        <v>0.161</v>
      </c>
    </row>
    <row r="660" spans="1:3" x14ac:dyDescent="0.3">
      <c r="A660" t="s">
        <v>4769</v>
      </c>
      <c r="B660">
        <v>1</v>
      </c>
      <c r="C660">
        <v>0.161</v>
      </c>
    </row>
    <row r="661" spans="1:3" x14ac:dyDescent="0.3">
      <c r="A661" t="s">
        <v>4770</v>
      </c>
      <c r="B661">
        <v>1</v>
      </c>
      <c r="C661">
        <v>0.161</v>
      </c>
    </row>
    <row r="662" spans="1:3" x14ac:dyDescent="0.3">
      <c r="A662" t="s">
        <v>4771</v>
      </c>
      <c r="B662">
        <v>1</v>
      </c>
      <c r="C662">
        <v>0.161</v>
      </c>
    </row>
    <row r="663" spans="1:3" x14ac:dyDescent="0.3">
      <c r="A663" t="s">
        <v>4772</v>
      </c>
      <c r="B663">
        <v>1</v>
      </c>
      <c r="C663">
        <v>0.161</v>
      </c>
    </row>
    <row r="664" spans="1:3" x14ac:dyDescent="0.3">
      <c r="A664" t="s">
        <v>4773</v>
      </c>
      <c r="B664">
        <v>1</v>
      </c>
      <c r="C664">
        <v>0.161</v>
      </c>
    </row>
    <row r="665" spans="1:3" x14ac:dyDescent="0.3">
      <c r="A665" t="s">
        <v>4774</v>
      </c>
      <c r="B665">
        <v>1</v>
      </c>
      <c r="C665">
        <v>0.161</v>
      </c>
    </row>
    <row r="666" spans="1:3" x14ac:dyDescent="0.3">
      <c r="A666" t="s">
        <v>4775</v>
      </c>
      <c r="B666">
        <v>1</v>
      </c>
      <c r="C666">
        <v>0.161</v>
      </c>
    </row>
    <row r="667" spans="1:3" x14ac:dyDescent="0.3">
      <c r="A667" t="s">
        <v>4776</v>
      </c>
      <c r="B667">
        <v>1</v>
      </c>
      <c r="C667">
        <v>0.161</v>
      </c>
    </row>
    <row r="668" spans="1:3" x14ac:dyDescent="0.3">
      <c r="A668" t="s">
        <v>4777</v>
      </c>
      <c r="B668">
        <v>1</v>
      </c>
      <c r="C668">
        <v>0.161</v>
      </c>
    </row>
    <row r="669" spans="1:3" x14ac:dyDescent="0.3">
      <c r="A669" t="s">
        <v>4778</v>
      </c>
      <c r="B669">
        <v>1</v>
      </c>
      <c r="C669">
        <v>0.161</v>
      </c>
    </row>
    <row r="670" spans="1:3" x14ac:dyDescent="0.3">
      <c r="A670" t="s">
        <v>4779</v>
      </c>
      <c r="B670">
        <v>1</v>
      </c>
      <c r="C670">
        <v>0.161</v>
      </c>
    </row>
    <row r="671" spans="1:3" x14ac:dyDescent="0.3">
      <c r="A671" t="s">
        <v>4780</v>
      </c>
      <c r="B671">
        <v>1</v>
      </c>
      <c r="C671">
        <v>0.161</v>
      </c>
    </row>
    <row r="672" spans="1:3" x14ac:dyDescent="0.3">
      <c r="A672" t="s">
        <v>4781</v>
      </c>
      <c r="B672">
        <v>1</v>
      </c>
      <c r="C672">
        <v>0.161</v>
      </c>
    </row>
    <row r="673" spans="1:3" x14ac:dyDescent="0.3">
      <c r="A673" t="s">
        <v>4782</v>
      </c>
      <c r="B673">
        <v>1</v>
      </c>
      <c r="C673">
        <v>0.161</v>
      </c>
    </row>
    <row r="674" spans="1:3" x14ac:dyDescent="0.3">
      <c r="A674" t="s">
        <v>4783</v>
      </c>
      <c r="B674">
        <v>1</v>
      </c>
      <c r="C674">
        <v>0.161</v>
      </c>
    </row>
    <row r="675" spans="1:3" x14ac:dyDescent="0.3">
      <c r="A675" t="s">
        <v>4784</v>
      </c>
      <c r="B675">
        <v>1</v>
      </c>
      <c r="C675">
        <v>0.161</v>
      </c>
    </row>
    <row r="676" spans="1:3" x14ac:dyDescent="0.3">
      <c r="A676" t="s">
        <v>4785</v>
      </c>
      <c r="B676">
        <v>1</v>
      </c>
      <c r="C676">
        <v>0.161</v>
      </c>
    </row>
    <row r="677" spans="1:3" x14ac:dyDescent="0.3">
      <c r="A677" t="s">
        <v>4786</v>
      </c>
      <c r="B677">
        <v>1</v>
      </c>
      <c r="C677">
        <v>0.161</v>
      </c>
    </row>
    <row r="678" spans="1:3" x14ac:dyDescent="0.3">
      <c r="A678" t="s">
        <v>4787</v>
      </c>
      <c r="B678">
        <v>1</v>
      </c>
      <c r="C678">
        <v>0.161</v>
      </c>
    </row>
    <row r="679" spans="1:3" x14ac:dyDescent="0.3">
      <c r="A679" t="s">
        <v>4788</v>
      </c>
      <c r="B679">
        <v>1</v>
      </c>
      <c r="C679">
        <v>0.161</v>
      </c>
    </row>
    <row r="680" spans="1:3" x14ac:dyDescent="0.3">
      <c r="A680" t="s">
        <v>4789</v>
      </c>
      <c r="B680">
        <v>1</v>
      </c>
      <c r="C680">
        <v>0.161</v>
      </c>
    </row>
    <row r="681" spans="1:3" x14ac:dyDescent="0.3">
      <c r="A681" t="s">
        <v>4790</v>
      </c>
      <c r="B681">
        <v>1</v>
      </c>
      <c r="C681">
        <v>0.161</v>
      </c>
    </row>
    <row r="682" spans="1:3" x14ac:dyDescent="0.3">
      <c r="A682" t="s">
        <v>4791</v>
      </c>
      <c r="B682">
        <v>1</v>
      </c>
      <c r="C682">
        <v>0.161</v>
      </c>
    </row>
    <row r="683" spans="1:3" x14ac:dyDescent="0.3">
      <c r="A683" t="s">
        <v>4792</v>
      </c>
      <c r="B683">
        <v>1</v>
      </c>
      <c r="C683">
        <v>0.161</v>
      </c>
    </row>
    <row r="684" spans="1:3" x14ac:dyDescent="0.3">
      <c r="A684" t="s">
        <v>4793</v>
      </c>
      <c r="B684">
        <v>1</v>
      </c>
      <c r="C684">
        <v>0.161</v>
      </c>
    </row>
    <row r="685" spans="1:3" x14ac:dyDescent="0.3">
      <c r="A685" t="s">
        <v>4794</v>
      </c>
      <c r="B685">
        <v>1</v>
      </c>
      <c r="C685">
        <v>0.161</v>
      </c>
    </row>
    <row r="686" spans="1:3" x14ac:dyDescent="0.3">
      <c r="A686" t="s">
        <v>4795</v>
      </c>
      <c r="B686">
        <v>1</v>
      </c>
      <c r="C686">
        <v>0.161</v>
      </c>
    </row>
    <row r="687" spans="1:3" x14ac:dyDescent="0.3">
      <c r="A687" t="s">
        <v>4796</v>
      </c>
      <c r="B687">
        <v>1</v>
      </c>
      <c r="C687">
        <v>0.161</v>
      </c>
    </row>
    <row r="688" spans="1:3" x14ac:dyDescent="0.3">
      <c r="A688" t="s">
        <v>4797</v>
      </c>
      <c r="B688">
        <v>1</v>
      </c>
      <c r="C688">
        <v>0.161</v>
      </c>
    </row>
    <row r="689" spans="1:3" x14ac:dyDescent="0.3">
      <c r="A689" t="s">
        <v>4798</v>
      </c>
      <c r="B689">
        <v>1</v>
      </c>
      <c r="C689">
        <v>0.161</v>
      </c>
    </row>
    <row r="690" spans="1:3" x14ac:dyDescent="0.3">
      <c r="A690" t="s">
        <v>4799</v>
      </c>
      <c r="B690">
        <v>1</v>
      </c>
      <c r="C690">
        <v>0.161</v>
      </c>
    </row>
    <row r="691" spans="1:3" x14ac:dyDescent="0.3">
      <c r="A691" t="s">
        <v>4800</v>
      </c>
      <c r="B691">
        <v>1</v>
      </c>
      <c r="C691">
        <v>0.161</v>
      </c>
    </row>
    <row r="692" spans="1:3" x14ac:dyDescent="0.3">
      <c r="A692" t="s">
        <v>4801</v>
      </c>
      <c r="B692">
        <v>1</v>
      </c>
      <c r="C692">
        <v>0.161</v>
      </c>
    </row>
    <row r="693" spans="1:3" x14ac:dyDescent="0.3">
      <c r="A693" t="s">
        <v>4802</v>
      </c>
      <c r="B693">
        <v>1</v>
      </c>
      <c r="C693">
        <v>0.161</v>
      </c>
    </row>
    <row r="694" spans="1:3" x14ac:dyDescent="0.3">
      <c r="A694" t="s">
        <v>4803</v>
      </c>
      <c r="B694">
        <v>1</v>
      </c>
      <c r="C694">
        <v>0.161</v>
      </c>
    </row>
    <row r="695" spans="1:3" x14ac:dyDescent="0.3">
      <c r="A695" t="s">
        <v>4804</v>
      </c>
      <c r="B695">
        <v>1</v>
      </c>
      <c r="C695">
        <v>0.161</v>
      </c>
    </row>
    <row r="696" spans="1:3" x14ac:dyDescent="0.3">
      <c r="A696" t="s">
        <v>4805</v>
      </c>
      <c r="B696">
        <v>1</v>
      </c>
      <c r="C696">
        <v>0.161</v>
      </c>
    </row>
    <row r="697" spans="1:3" x14ac:dyDescent="0.3">
      <c r="A697" t="s">
        <v>4806</v>
      </c>
      <c r="B697">
        <v>1</v>
      </c>
      <c r="C697">
        <v>0.161</v>
      </c>
    </row>
    <row r="698" spans="1:3" x14ac:dyDescent="0.3">
      <c r="A698" t="s">
        <v>4807</v>
      </c>
      <c r="B698">
        <v>1</v>
      </c>
      <c r="C698">
        <v>0.161</v>
      </c>
    </row>
    <row r="699" spans="1:3" x14ac:dyDescent="0.3">
      <c r="A699" t="s">
        <v>4808</v>
      </c>
      <c r="B699">
        <v>1</v>
      </c>
      <c r="C699">
        <v>0.161</v>
      </c>
    </row>
    <row r="700" spans="1:3" x14ac:dyDescent="0.3">
      <c r="A700" t="s">
        <v>4809</v>
      </c>
      <c r="B700">
        <v>1</v>
      </c>
      <c r="C700">
        <v>0.161</v>
      </c>
    </row>
    <row r="701" spans="1:3" x14ac:dyDescent="0.3">
      <c r="A701" t="s">
        <v>4810</v>
      </c>
      <c r="B701">
        <v>1</v>
      </c>
      <c r="C701">
        <v>0.161</v>
      </c>
    </row>
    <row r="702" spans="1:3" x14ac:dyDescent="0.3">
      <c r="A702" t="s">
        <v>4811</v>
      </c>
      <c r="B702">
        <v>1</v>
      </c>
      <c r="C702">
        <v>0.161</v>
      </c>
    </row>
    <row r="703" spans="1:3" x14ac:dyDescent="0.3">
      <c r="A703" t="s">
        <v>4812</v>
      </c>
      <c r="B703">
        <v>1</v>
      </c>
      <c r="C703">
        <v>0.161</v>
      </c>
    </row>
    <row r="704" spans="1:3" x14ac:dyDescent="0.3">
      <c r="A704" t="s">
        <v>4813</v>
      </c>
      <c r="B704">
        <v>1</v>
      </c>
      <c r="C704">
        <v>0.161</v>
      </c>
    </row>
    <row r="705" spans="1:3" x14ac:dyDescent="0.3">
      <c r="A705" t="s">
        <v>4814</v>
      </c>
      <c r="B705">
        <v>1</v>
      </c>
      <c r="C705">
        <v>0.161</v>
      </c>
    </row>
    <row r="706" spans="1:3" x14ac:dyDescent="0.3">
      <c r="A706" t="s">
        <v>4815</v>
      </c>
      <c r="B706">
        <v>1</v>
      </c>
      <c r="C706">
        <v>0.161</v>
      </c>
    </row>
    <row r="707" spans="1:3" x14ac:dyDescent="0.3">
      <c r="A707" t="s">
        <v>4816</v>
      </c>
      <c r="B707">
        <v>1</v>
      </c>
      <c r="C707">
        <v>0.161</v>
      </c>
    </row>
    <row r="708" spans="1:3" x14ac:dyDescent="0.3">
      <c r="A708" t="s">
        <v>4817</v>
      </c>
      <c r="B708">
        <v>1</v>
      </c>
      <c r="C708">
        <v>0.161</v>
      </c>
    </row>
    <row r="709" spans="1:3" x14ac:dyDescent="0.3">
      <c r="A709" t="s">
        <v>4818</v>
      </c>
      <c r="B709">
        <v>1</v>
      </c>
      <c r="C709">
        <v>0.161</v>
      </c>
    </row>
    <row r="710" spans="1:3" x14ac:dyDescent="0.3">
      <c r="A710" t="s">
        <v>4819</v>
      </c>
      <c r="B710">
        <v>1</v>
      </c>
      <c r="C710">
        <v>0.161</v>
      </c>
    </row>
    <row r="711" spans="1:3" x14ac:dyDescent="0.3">
      <c r="A711" t="s">
        <v>4820</v>
      </c>
      <c r="B711">
        <v>1</v>
      </c>
      <c r="C711">
        <v>0.161</v>
      </c>
    </row>
    <row r="712" spans="1:3" x14ac:dyDescent="0.3">
      <c r="A712" t="s">
        <v>4821</v>
      </c>
      <c r="B712">
        <v>1</v>
      </c>
      <c r="C712">
        <v>0.161</v>
      </c>
    </row>
    <row r="713" spans="1:3" x14ac:dyDescent="0.3">
      <c r="A713" t="s">
        <v>4822</v>
      </c>
      <c r="B713">
        <v>1</v>
      </c>
      <c r="C713">
        <v>0.161</v>
      </c>
    </row>
    <row r="714" spans="1:3" x14ac:dyDescent="0.3">
      <c r="A714" t="s">
        <v>4823</v>
      </c>
      <c r="B714">
        <v>1</v>
      </c>
      <c r="C714">
        <v>0.161</v>
      </c>
    </row>
    <row r="715" spans="1:3" x14ac:dyDescent="0.3">
      <c r="A715" t="s">
        <v>4824</v>
      </c>
      <c r="B715">
        <v>1</v>
      </c>
      <c r="C715">
        <v>0.161</v>
      </c>
    </row>
    <row r="716" spans="1:3" x14ac:dyDescent="0.3">
      <c r="A716" t="s">
        <v>4825</v>
      </c>
      <c r="B716">
        <v>1</v>
      </c>
      <c r="C716">
        <v>0.161</v>
      </c>
    </row>
    <row r="717" spans="1:3" x14ac:dyDescent="0.3">
      <c r="A717" t="s">
        <v>4826</v>
      </c>
      <c r="B717">
        <v>1</v>
      </c>
      <c r="C717">
        <v>0.161</v>
      </c>
    </row>
    <row r="718" spans="1:3" x14ac:dyDescent="0.3">
      <c r="A718" t="s">
        <v>4827</v>
      </c>
      <c r="B718">
        <v>1</v>
      </c>
      <c r="C718">
        <v>0.161</v>
      </c>
    </row>
    <row r="719" spans="1:3" x14ac:dyDescent="0.3">
      <c r="A719" t="s">
        <v>4828</v>
      </c>
      <c r="B719">
        <v>1</v>
      </c>
      <c r="C719">
        <v>0.161</v>
      </c>
    </row>
    <row r="720" spans="1:3" x14ac:dyDescent="0.3">
      <c r="A720" t="s">
        <v>4829</v>
      </c>
      <c r="B720">
        <v>1</v>
      </c>
      <c r="C720">
        <v>0.161</v>
      </c>
    </row>
    <row r="721" spans="1:3" x14ac:dyDescent="0.3">
      <c r="A721" t="s">
        <v>4830</v>
      </c>
      <c r="B721">
        <v>1</v>
      </c>
      <c r="C721">
        <v>0.161</v>
      </c>
    </row>
    <row r="722" spans="1:3" x14ac:dyDescent="0.3">
      <c r="A722" t="s">
        <v>4831</v>
      </c>
      <c r="B722">
        <v>1</v>
      </c>
      <c r="C722">
        <v>0.161</v>
      </c>
    </row>
    <row r="723" spans="1:3" x14ac:dyDescent="0.3">
      <c r="A723" t="s">
        <v>4832</v>
      </c>
      <c r="B723">
        <v>1</v>
      </c>
      <c r="C723">
        <v>0.161</v>
      </c>
    </row>
    <row r="724" spans="1:3" x14ac:dyDescent="0.3">
      <c r="A724" t="s">
        <v>4833</v>
      </c>
      <c r="B724">
        <v>1</v>
      </c>
      <c r="C724">
        <v>0.161</v>
      </c>
    </row>
    <row r="725" spans="1:3" x14ac:dyDescent="0.3">
      <c r="A725" t="s">
        <v>4834</v>
      </c>
      <c r="B725">
        <v>1</v>
      </c>
      <c r="C725">
        <v>0.161</v>
      </c>
    </row>
    <row r="726" spans="1:3" x14ac:dyDescent="0.3">
      <c r="A726" t="s">
        <v>4835</v>
      </c>
      <c r="B726">
        <v>1</v>
      </c>
      <c r="C726">
        <v>0.161</v>
      </c>
    </row>
    <row r="727" spans="1:3" x14ac:dyDescent="0.3">
      <c r="A727" t="s">
        <v>4836</v>
      </c>
      <c r="B727">
        <v>1</v>
      </c>
      <c r="C727">
        <v>0.161</v>
      </c>
    </row>
    <row r="728" spans="1:3" x14ac:dyDescent="0.3">
      <c r="A728" t="s">
        <v>4837</v>
      </c>
      <c r="B728">
        <v>1</v>
      </c>
      <c r="C728">
        <v>0.161</v>
      </c>
    </row>
    <row r="729" spans="1:3" x14ac:dyDescent="0.3">
      <c r="A729" t="s">
        <v>4838</v>
      </c>
      <c r="B729">
        <v>1</v>
      </c>
      <c r="C729">
        <v>0.161</v>
      </c>
    </row>
    <row r="730" spans="1:3" x14ac:dyDescent="0.3">
      <c r="A730" t="s">
        <v>4839</v>
      </c>
      <c r="B730">
        <v>1</v>
      </c>
      <c r="C730">
        <v>0.161</v>
      </c>
    </row>
    <row r="731" spans="1:3" x14ac:dyDescent="0.3">
      <c r="A731" t="s">
        <v>4840</v>
      </c>
      <c r="B731">
        <v>1</v>
      </c>
      <c r="C731">
        <v>0.161</v>
      </c>
    </row>
    <row r="732" spans="1:3" x14ac:dyDescent="0.3">
      <c r="A732" t="s">
        <v>4841</v>
      </c>
      <c r="B732">
        <v>1</v>
      </c>
      <c r="C732">
        <v>0.161</v>
      </c>
    </row>
    <row r="733" spans="1:3" x14ac:dyDescent="0.3">
      <c r="A733" t="s">
        <v>4842</v>
      </c>
      <c r="B733">
        <v>1</v>
      </c>
      <c r="C733">
        <v>0.161</v>
      </c>
    </row>
    <row r="734" spans="1:3" x14ac:dyDescent="0.3">
      <c r="A734" t="s">
        <v>4843</v>
      </c>
      <c r="B734">
        <v>1</v>
      </c>
      <c r="C734">
        <v>0.161</v>
      </c>
    </row>
    <row r="735" spans="1:3" x14ac:dyDescent="0.3">
      <c r="A735" t="s">
        <v>4844</v>
      </c>
      <c r="B735">
        <v>1</v>
      </c>
      <c r="C735">
        <v>0.161</v>
      </c>
    </row>
    <row r="736" spans="1:3" x14ac:dyDescent="0.3">
      <c r="A736" t="s">
        <v>4845</v>
      </c>
      <c r="B736">
        <v>1</v>
      </c>
      <c r="C736">
        <v>0.161</v>
      </c>
    </row>
    <row r="737" spans="1:3" x14ac:dyDescent="0.3">
      <c r="A737" t="s">
        <v>4846</v>
      </c>
      <c r="B737">
        <v>1</v>
      </c>
      <c r="C737">
        <v>0.161</v>
      </c>
    </row>
    <row r="738" spans="1:3" x14ac:dyDescent="0.3">
      <c r="A738" t="s">
        <v>4847</v>
      </c>
      <c r="B738">
        <v>1</v>
      </c>
      <c r="C738">
        <v>0.161</v>
      </c>
    </row>
    <row r="739" spans="1:3" x14ac:dyDescent="0.3">
      <c r="A739" t="s">
        <v>4848</v>
      </c>
      <c r="B739">
        <v>1</v>
      </c>
      <c r="C739">
        <v>0.161</v>
      </c>
    </row>
    <row r="740" spans="1:3" x14ac:dyDescent="0.3">
      <c r="A740" t="s">
        <v>4849</v>
      </c>
      <c r="B740">
        <v>1</v>
      </c>
      <c r="C740">
        <v>0.161</v>
      </c>
    </row>
    <row r="741" spans="1:3" x14ac:dyDescent="0.3">
      <c r="A741" t="s">
        <v>4850</v>
      </c>
      <c r="B741">
        <v>1</v>
      </c>
      <c r="C741">
        <v>0.161</v>
      </c>
    </row>
    <row r="742" spans="1:3" x14ac:dyDescent="0.3">
      <c r="A742" t="s">
        <v>4851</v>
      </c>
      <c r="B742">
        <v>1</v>
      </c>
      <c r="C742">
        <v>0.161</v>
      </c>
    </row>
    <row r="743" spans="1:3" x14ac:dyDescent="0.3">
      <c r="A743" t="s">
        <v>4852</v>
      </c>
      <c r="B743">
        <v>1</v>
      </c>
      <c r="C743">
        <v>0.161</v>
      </c>
    </row>
    <row r="744" spans="1:3" x14ac:dyDescent="0.3">
      <c r="A744" t="s">
        <v>4853</v>
      </c>
      <c r="B744">
        <v>1</v>
      </c>
      <c r="C744">
        <v>0.161</v>
      </c>
    </row>
    <row r="745" spans="1:3" x14ac:dyDescent="0.3">
      <c r="A745" t="s">
        <v>4854</v>
      </c>
      <c r="B745">
        <v>1</v>
      </c>
      <c r="C745">
        <v>0.161</v>
      </c>
    </row>
    <row r="746" spans="1:3" x14ac:dyDescent="0.3">
      <c r="A746" t="s">
        <v>4855</v>
      </c>
      <c r="B746">
        <v>1</v>
      </c>
      <c r="C746">
        <v>0.161</v>
      </c>
    </row>
    <row r="747" spans="1:3" x14ac:dyDescent="0.3">
      <c r="A747" t="s">
        <v>4856</v>
      </c>
      <c r="B747">
        <v>1</v>
      </c>
      <c r="C747">
        <v>0.161</v>
      </c>
    </row>
    <row r="748" spans="1:3" x14ac:dyDescent="0.3">
      <c r="A748" t="s">
        <v>4857</v>
      </c>
      <c r="B748">
        <v>1</v>
      </c>
      <c r="C748">
        <v>0.161</v>
      </c>
    </row>
    <row r="749" spans="1:3" x14ac:dyDescent="0.3">
      <c r="A749" t="s">
        <v>4858</v>
      </c>
      <c r="B749">
        <v>1</v>
      </c>
      <c r="C749">
        <v>0.161</v>
      </c>
    </row>
    <row r="750" spans="1:3" x14ac:dyDescent="0.3">
      <c r="A750" t="s">
        <v>4859</v>
      </c>
      <c r="B750">
        <v>1</v>
      </c>
      <c r="C750">
        <v>0.161</v>
      </c>
    </row>
    <row r="751" spans="1:3" x14ac:dyDescent="0.3">
      <c r="A751" t="s">
        <v>4860</v>
      </c>
      <c r="B751">
        <v>1</v>
      </c>
      <c r="C751">
        <v>0.161</v>
      </c>
    </row>
    <row r="752" spans="1:3" x14ac:dyDescent="0.3">
      <c r="A752" t="s">
        <v>4861</v>
      </c>
      <c r="B752">
        <v>1</v>
      </c>
      <c r="C752">
        <v>0.161</v>
      </c>
    </row>
    <row r="753" spans="1:3" x14ac:dyDescent="0.3">
      <c r="A753" t="s">
        <v>4862</v>
      </c>
      <c r="B753">
        <v>1</v>
      </c>
      <c r="C753">
        <v>0.161</v>
      </c>
    </row>
    <row r="754" spans="1:3" x14ac:dyDescent="0.3">
      <c r="A754" t="s">
        <v>4863</v>
      </c>
      <c r="B754">
        <v>1</v>
      </c>
      <c r="C754">
        <v>0.161</v>
      </c>
    </row>
    <row r="755" spans="1:3" x14ac:dyDescent="0.3">
      <c r="A755" t="s">
        <v>4864</v>
      </c>
      <c r="B755">
        <v>1</v>
      </c>
      <c r="C755">
        <v>0.161</v>
      </c>
    </row>
    <row r="756" spans="1:3" x14ac:dyDescent="0.3">
      <c r="A756" t="s">
        <v>4865</v>
      </c>
      <c r="B756">
        <v>1</v>
      </c>
      <c r="C756">
        <v>0.161</v>
      </c>
    </row>
    <row r="757" spans="1:3" x14ac:dyDescent="0.3">
      <c r="A757" t="s">
        <v>4866</v>
      </c>
      <c r="B757">
        <v>1</v>
      </c>
      <c r="C757">
        <v>0.161</v>
      </c>
    </row>
    <row r="758" spans="1:3" x14ac:dyDescent="0.3">
      <c r="A758" t="s">
        <v>4867</v>
      </c>
      <c r="B758">
        <v>1</v>
      </c>
      <c r="C758">
        <v>0.161</v>
      </c>
    </row>
    <row r="759" spans="1:3" x14ac:dyDescent="0.3">
      <c r="A759" t="s">
        <v>4868</v>
      </c>
      <c r="B759">
        <v>1</v>
      </c>
      <c r="C759">
        <v>0.161</v>
      </c>
    </row>
    <row r="760" spans="1:3" x14ac:dyDescent="0.3">
      <c r="A760" t="s">
        <v>4869</v>
      </c>
      <c r="B760">
        <v>1</v>
      </c>
      <c r="C760">
        <v>0.161</v>
      </c>
    </row>
    <row r="761" spans="1:3" x14ac:dyDescent="0.3">
      <c r="A761" t="s">
        <v>4870</v>
      </c>
      <c r="B761">
        <v>1</v>
      </c>
      <c r="C761">
        <v>0.161</v>
      </c>
    </row>
    <row r="762" spans="1:3" x14ac:dyDescent="0.3">
      <c r="A762" t="s">
        <v>4871</v>
      </c>
      <c r="B762">
        <v>1</v>
      </c>
      <c r="C762">
        <v>0.161</v>
      </c>
    </row>
    <row r="763" spans="1:3" x14ac:dyDescent="0.3">
      <c r="A763" t="s">
        <v>4872</v>
      </c>
      <c r="B763">
        <v>1</v>
      </c>
      <c r="C763">
        <v>0.161</v>
      </c>
    </row>
    <row r="764" spans="1:3" x14ac:dyDescent="0.3">
      <c r="A764" t="s">
        <v>4873</v>
      </c>
      <c r="B764">
        <v>1</v>
      </c>
      <c r="C764">
        <v>0.161</v>
      </c>
    </row>
    <row r="765" spans="1:3" x14ac:dyDescent="0.3">
      <c r="A765" t="s">
        <v>4874</v>
      </c>
      <c r="B765">
        <v>1</v>
      </c>
      <c r="C765">
        <v>0.161</v>
      </c>
    </row>
    <row r="766" spans="1:3" x14ac:dyDescent="0.3">
      <c r="A766" t="s">
        <v>4875</v>
      </c>
      <c r="B766">
        <v>1</v>
      </c>
      <c r="C766">
        <v>0.161</v>
      </c>
    </row>
    <row r="767" spans="1:3" x14ac:dyDescent="0.3">
      <c r="A767" t="s">
        <v>4876</v>
      </c>
      <c r="B767">
        <v>1</v>
      </c>
      <c r="C767">
        <v>0.161</v>
      </c>
    </row>
    <row r="768" spans="1:3" x14ac:dyDescent="0.3">
      <c r="A768" t="s">
        <v>4877</v>
      </c>
      <c r="B768">
        <v>1</v>
      </c>
      <c r="C768">
        <v>0.161</v>
      </c>
    </row>
    <row r="769" spans="1:3" x14ac:dyDescent="0.3">
      <c r="A769" t="s">
        <v>4878</v>
      </c>
      <c r="B769">
        <v>1</v>
      </c>
      <c r="C769">
        <v>0.161</v>
      </c>
    </row>
    <row r="770" spans="1:3" x14ac:dyDescent="0.3">
      <c r="A770" t="s">
        <v>4879</v>
      </c>
      <c r="B770">
        <v>1</v>
      </c>
      <c r="C770">
        <v>0.161</v>
      </c>
    </row>
    <row r="771" spans="1:3" x14ac:dyDescent="0.3">
      <c r="A771" t="s">
        <v>4880</v>
      </c>
      <c r="B771">
        <v>1</v>
      </c>
      <c r="C771">
        <v>0.161</v>
      </c>
    </row>
    <row r="772" spans="1:3" x14ac:dyDescent="0.3">
      <c r="A772" t="s">
        <v>4881</v>
      </c>
      <c r="B772">
        <v>1</v>
      </c>
      <c r="C772">
        <v>0.161</v>
      </c>
    </row>
    <row r="773" spans="1:3" x14ac:dyDescent="0.3">
      <c r="A773" t="s">
        <v>4882</v>
      </c>
      <c r="B773">
        <v>1</v>
      </c>
      <c r="C773">
        <v>0.161</v>
      </c>
    </row>
    <row r="774" spans="1:3" x14ac:dyDescent="0.3">
      <c r="A774" t="s">
        <v>4883</v>
      </c>
      <c r="B774">
        <v>1</v>
      </c>
      <c r="C774">
        <v>0.161</v>
      </c>
    </row>
    <row r="775" spans="1:3" x14ac:dyDescent="0.3">
      <c r="A775" t="s">
        <v>4884</v>
      </c>
      <c r="B775">
        <v>1</v>
      </c>
      <c r="C775">
        <v>0.161</v>
      </c>
    </row>
    <row r="776" spans="1:3" x14ac:dyDescent="0.3">
      <c r="A776" t="s">
        <v>4885</v>
      </c>
      <c r="B776">
        <v>1</v>
      </c>
      <c r="C776">
        <v>0.161</v>
      </c>
    </row>
    <row r="777" spans="1:3" x14ac:dyDescent="0.3">
      <c r="A777" t="s">
        <v>4886</v>
      </c>
      <c r="B777">
        <v>1</v>
      </c>
      <c r="C777">
        <v>0.161</v>
      </c>
    </row>
    <row r="778" spans="1:3" x14ac:dyDescent="0.3">
      <c r="A778" t="s">
        <v>4887</v>
      </c>
      <c r="B778">
        <v>1</v>
      </c>
      <c r="C778">
        <v>0.161</v>
      </c>
    </row>
    <row r="779" spans="1:3" x14ac:dyDescent="0.3">
      <c r="A779" t="s">
        <v>4888</v>
      </c>
      <c r="B779">
        <v>1</v>
      </c>
      <c r="C779">
        <v>0.161</v>
      </c>
    </row>
    <row r="780" spans="1:3" x14ac:dyDescent="0.3">
      <c r="A780" t="s">
        <v>4889</v>
      </c>
      <c r="B780">
        <v>1</v>
      </c>
      <c r="C780">
        <v>0.161</v>
      </c>
    </row>
    <row r="781" spans="1:3" x14ac:dyDescent="0.3">
      <c r="A781" t="s">
        <v>4890</v>
      </c>
      <c r="B781">
        <v>1</v>
      </c>
      <c r="C781">
        <v>0.161</v>
      </c>
    </row>
    <row r="782" spans="1:3" x14ac:dyDescent="0.3">
      <c r="A782" t="s">
        <v>4891</v>
      </c>
      <c r="B782">
        <v>1</v>
      </c>
      <c r="C782">
        <v>0.161</v>
      </c>
    </row>
    <row r="783" spans="1:3" x14ac:dyDescent="0.3">
      <c r="A783" t="s">
        <v>4892</v>
      </c>
      <c r="B783">
        <v>1</v>
      </c>
      <c r="C783">
        <v>0.161</v>
      </c>
    </row>
    <row r="784" spans="1:3" x14ac:dyDescent="0.3">
      <c r="A784" t="s">
        <v>4893</v>
      </c>
      <c r="B784">
        <v>1</v>
      </c>
      <c r="C784">
        <v>0.161</v>
      </c>
    </row>
    <row r="785" spans="1:3" x14ac:dyDescent="0.3">
      <c r="A785" t="s">
        <v>4894</v>
      </c>
      <c r="B785">
        <v>1</v>
      </c>
      <c r="C785">
        <v>0.161</v>
      </c>
    </row>
    <row r="786" spans="1:3" x14ac:dyDescent="0.3">
      <c r="A786" t="s">
        <v>4895</v>
      </c>
      <c r="B786">
        <v>1</v>
      </c>
      <c r="C786">
        <v>0.161</v>
      </c>
    </row>
    <row r="787" spans="1:3" x14ac:dyDescent="0.3">
      <c r="A787" t="s">
        <v>4896</v>
      </c>
      <c r="B787">
        <v>1</v>
      </c>
      <c r="C787">
        <v>0.161</v>
      </c>
    </row>
    <row r="788" spans="1:3" x14ac:dyDescent="0.3">
      <c r="A788" t="s">
        <v>4897</v>
      </c>
      <c r="B788">
        <v>1</v>
      </c>
      <c r="C788">
        <v>0.161</v>
      </c>
    </row>
    <row r="789" spans="1:3" x14ac:dyDescent="0.3">
      <c r="A789" t="s">
        <v>4898</v>
      </c>
      <c r="B789">
        <v>1</v>
      </c>
      <c r="C789">
        <v>0.161</v>
      </c>
    </row>
    <row r="790" spans="1:3" x14ac:dyDescent="0.3">
      <c r="A790" t="s">
        <v>4899</v>
      </c>
      <c r="B790">
        <v>1</v>
      </c>
      <c r="C790">
        <v>0.161</v>
      </c>
    </row>
    <row r="791" spans="1:3" x14ac:dyDescent="0.3">
      <c r="A791" t="s">
        <v>4900</v>
      </c>
      <c r="B791">
        <v>1</v>
      </c>
      <c r="C791">
        <v>0.161</v>
      </c>
    </row>
    <row r="792" spans="1:3" x14ac:dyDescent="0.3">
      <c r="A792" t="s">
        <v>4901</v>
      </c>
      <c r="B792">
        <v>1</v>
      </c>
      <c r="C792">
        <v>0.161</v>
      </c>
    </row>
    <row r="793" spans="1:3" x14ac:dyDescent="0.3">
      <c r="A793" t="s">
        <v>4902</v>
      </c>
      <c r="B793">
        <v>1</v>
      </c>
      <c r="C793">
        <v>0.161</v>
      </c>
    </row>
    <row r="794" spans="1:3" x14ac:dyDescent="0.3">
      <c r="A794" t="s">
        <v>4903</v>
      </c>
      <c r="B794">
        <v>1</v>
      </c>
      <c r="C794">
        <v>0.161</v>
      </c>
    </row>
    <row r="795" spans="1:3" x14ac:dyDescent="0.3">
      <c r="A795" t="s">
        <v>4904</v>
      </c>
      <c r="B795">
        <v>1</v>
      </c>
      <c r="C795">
        <v>0.161</v>
      </c>
    </row>
    <row r="796" spans="1:3" x14ac:dyDescent="0.3">
      <c r="A796" t="s">
        <v>4905</v>
      </c>
      <c r="B796">
        <v>1</v>
      </c>
      <c r="C796">
        <v>0.161</v>
      </c>
    </row>
    <row r="797" spans="1:3" x14ac:dyDescent="0.3">
      <c r="A797" t="s">
        <v>4906</v>
      </c>
      <c r="B797">
        <v>1</v>
      </c>
      <c r="C797">
        <v>0.161</v>
      </c>
    </row>
    <row r="798" spans="1:3" x14ac:dyDescent="0.3">
      <c r="A798" t="s">
        <v>4907</v>
      </c>
      <c r="B798">
        <v>1</v>
      </c>
      <c r="C798">
        <v>0.161</v>
      </c>
    </row>
    <row r="799" spans="1:3" x14ac:dyDescent="0.3">
      <c r="A799" t="s">
        <v>4908</v>
      </c>
      <c r="B799">
        <v>1</v>
      </c>
      <c r="C799">
        <v>0.161</v>
      </c>
    </row>
    <row r="800" spans="1:3" x14ac:dyDescent="0.3">
      <c r="A800" t="s">
        <v>4909</v>
      </c>
      <c r="B800">
        <v>1</v>
      </c>
      <c r="C800">
        <v>0.161</v>
      </c>
    </row>
    <row r="801" spans="1:3" x14ac:dyDescent="0.3">
      <c r="A801" t="s">
        <v>4910</v>
      </c>
      <c r="B801">
        <v>1</v>
      </c>
      <c r="C801">
        <v>0.161</v>
      </c>
    </row>
    <row r="802" spans="1:3" x14ac:dyDescent="0.3">
      <c r="A802" t="s">
        <v>4911</v>
      </c>
      <c r="B802">
        <v>1</v>
      </c>
      <c r="C802">
        <v>0.161</v>
      </c>
    </row>
    <row r="803" spans="1:3" x14ac:dyDescent="0.3">
      <c r="A803" t="s">
        <v>4912</v>
      </c>
      <c r="B803">
        <v>1</v>
      </c>
      <c r="C803">
        <v>0.161</v>
      </c>
    </row>
    <row r="804" spans="1:3" x14ac:dyDescent="0.3">
      <c r="A804" t="s">
        <v>4913</v>
      </c>
      <c r="B804">
        <v>1</v>
      </c>
      <c r="C804">
        <v>0.161</v>
      </c>
    </row>
    <row r="805" spans="1:3" x14ac:dyDescent="0.3">
      <c r="A805" t="s">
        <v>4914</v>
      </c>
      <c r="B805">
        <v>1</v>
      </c>
      <c r="C805">
        <v>0.161</v>
      </c>
    </row>
    <row r="806" spans="1:3" x14ac:dyDescent="0.3">
      <c r="A806" t="s">
        <v>4915</v>
      </c>
      <c r="B806">
        <v>1</v>
      </c>
      <c r="C806">
        <v>0.161</v>
      </c>
    </row>
    <row r="807" spans="1:3" x14ac:dyDescent="0.3">
      <c r="A807" t="s">
        <v>4916</v>
      </c>
      <c r="B807">
        <v>1</v>
      </c>
      <c r="C807">
        <v>0.161</v>
      </c>
    </row>
    <row r="808" spans="1:3" x14ac:dyDescent="0.3">
      <c r="A808" t="s">
        <v>4917</v>
      </c>
      <c r="B808">
        <v>1</v>
      </c>
      <c r="C808">
        <v>0.161</v>
      </c>
    </row>
    <row r="809" spans="1:3" x14ac:dyDescent="0.3">
      <c r="A809" t="s">
        <v>4918</v>
      </c>
      <c r="B809">
        <v>1</v>
      </c>
      <c r="C809">
        <v>0.161</v>
      </c>
    </row>
    <row r="810" spans="1:3" x14ac:dyDescent="0.3">
      <c r="A810" t="s">
        <v>4919</v>
      </c>
      <c r="B810">
        <v>1</v>
      </c>
      <c r="C810">
        <v>0.161</v>
      </c>
    </row>
    <row r="811" spans="1:3" x14ac:dyDescent="0.3">
      <c r="A811" t="s">
        <v>4920</v>
      </c>
      <c r="B811">
        <v>1</v>
      </c>
      <c r="C811">
        <v>0.161</v>
      </c>
    </row>
    <row r="812" spans="1:3" x14ac:dyDescent="0.3">
      <c r="A812" t="s">
        <v>4921</v>
      </c>
      <c r="B812">
        <v>1</v>
      </c>
      <c r="C812">
        <v>0.161</v>
      </c>
    </row>
    <row r="813" spans="1:3" x14ac:dyDescent="0.3">
      <c r="A813" t="s">
        <v>4922</v>
      </c>
      <c r="B813">
        <v>1</v>
      </c>
      <c r="C813">
        <v>0.161</v>
      </c>
    </row>
    <row r="814" spans="1:3" x14ac:dyDescent="0.3">
      <c r="A814" t="s">
        <v>4923</v>
      </c>
      <c r="B814">
        <v>1</v>
      </c>
      <c r="C814">
        <v>0.161</v>
      </c>
    </row>
    <row r="815" spans="1:3" x14ac:dyDescent="0.3">
      <c r="A815" t="s">
        <v>4924</v>
      </c>
      <c r="B815">
        <v>1</v>
      </c>
      <c r="C815">
        <v>0.161</v>
      </c>
    </row>
    <row r="816" spans="1:3" x14ac:dyDescent="0.3">
      <c r="A816" t="s">
        <v>4925</v>
      </c>
      <c r="B816">
        <v>1</v>
      </c>
      <c r="C816">
        <v>0.161</v>
      </c>
    </row>
    <row r="817" spans="1:3" x14ac:dyDescent="0.3">
      <c r="A817" t="s">
        <v>4926</v>
      </c>
      <c r="B817">
        <v>1</v>
      </c>
      <c r="C817">
        <v>0.161</v>
      </c>
    </row>
    <row r="818" spans="1:3" x14ac:dyDescent="0.3">
      <c r="A818" t="s">
        <v>4927</v>
      </c>
      <c r="B818">
        <v>1</v>
      </c>
      <c r="C818">
        <v>0.161</v>
      </c>
    </row>
    <row r="819" spans="1:3" x14ac:dyDescent="0.3">
      <c r="A819" t="s">
        <v>4928</v>
      </c>
      <c r="B819">
        <v>1</v>
      </c>
      <c r="C819">
        <v>0.161</v>
      </c>
    </row>
    <row r="820" spans="1:3" x14ac:dyDescent="0.3">
      <c r="A820" t="s">
        <v>4929</v>
      </c>
      <c r="B820">
        <v>1</v>
      </c>
      <c r="C820">
        <v>0.161</v>
      </c>
    </row>
    <row r="821" spans="1:3" x14ac:dyDescent="0.3">
      <c r="A821" t="s">
        <v>4930</v>
      </c>
      <c r="B821">
        <v>1</v>
      </c>
      <c r="C821">
        <v>0.161</v>
      </c>
    </row>
    <row r="822" spans="1:3" x14ac:dyDescent="0.3">
      <c r="A822" t="s">
        <v>4931</v>
      </c>
      <c r="B822">
        <v>1</v>
      </c>
      <c r="C822">
        <v>0.161</v>
      </c>
    </row>
    <row r="823" spans="1:3" x14ac:dyDescent="0.3">
      <c r="A823" t="s">
        <v>4932</v>
      </c>
      <c r="B823">
        <v>1</v>
      </c>
      <c r="C823">
        <v>0.161</v>
      </c>
    </row>
    <row r="824" spans="1:3" x14ac:dyDescent="0.3">
      <c r="A824" t="s">
        <v>4933</v>
      </c>
      <c r="B824">
        <v>1</v>
      </c>
      <c r="C824">
        <v>0.161</v>
      </c>
    </row>
    <row r="825" spans="1:3" x14ac:dyDescent="0.3">
      <c r="A825" t="s">
        <v>4934</v>
      </c>
      <c r="B825">
        <v>1</v>
      </c>
      <c r="C825">
        <v>0.161</v>
      </c>
    </row>
    <row r="826" spans="1:3" x14ac:dyDescent="0.3">
      <c r="A826" t="s">
        <v>4935</v>
      </c>
      <c r="B826">
        <v>1</v>
      </c>
      <c r="C826">
        <v>0.161</v>
      </c>
    </row>
    <row r="827" spans="1:3" x14ac:dyDescent="0.3">
      <c r="A827" t="s">
        <v>4936</v>
      </c>
      <c r="B827">
        <v>1</v>
      </c>
      <c r="C827">
        <v>0.161</v>
      </c>
    </row>
    <row r="828" spans="1:3" x14ac:dyDescent="0.3">
      <c r="A828" t="s">
        <v>4937</v>
      </c>
      <c r="B828">
        <v>1</v>
      </c>
      <c r="C828">
        <v>0.161</v>
      </c>
    </row>
    <row r="829" spans="1:3" x14ac:dyDescent="0.3">
      <c r="A829" t="s">
        <v>4938</v>
      </c>
      <c r="B829">
        <v>1</v>
      </c>
      <c r="C829">
        <v>0.161</v>
      </c>
    </row>
    <row r="830" spans="1:3" x14ac:dyDescent="0.3">
      <c r="A830" t="s">
        <v>4939</v>
      </c>
      <c r="B830">
        <v>1</v>
      </c>
      <c r="C830">
        <v>0.161</v>
      </c>
    </row>
    <row r="831" spans="1:3" x14ac:dyDescent="0.3">
      <c r="A831" t="s">
        <v>4940</v>
      </c>
      <c r="B831">
        <v>1</v>
      </c>
      <c r="C831">
        <v>0.161</v>
      </c>
    </row>
    <row r="832" spans="1:3" x14ac:dyDescent="0.3">
      <c r="A832" t="s">
        <v>4941</v>
      </c>
      <c r="B832">
        <v>1</v>
      </c>
      <c r="C832">
        <v>0.161</v>
      </c>
    </row>
    <row r="833" spans="1:3" x14ac:dyDescent="0.3">
      <c r="A833" t="s">
        <v>4942</v>
      </c>
      <c r="B833">
        <v>1</v>
      </c>
      <c r="C833">
        <v>0.161</v>
      </c>
    </row>
    <row r="834" spans="1:3" x14ac:dyDescent="0.3">
      <c r="A834" t="s">
        <v>4943</v>
      </c>
      <c r="B834">
        <v>1</v>
      </c>
      <c r="C834">
        <v>0.161</v>
      </c>
    </row>
    <row r="835" spans="1:3" x14ac:dyDescent="0.3">
      <c r="A835" t="s">
        <v>4944</v>
      </c>
      <c r="B835">
        <v>1</v>
      </c>
      <c r="C835">
        <v>0.161</v>
      </c>
    </row>
    <row r="836" spans="1:3" x14ac:dyDescent="0.3">
      <c r="A836" t="s">
        <v>4945</v>
      </c>
      <c r="B836">
        <v>1</v>
      </c>
      <c r="C836">
        <v>0.161</v>
      </c>
    </row>
    <row r="837" spans="1:3" x14ac:dyDescent="0.3">
      <c r="A837" t="s">
        <v>4946</v>
      </c>
      <c r="B837">
        <v>1</v>
      </c>
      <c r="C837">
        <v>0.161</v>
      </c>
    </row>
    <row r="838" spans="1:3" x14ac:dyDescent="0.3">
      <c r="A838" t="s">
        <v>4947</v>
      </c>
      <c r="B838">
        <v>1</v>
      </c>
      <c r="C838">
        <v>0.161</v>
      </c>
    </row>
    <row r="839" spans="1:3" x14ac:dyDescent="0.3">
      <c r="A839" t="s">
        <v>4948</v>
      </c>
      <c r="B839">
        <v>1</v>
      </c>
      <c r="C839">
        <v>0.161</v>
      </c>
    </row>
    <row r="840" spans="1:3" x14ac:dyDescent="0.3">
      <c r="A840" t="s">
        <v>4949</v>
      </c>
      <c r="B840">
        <v>1</v>
      </c>
      <c r="C840">
        <v>0.161</v>
      </c>
    </row>
    <row r="841" spans="1:3" x14ac:dyDescent="0.3">
      <c r="A841" t="s">
        <v>4950</v>
      </c>
      <c r="B841">
        <v>1</v>
      </c>
      <c r="C841">
        <v>0.161</v>
      </c>
    </row>
    <row r="842" spans="1:3" x14ac:dyDescent="0.3">
      <c r="A842" t="s">
        <v>4951</v>
      </c>
      <c r="B842">
        <v>1</v>
      </c>
      <c r="C842">
        <v>0.161</v>
      </c>
    </row>
    <row r="843" spans="1:3" x14ac:dyDescent="0.3">
      <c r="A843" t="s">
        <v>4952</v>
      </c>
      <c r="B843">
        <v>1</v>
      </c>
      <c r="C843">
        <v>0.161</v>
      </c>
    </row>
    <row r="844" spans="1:3" x14ac:dyDescent="0.3">
      <c r="A844" t="s">
        <v>4953</v>
      </c>
      <c r="B844">
        <v>1</v>
      </c>
      <c r="C844">
        <v>0.161</v>
      </c>
    </row>
    <row r="845" spans="1:3" x14ac:dyDescent="0.3">
      <c r="A845" t="s">
        <v>4954</v>
      </c>
      <c r="B845">
        <v>1</v>
      </c>
      <c r="C845">
        <v>0.161</v>
      </c>
    </row>
    <row r="846" spans="1:3" x14ac:dyDescent="0.3">
      <c r="A846" t="s">
        <v>4955</v>
      </c>
      <c r="B846">
        <v>1</v>
      </c>
      <c r="C846">
        <v>0.161</v>
      </c>
    </row>
    <row r="847" spans="1:3" x14ac:dyDescent="0.3">
      <c r="A847" t="s">
        <v>4956</v>
      </c>
      <c r="B847">
        <v>1</v>
      </c>
      <c r="C847">
        <v>0.161</v>
      </c>
    </row>
    <row r="848" spans="1:3" x14ac:dyDescent="0.3">
      <c r="A848" t="s">
        <v>4957</v>
      </c>
      <c r="B848">
        <v>1</v>
      </c>
      <c r="C848">
        <v>0.161</v>
      </c>
    </row>
    <row r="849" spans="1:3" x14ac:dyDescent="0.3">
      <c r="A849" t="s">
        <v>4958</v>
      </c>
      <c r="B849">
        <v>1</v>
      </c>
      <c r="C849">
        <v>0.161</v>
      </c>
    </row>
    <row r="850" spans="1:3" x14ac:dyDescent="0.3">
      <c r="A850" t="s">
        <v>4959</v>
      </c>
      <c r="B850">
        <v>1</v>
      </c>
      <c r="C850">
        <v>0.161</v>
      </c>
    </row>
    <row r="851" spans="1:3" x14ac:dyDescent="0.3">
      <c r="A851" t="s">
        <v>4960</v>
      </c>
      <c r="B851">
        <v>1</v>
      </c>
      <c r="C851">
        <v>0.161</v>
      </c>
    </row>
    <row r="852" spans="1:3" x14ac:dyDescent="0.3">
      <c r="A852" t="s">
        <v>4961</v>
      </c>
      <c r="B852">
        <v>1</v>
      </c>
      <c r="C852">
        <v>0.161</v>
      </c>
    </row>
    <row r="853" spans="1:3" x14ac:dyDescent="0.3">
      <c r="A853" t="s">
        <v>4962</v>
      </c>
      <c r="B853">
        <v>1</v>
      </c>
      <c r="C853">
        <v>0.161</v>
      </c>
    </row>
    <row r="854" spans="1:3" x14ac:dyDescent="0.3">
      <c r="A854" t="s">
        <v>4963</v>
      </c>
      <c r="B854">
        <v>1</v>
      </c>
      <c r="C854">
        <v>0.161</v>
      </c>
    </row>
    <row r="855" spans="1:3" x14ac:dyDescent="0.3">
      <c r="A855" t="s">
        <v>4964</v>
      </c>
      <c r="B855">
        <v>1</v>
      </c>
      <c r="C855">
        <v>0.161</v>
      </c>
    </row>
    <row r="856" spans="1:3" x14ac:dyDescent="0.3">
      <c r="A856" t="s">
        <v>4965</v>
      </c>
      <c r="B856">
        <v>1</v>
      </c>
      <c r="C856">
        <v>0.161</v>
      </c>
    </row>
    <row r="857" spans="1:3" x14ac:dyDescent="0.3">
      <c r="A857" t="s">
        <v>4966</v>
      </c>
      <c r="B857">
        <v>1</v>
      </c>
      <c r="C857">
        <v>0.161</v>
      </c>
    </row>
    <row r="858" spans="1:3" x14ac:dyDescent="0.3">
      <c r="A858" t="s">
        <v>4967</v>
      </c>
      <c r="B858">
        <v>1</v>
      </c>
      <c r="C858">
        <v>0.161</v>
      </c>
    </row>
    <row r="859" spans="1:3" x14ac:dyDescent="0.3">
      <c r="A859" t="s">
        <v>4968</v>
      </c>
      <c r="B859">
        <v>1</v>
      </c>
      <c r="C859">
        <v>0.161</v>
      </c>
    </row>
    <row r="860" spans="1:3" x14ac:dyDescent="0.3">
      <c r="A860" t="s">
        <v>4969</v>
      </c>
      <c r="B860">
        <v>1</v>
      </c>
      <c r="C860">
        <v>0.161</v>
      </c>
    </row>
    <row r="861" spans="1:3" x14ac:dyDescent="0.3">
      <c r="A861" t="s">
        <v>4970</v>
      </c>
      <c r="B861">
        <v>1</v>
      </c>
      <c r="C861">
        <v>0.161</v>
      </c>
    </row>
    <row r="862" spans="1:3" x14ac:dyDescent="0.3">
      <c r="A862" t="s">
        <v>4971</v>
      </c>
      <c r="B862">
        <v>1</v>
      </c>
      <c r="C862">
        <v>0.161</v>
      </c>
    </row>
    <row r="863" spans="1:3" x14ac:dyDescent="0.3">
      <c r="A863" t="s">
        <v>4972</v>
      </c>
      <c r="B863">
        <v>1</v>
      </c>
      <c r="C863">
        <v>0.161</v>
      </c>
    </row>
    <row r="864" spans="1:3" x14ac:dyDescent="0.3">
      <c r="A864" t="s">
        <v>4973</v>
      </c>
      <c r="B864">
        <v>1</v>
      </c>
      <c r="C864">
        <v>0.161</v>
      </c>
    </row>
    <row r="865" spans="1:3" x14ac:dyDescent="0.3">
      <c r="A865" t="s">
        <v>4974</v>
      </c>
      <c r="B865">
        <v>1</v>
      </c>
      <c r="C865">
        <v>0.161</v>
      </c>
    </row>
    <row r="866" spans="1:3" x14ac:dyDescent="0.3">
      <c r="A866" t="s">
        <v>4975</v>
      </c>
      <c r="B866">
        <v>1</v>
      </c>
      <c r="C866">
        <v>0.161</v>
      </c>
    </row>
    <row r="867" spans="1:3" x14ac:dyDescent="0.3">
      <c r="A867" t="s">
        <v>4976</v>
      </c>
      <c r="B867">
        <v>1</v>
      </c>
      <c r="C867">
        <v>0.161</v>
      </c>
    </row>
    <row r="868" spans="1:3" x14ac:dyDescent="0.3">
      <c r="A868" t="s">
        <v>4977</v>
      </c>
      <c r="B868">
        <v>1</v>
      </c>
      <c r="C868">
        <v>0.161</v>
      </c>
    </row>
    <row r="869" spans="1:3" x14ac:dyDescent="0.3">
      <c r="A869" t="s">
        <v>4978</v>
      </c>
      <c r="B869">
        <v>1</v>
      </c>
      <c r="C869">
        <v>0.161</v>
      </c>
    </row>
    <row r="870" spans="1:3" x14ac:dyDescent="0.3">
      <c r="A870" t="s">
        <v>4979</v>
      </c>
      <c r="B870">
        <v>1</v>
      </c>
      <c r="C870">
        <v>0.161</v>
      </c>
    </row>
    <row r="871" spans="1:3" x14ac:dyDescent="0.3">
      <c r="A871" t="s">
        <v>4980</v>
      </c>
      <c r="B871">
        <v>1</v>
      </c>
      <c r="C871">
        <v>0.161</v>
      </c>
    </row>
    <row r="872" spans="1:3" x14ac:dyDescent="0.3">
      <c r="A872" t="s">
        <v>4981</v>
      </c>
      <c r="B872">
        <v>1</v>
      </c>
      <c r="C872">
        <v>0.161</v>
      </c>
    </row>
    <row r="873" spans="1:3" x14ac:dyDescent="0.3">
      <c r="A873" t="s">
        <v>4982</v>
      </c>
      <c r="B873">
        <v>1</v>
      </c>
      <c r="C873">
        <v>0.161</v>
      </c>
    </row>
    <row r="874" spans="1:3" x14ac:dyDescent="0.3">
      <c r="A874" t="s">
        <v>4983</v>
      </c>
      <c r="B874">
        <v>1</v>
      </c>
      <c r="C874">
        <v>0.161</v>
      </c>
    </row>
    <row r="875" spans="1:3" x14ac:dyDescent="0.3">
      <c r="A875" t="s">
        <v>4984</v>
      </c>
      <c r="B875">
        <v>1</v>
      </c>
      <c r="C875">
        <v>0.161</v>
      </c>
    </row>
    <row r="876" spans="1:3" x14ac:dyDescent="0.3">
      <c r="A876" t="s">
        <v>4985</v>
      </c>
      <c r="B876">
        <v>1</v>
      </c>
      <c r="C876">
        <v>0.161</v>
      </c>
    </row>
    <row r="877" spans="1:3" x14ac:dyDescent="0.3">
      <c r="A877" t="s">
        <v>4986</v>
      </c>
      <c r="B877">
        <v>1</v>
      </c>
      <c r="C877">
        <v>0.161</v>
      </c>
    </row>
    <row r="878" spans="1:3" x14ac:dyDescent="0.3">
      <c r="A878" t="s">
        <v>4987</v>
      </c>
      <c r="B878">
        <v>1</v>
      </c>
      <c r="C878">
        <v>0.161</v>
      </c>
    </row>
    <row r="879" spans="1:3" x14ac:dyDescent="0.3">
      <c r="A879" t="s">
        <v>4988</v>
      </c>
      <c r="B879">
        <v>1</v>
      </c>
      <c r="C879">
        <v>0.161</v>
      </c>
    </row>
    <row r="880" spans="1:3" x14ac:dyDescent="0.3">
      <c r="A880" t="s">
        <v>4989</v>
      </c>
      <c r="B880">
        <v>1</v>
      </c>
      <c r="C880">
        <v>0.161</v>
      </c>
    </row>
    <row r="881" spans="1:3" x14ac:dyDescent="0.3">
      <c r="A881" t="s">
        <v>4990</v>
      </c>
      <c r="B881">
        <v>1</v>
      </c>
      <c r="C881">
        <v>0.161</v>
      </c>
    </row>
    <row r="882" spans="1:3" x14ac:dyDescent="0.3">
      <c r="A882" t="s">
        <v>4991</v>
      </c>
      <c r="B882">
        <v>1</v>
      </c>
      <c r="C882">
        <v>0.161</v>
      </c>
    </row>
    <row r="883" spans="1:3" x14ac:dyDescent="0.3">
      <c r="A883" t="s">
        <v>4992</v>
      </c>
      <c r="B883">
        <v>1</v>
      </c>
      <c r="C883">
        <v>0.161</v>
      </c>
    </row>
    <row r="884" spans="1:3" x14ac:dyDescent="0.3">
      <c r="A884" t="s">
        <v>4993</v>
      </c>
      <c r="B884">
        <v>1</v>
      </c>
      <c r="C884">
        <v>0.161</v>
      </c>
    </row>
    <row r="885" spans="1:3" x14ac:dyDescent="0.3">
      <c r="A885" t="s">
        <v>4994</v>
      </c>
      <c r="B885">
        <v>1</v>
      </c>
      <c r="C885">
        <v>0.161</v>
      </c>
    </row>
    <row r="886" spans="1:3" x14ac:dyDescent="0.3">
      <c r="A886" t="s">
        <v>4995</v>
      </c>
      <c r="B886">
        <v>1</v>
      </c>
      <c r="C886">
        <v>0.161</v>
      </c>
    </row>
    <row r="887" spans="1:3" x14ac:dyDescent="0.3">
      <c r="A887" t="s">
        <v>4996</v>
      </c>
      <c r="B887">
        <v>1</v>
      </c>
      <c r="C887">
        <v>0.161</v>
      </c>
    </row>
    <row r="888" spans="1:3" x14ac:dyDescent="0.3">
      <c r="A888" t="s">
        <v>4997</v>
      </c>
      <c r="B888">
        <v>1</v>
      </c>
      <c r="C888">
        <v>0.161</v>
      </c>
    </row>
    <row r="889" spans="1:3" x14ac:dyDescent="0.3">
      <c r="A889" t="s">
        <v>4998</v>
      </c>
      <c r="B889">
        <v>1</v>
      </c>
      <c r="C889">
        <v>0.161</v>
      </c>
    </row>
    <row r="890" spans="1:3" x14ac:dyDescent="0.3">
      <c r="A890" t="s">
        <v>4999</v>
      </c>
      <c r="B890">
        <v>1</v>
      </c>
      <c r="C890">
        <v>0.161</v>
      </c>
    </row>
    <row r="891" spans="1:3" x14ac:dyDescent="0.3">
      <c r="A891" t="s">
        <v>5000</v>
      </c>
      <c r="B891">
        <v>1</v>
      </c>
      <c r="C891">
        <v>0.161</v>
      </c>
    </row>
    <row r="892" spans="1:3" x14ac:dyDescent="0.3">
      <c r="A892" t="s">
        <v>5001</v>
      </c>
      <c r="B892">
        <v>1</v>
      </c>
      <c r="C892">
        <v>0.161</v>
      </c>
    </row>
    <row r="893" spans="1:3" x14ac:dyDescent="0.3">
      <c r="A893" t="s">
        <v>5002</v>
      </c>
      <c r="B893">
        <v>1</v>
      </c>
      <c r="C893">
        <v>0.161</v>
      </c>
    </row>
    <row r="894" spans="1:3" x14ac:dyDescent="0.3">
      <c r="A894" t="s">
        <v>5003</v>
      </c>
      <c r="B894">
        <v>1</v>
      </c>
      <c r="C894">
        <v>0.161</v>
      </c>
    </row>
    <row r="895" spans="1:3" x14ac:dyDescent="0.3">
      <c r="A895" t="s">
        <v>5004</v>
      </c>
      <c r="B895">
        <v>1</v>
      </c>
      <c r="C895">
        <v>0.161</v>
      </c>
    </row>
    <row r="896" spans="1:3" x14ac:dyDescent="0.3">
      <c r="A896" t="s">
        <v>5005</v>
      </c>
      <c r="B896">
        <v>1</v>
      </c>
      <c r="C896">
        <v>0.161</v>
      </c>
    </row>
    <row r="897" spans="1:3" x14ac:dyDescent="0.3">
      <c r="A897" t="s">
        <v>5006</v>
      </c>
      <c r="B897">
        <v>1</v>
      </c>
      <c r="C897">
        <v>0.161</v>
      </c>
    </row>
    <row r="898" spans="1:3" x14ac:dyDescent="0.3">
      <c r="A898" t="s">
        <v>5007</v>
      </c>
      <c r="B898">
        <v>1</v>
      </c>
      <c r="C898">
        <v>0.161</v>
      </c>
    </row>
    <row r="899" spans="1:3" x14ac:dyDescent="0.3">
      <c r="A899" t="s">
        <v>5008</v>
      </c>
      <c r="B899">
        <v>1</v>
      </c>
      <c r="C899">
        <v>0.161</v>
      </c>
    </row>
    <row r="900" spans="1:3" x14ac:dyDescent="0.3">
      <c r="A900" t="s">
        <v>5009</v>
      </c>
      <c r="B900">
        <v>1</v>
      </c>
      <c r="C900">
        <v>0.161</v>
      </c>
    </row>
    <row r="901" spans="1:3" x14ac:dyDescent="0.3">
      <c r="A901" t="s">
        <v>5010</v>
      </c>
      <c r="B901">
        <v>1</v>
      </c>
      <c r="C901">
        <v>0.161</v>
      </c>
    </row>
    <row r="902" spans="1:3" x14ac:dyDescent="0.3">
      <c r="A902" t="s">
        <v>5011</v>
      </c>
      <c r="B902">
        <v>1</v>
      </c>
      <c r="C902">
        <v>0.161</v>
      </c>
    </row>
    <row r="903" spans="1:3" x14ac:dyDescent="0.3">
      <c r="A903" t="s">
        <v>5012</v>
      </c>
      <c r="B903">
        <v>1</v>
      </c>
      <c r="C903">
        <v>0.161</v>
      </c>
    </row>
    <row r="904" spans="1:3" x14ac:dyDescent="0.3">
      <c r="A904" t="s">
        <v>5013</v>
      </c>
      <c r="B904">
        <v>1</v>
      </c>
      <c r="C904">
        <v>0.161</v>
      </c>
    </row>
    <row r="905" spans="1:3" x14ac:dyDescent="0.3">
      <c r="A905" t="s">
        <v>5014</v>
      </c>
      <c r="B905">
        <v>1</v>
      </c>
      <c r="C905">
        <v>0.161</v>
      </c>
    </row>
    <row r="906" spans="1:3" x14ac:dyDescent="0.3">
      <c r="A906" t="s">
        <v>5015</v>
      </c>
      <c r="B906">
        <v>1</v>
      </c>
      <c r="C906">
        <v>0.161</v>
      </c>
    </row>
    <row r="907" spans="1:3" x14ac:dyDescent="0.3">
      <c r="A907" t="s">
        <v>5016</v>
      </c>
      <c r="B907">
        <v>1</v>
      </c>
      <c r="C907">
        <v>0.161</v>
      </c>
    </row>
    <row r="908" spans="1:3" x14ac:dyDescent="0.3">
      <c r="A908" t="s">
        <v>5017</v>
      </c>
      <c r="B908">
        <v>1</v>
      </c>
      <c r="C908">
        <v>0.161</v>
      </c>
    </row>
    <row r="909" spans="1:3" x14ac:dyDescent="0.3">
      <c r="A909" t="s">
        <v>5018</v>
      </c>
      <c r="B909">
        <v>1</v>
      </c>
      <c r="C909">
        <v>0.161</v>
      </c>
    </row>
    <row r="910" spans="1:3" x14ac:dyDescent="0.3">
      <c r="A910" t="s">
        <v>5019</v>
      </c>
      <c r="B910">
        <v>1</v>
      </c>
      <c r="C910">
        <v>0.161</v>
      </c>
    </row>
    <row r="911" spans="1:3" x14ac:dyDescent="0.3">
      <c r="A911" t="s">
        <v>5020</v>
      </c>
      <c r="B911">
        <v>1</v>
      </c>
      <c r="C911">
        <v>0.161</v>
      </c>
    </row>
    <row r="912" spans="1:3" x14ac:dyDescent="0.3">
      <c r="A912" t="s">
        <v>5021</v>
      </c>
      <c r="B912">
        <v>1</v>
      </c>
      <c r="C912">
        <v>0.161</v>
      </c>
    </row>
    <row r="913" spans="1:3" x14ac:dyDescent="0.3">
      <c r="A913" t="s">
        <v>5022</v>
      </c>
      <c r="B913">
        <v>1</v>
      </c>
      <c r="C913">
        <v>0.161</v>
      </c>
    </row>
    <row r="914" spans="1:3" x14ac:dyDescent="0.3">
      <c r="A914" t="s">
        <v>5023</v>
      </c>
      <c r="B914">
        <v>1</v>
      </c>
      <c r="C914">
        <v>0.161</v>
      </c>
    </row>
    <row r="915" spans="1:3" x14ac:dyDescent="0.3">
      <c r="A915" t="s">
        <v>5024</v>
      </c>
      <c r="B915">
        <v>1</v>
      </c>
      <c r="C915">
        <v>0.161</v>
      </c>
    </row>
    <row r="916" spans="1:3" x14ac:dyDescent="0.3">
      <c r="A916" t="s">
        <v>5025</v>
      </c>
      <c r="B916">
        <v>1</v>
      </c>
      <c r="C916">
        <v>0.161</v>
      </c>
    </row>
    <row r="917" spans="1:3" x14ac:dyDescent="0.3">
      <c r="A917" t="s">
        <v>5026</v>
      </c>
      <c r="B917">
        <v>1</v>
      </c>
      <c r="C917">
        <v>0.161</v>
      </c>
    </row>
    <row r="918" spans="1:3" x14ac:dyDescent="0.3">
      <c r="A918" t="s">
        <v>5027</v>
      </c>
      <c r="B918">
        <v>1</v>
      </c>
      <c r="C918">
        <v>0.161</v>
      </c>
    </row>
    <row r="919" spans="1:3" x14ac:dyDescent="0.3">
      <c r="A919" t="s">
        <v>5028</v>
      </c>
      <c r="B919">
        <v>1</v>
      </c>
      <c r="C919">
        <v>0.161</v>
      </c>
    </row>
    <row r="920" spans="1:3" x14ac:dyDescent="0.3">
      <c r="A920" t="s">
        <v>5029</v>
      </c>
      <c r="B920">
        <v>1</v>
      </c>
      <c r="C920">
        <v>0.161</v>
      </c>
    </row>
    <row r="921" spans="1:3" x14ac:dyDescent="0.3">
      <c r="A921" t="s">
        <v>5030</v>
      </c>
      <c r="B921">
        <v>1</v>
      </c>
      <c r="C921">
        <v>0.161</v>
      </c>
    </row>
    <row r="922" spans="1:3" x14ac:dyDescent="0.3">
      <c r="A922" t="s">
        <v>5031</v>
      </c>
      <c r="B922">
        <v>1</v>
      </c>
      <c r="C922">
        <v>0.161</v>
      </c>
    </row>
    <row r="923" spans="1:3" x14ac:dyDescent="0.3">
      <c r="A923" t="s">
        <v>5032</v>
      </c>
      <c r="B923">
        <v>1</v>
      </c>
      <c r="C923">
        <v>0.161</v>
      </c>
    </row>
    <row r="924" spans="1:3" x14ac:dyDescent="0.3">
      <c r="A924" t="s">
        <v>5033</v>
      </c>
      <c r="B924">
        <v>1</v>
      </c>
      <c r="C924">
        <v>0.161</v>
      </c>
    </row>
    <row r="925" spans="1:3" x14ac:dyDescent="0.3">
      <c r="A925" t="s">
        <v>5034</v>
      </c>
      <c r="B925">
        <v>1</v>
      </c>
      <c r="C925">
        <v>0.161</v>
      </c>
    </row>
    <row r="926" spans="1:3" x14ac:dyDescent="0.3">
      <c r="A926" t="s">
        <v>5035</v>
      </c>
      <c r="B926">
        <v>1</v>
      </c>
      <c r="C926">
        <v>0.161</v>
      </c>
    </row>
    <row r="927" spans="1:3" x14ac:dyDescent="0.3">
      <c r="A927" t="s">
        <v>5036</v>
      </c>
      <c r="B927">
        <v>1</v>
      </c>
      <c r="C927">
        <v>0.161</v>
      </c>
    </row>
    <row r="928" spans="1:3" x14ac:dyDescent="0.3">
      <c r="A928" t="s">
        <v>5037</v>
      </c>
      <c r="B928">
        <v>1</v>
      </c>
      <c r="C928">
        <v>0.161</v>
      </c>
    </row>
    <row r="929" spans="1:3" x14ac:dyDescent="0.3">
      <c r="A929" t="s">
        <v>5038</v>
      </c>
      <c r="B929">
        <v>1</v>
      </c>
      <c r="C929">
        <v>0.161</v>
      </c>
    </row>
    <row r="930" spans="1:3" x14ac:dyDescent="0.3">
      <c r="A930" t="s">
        <v>5039</v>
      </c>
      <c r="B930">
        <v>1</v>
      </c>
      <c r="C930">
        <v>0.161</v>
      </c>
    </row>
    <row r="931" spans="1:3" x14ac:dyDescent="0.3">
      <c r="A931" t="s">
        <v>5040</v>
      </c>
      <c r="B931">
        <v>1</v>
      </c>
      <c r="C931">
        <v>0.161</v>
      </c>
    </row>
    <row r="932" spans="1:3" x14ac:dyDescent="0.3">
      <c r="A932" t="s">
        <v>5041</v>
      </c>
      <c r="B932">
        <v>1</v>
      </c>
      <c r="C932">
        <v>0.161</v>
      </c>
    </row>
    <row r="933" spans="1:3" x14ac:dyDescent="0.3">
      <c r="A933" t="s">
        <v>5042</v>
      </c>
      <c r="B933">
        <v>1</v>
      </c>
      <c r="C933">
        <v>0.161</v>
      </c>
    </row>
    <row r="934" spans="1:3" x14ac:dyDescent="0.3">
      <c r="A934" t="s">
        <v>5043</v>
      </c>
      <c r="B934">
        <v>1</v>
      </c>
      <c r="C934">
        <v>0.161</v>
      </c>
    </row>
    <row r="935" spans="1:3" x14ac:dyDescent="0.3">
      <c r="A935" t="s">
        <v>5044</v>
      </c>
      <c r="B935">
        <v>1</v>
      </c>
      <c r="C935">
        <v>0.161</v>
      </c>
    </row>
    <row r="936" spans="1:3" x14ac:dyDescent="0.3">
      <c r="A936" t="s">
        <v>5045</v>
      </c>
      <c r="B936">
        <v>1</v>
      </c>
      <c r="C936">
        <v>0.161</v>
      </c>
    </row>
    <row r="937" spans="1:3" x14ac:dyDescent="0.3">
      <c r="A937" t="s">
        <v>5046</v>
      </c>
      <c r="B937">
        <v>1</v>
      </c>
      <c r="C937">
        <v>0.161</v>
      </c>
    </row>
    <row r="938" spans="1:3" x14ac:dyDescent="0.3">
      <c r="A938" t="s">
        <v>5047</v>
      </c>
      <c r="B938">
        <v>1</v>
      </c>
      <c r="C938">
        <v>0.161</v>
      </c>
    </row>
    <row r="939" spans="1:3" x14ac:dyDescent="0.3">
      <c r="A939" t="s">
        <v>5048</v>
      </c>
      <c r="B939">
        <v>1</v>
      </c>
      <c r="C939">
        <v>0.161</v>
      </c>
    </row>
    <row r="940" spans="1:3" x14ac:dyDescent="0.3">
      <c r="A940" t="s">
        <v>5049</v>
      </c>
      <c r="B940">
        <v>1</v>
      </c>
      <c r="C940">
        <v>0.161</v>
      </c>
    </row>
    <row r="941" spans="1:3" x14ac:dyDescent="0.3">
      <c r="A941" t="s">
        <v>5050</v>
      </c>
      <c r="B941">
        <v>1</v>
      </c>
      <c r="C941">
        <v>0.161</v>
      </c>
    </row>
    <row r="942" spans="1:3" x14ac:dyDescent="0.3">
      <c r="A942" t="s">
        <v>5051</v>
      </c>
      <c r="B942">
        <v>1</v>
      </c>
      <c r="C942">
        <v>0.161</v>
      </c>
    </row>
    <row r="943" spans="1:3" x14ac:dyDescent="0.3">
      <c r="A943" t="s">
        <v>5052</v>
      </c>
      <c r="B943">
        <v>1</v>
      </c>
      <c r="C943">
        <v>0.161</v>
      </c>
    </row>
    <row r="944" spans="1:3" x14ac:dyDescent="0.3">
      <c r="A944" t="s">
        <v>5053</v>
      </c>
      <c r="B944">
        <v>1</v>
      </c>
      <c r="C944">
        <v>0.161</v>
      </c>
    </row>
    <row r="945" spans="1:3" x14ac:dyDescent="0.3">
      <c r="A945" t="s">
        <v>5054</v>
      </c>
      <c r="B945">
        <v>1</v>
      </c>
      <c r="C945">
        <v>0.161</v>
      </c>
    </row>
    <row r="946" spans="1:3" x14ac:dyDescent="0.3">
      <c r="A946" t="s">
        <v>5055</v>
      </c>
      <c r="B946">
        <v>1</v>
      </c>
      <c r="C946">
        <v>0.161</v>
      </c>
    </row>
    <row r="947" spans="1:3" x14ac:dyDescent="0.3">
      <c r="A947" t="s">
        <v>5056</v>
      </c>
      <c r="B947">
        <v>1</v>
      </c>
      <c r="C947">
        <v>0.161</v>
      </c>
    </row>
    <row r="948" spans="1:3" x14ac:dyDescent="0.3">
      <c r="A948" t="s">
        <v>5057</v>
      </c>
      <c r="B948">
        <v>1</v>
      </c>
      <c r="C948">
        <v>0.161</v>
      </c>
    </row>
    <row r="949" spans="1:3" x14ac:dyDescent="0.3">
      <c r="A949" t="s">
        <v>5058</v>
      </c>
      <c r="B949">
        <v>1</v>
      </c>
      <c r="C949">
        <v>0.161</v>
      </c>
    </row>
    <row r="950" spans="1:3" x14ac:dyDescent="0.3">
      <c r="A950" t="s">
        <v>5059</v>
      </c>
      <c r="B950">
        <v>1</v>
      </c>
      <c r="C950">
        <v>0.161</v>
      </c>
    </row>
    <row r="951" spans="1:3" x14ac:dyDescent="0.3">
      <c r="A951" t="s">
        <v>5060</v>
      </c>
      <c r="B951">
        <v>1</v>
      </c>
      <c r="C951">
        <v>0.161</v>
      </c>
    </row>
    <row r="952" spans="1:3" x14ac:dyDescent="0.3">
      <c r="A952" t="s">
        <v>5061</v>
      </c>
      <c r="B952">
        <v>1</v>
      </c>
      <c r="C952">
        <v>0.161</v>
      </c>
    </row>
    <row r="953" spans="1:3" x14ac:dyDescent="0.3">
      <c r="A953" t="s">
        <v>5062</v>
      </c>
      <c r="B953">
        <v>1</v>
      </c>
      <c r="C953">
        <v>0.161</v>
      </c>
    </row>
    <row r="954" spans="1:3" x14ac:dyDescent="0.3">
      <c r="A954" t="s">
        <v>5063</v>
      </c>
      <c r="B954">
        <v>1</v>
      </c>
      <c r="C954">
        <v>0.161</v>
      </c>
    </row>
    <row r="955" spans="1:3" x14ac:dyDescent="0.3">
      <c r="A955" t="s">
        <v>5064</v>
      </c>
      <c r="B955">
        <v>1</v>
      </c>
      <c r="C955">
        <v>0.161</v>
      </c>
    </row>
    <row r="956" spans="1:3" x14ac:dyDescent="0.3">
      <c r="A956" t="s">
        <v>5065</v>
      </c>
      <c r="B956">
        <v>1</v>
      </c>
      <c r="C956">
        <v>0.161</v>
      </c>
    </row>
    <row r="957" spans="1:3" x14ac:dyDescent="0.3">
      <c r="A957" t="s">
        <v>5066</v>
      </c>
      <c r="B957">
        <v>1</v>
      </c>
      <c r="C957">
        <v>0.161</v>
      </c>
    </row>
    <row r="958" spans="1:3" x14ac:dyDescent="0.3">
      <c r="A958" t="s">
        <v>5067</v>
      </c>
      <c r="B958">
        <v>1</v>
      </c>
      <c r="C958">
        <v>0.161</v>
      </c>
    </row>
    <row r="959" spans="1:3" x14ac:dyDescent="0.3">
      <c r="A959" t="s">
        <v>5068</v>
      </c>
      <c r="B959">
        <v>1</v>
      </c>
      <c r="C959">
        <v>0.161</v>
      </c>
    </row>
    <row r="960" spans="1:3" x14ac:dyDescent="0.3">
      <c r="A960" t="s">
        <v>5069</v>
      </c>
      <c r="B960">
        <v>1</v>
      </c>
      <c r="C960">
        <v>0.161</v>
      </c>
    </row>
    <row r="961" spans="1:3" x14ac:dyDescent="0.3">
      <c r="A961" t="s">
        <v>5070</v>
      </c>
      <c r="B961">
        <v>1</v>
      </c>
      <c r="C961">
        <v>0.161</v>
      </c>
    </row>
    <row r="962" spans="1:3" x14ac:dyDescent="0.3">
      <c r="A962" t="s">
        <v>5071</v>
      </c>
      <c r="B962">
        <v>1</v>
      </c>
      <c r="C962">
        <v>0.161</v>
      </c>
    </row>
    <row r="963" spans="1:3" x14ac:dyDescent="0.3">
      <c r="A963" t="s">
        <v>5072</v>
      </c>
      <c r="B963">
        <v>1</v>
      </c>
      <c r="C963">
        <v>0.161</v>
      </c>
    </row>
    <row r="964" spans="1:3" x14ac:dyDescent="0.3">
      <c r="A964" t="s">
        <v>5073</v>
      </c>
      <c r="B964">
        <v>1</v>
      </c>
      <c r="C964">
        <v>0.161</v>
      </c>
    </row>
    <row r="965" spans="1:3" x14ac:dyDescent="0.3">
      <c r="A965" t="s">
        <v>5074</v>
      </c>
      <c r="B965">
        <v>1</v>
      </c>
      <c r="C965">
        <v>0.161</v>
      </c>
    </row>
    <row r="966" spans="1:3" x14ac:dyDescent="0.3">
      <c r="A966" t="s">
        <v>5075</v>
      </c>
      <c r="B966">
        <v>1</v>
      </c>
      <c r="C966">
        <v>0.161</v>
      </c>
    </row>
    <row r="967" spans="1:3" x14ac:dyDescent="0.3">
      <c r="A967" t="s">
        <v>5076</v>
      </c>
      <c r="B967">
        <v>1</v>
      </c>
      <c r="C967">
        <v>0.161</v>
      </c>
    </row>
    <row r="968" spans="1:3" x14ac:dyDescent="0.3">
      <c r="A968" t="s">
        <v>5077</v>
      </c>
      <c r="B968">
        <v>1</v>
      </c>
      <c r="C968">
        <v>0.161</v>
      </c>
    </row>
    <row r="969" spans="1:3" x14ac:dyDescent="0.3">
      <c r="A969" t="s">
        <v>5078</v>
      </c>
      <c r="B969">
        <v>1</v>
      </c>
      <c r="C969">
        <v>0.161</v>
      </c>
    </row>
    <row r="970" spans="1:3" x14ac:dyDescent="0.3">
      <c r="A970" t="s">
        <v>5079</v>
      </c>
      <c r="B970">
        <v>1</v>
      </c>
      <c r="C970">
        <v>0.161</v>
      </c>
    </row>
    <row r="971" spans="1:3" x14ac:dyDescent="0.3">
      <c r="A971" t="s">
        <v>5080</v>
      </c>
      <c r="B971">
        <v>1</v>
      </c>
      <c r="C971">
        <v>0.161</v>
      </c>
    </row>
    <row r="972" spans="1:3" x14ac:dyDescent="0.3">
      <c r="A972" t="s">
        <v>5081</v>
      </c>
      <c r="B972">
        <v>1</v>
      </c>
      <c r="C972">
        <v>0.161</v>
      </c>
    </row>
    <row r="973" spans="1:3" x14ac:dyDescent="0.3">
      <c r="A973" t="s">
        <v>5082</v>
      </c>
      <c r="B973">
        <v>1</v>
      </c>
      <c r="C973">
        <v>0.161</v>
      </c>
    </row>
    <row r="974" spans="1:3" x14ac:dyDescent="0.3">
      <c r="A974" t="s">
        <v>5083</v>
      </c>
      <c r="B974">
        <v>1</v>
      </c>
      <c r="C974">
        <v>0.161</v>
      </c>
    </row>
    <row r="975" spans="1:3" x14ac:dyDescent="0.3">
      <c r="A975" t="s">
        <v>5084</v>
      </c>
      <c r="B975">
        <v>1</v>
      </c>
      <c r="C975">
        <v>0.161</v>
      </c>
    </row>
    <row r="976" spans="1:3" x14ac:dyDescent="0.3">
      <c r="A976" t="s">
        <v>5085</v>
      </c>
      <c r="B976">
        <v>1</v>
      </c>
      <c r="C976">
        <v>0.161</v>
      </c>
    </row>
    <row r="977" spans="1:3" x14ac:dyDescent="0.3">
      <c r="A977" t="s">
        <v>5086</v>
      </c>
      <c r="B977">
        <v>1</v>
      </c>
      <c r="C977">
        <v>0.161</v>
      </c>
    </row>
    <row r="978" spans="1:3" x14ac:dyDescent="0.3">
      <c r="A978" t="s">
        <v>5087</v>
      </c>
      <c r="B978">
        <v>1</v>
      </c>
      <c r="C978">
        <v>0.161</v>
      </c>
    </row>
    <row r="979" spans="1:3" x14ac:dyDescent="0.3">
      <c r="A979" t="s">
        <v>5088</v>
      </c>
      <c r="B979">
        <v>1</v>
      </c>
      <c r="C979">
        <v>0.161</v>
      </c>
    </row>
    <row r="980" spans="1:3" x14ac:dyDescent="0.3">
      <c r="A980" t="s">
        <v>5089</v>
      </c>
      <c r="B980">
        <v>1</v>
      </c>
      <c r="C980">
        <v>0.161</v>
      </c>
    </row>
    <row r="981" spans="1:3" x14ac:dyDescent="0.3">
      <c r="A981" t="s">
        <v>5090</v>
      </c>
      <c r="B981">
        <v>1</v>
      </c>
      <c r="C981">
        <v>0.161</v>
      </c>
    </row>
    <row r="982" spans="1:3" x14ac:dyDescent="0.3">
      <c r="A982" t="s">
        <v>5091</v>
      </c>
      <c r="B982">
        <v>1</v>
      </c>
      <c r="C982">
        <v>0.161</v>
      </c>
    </row>
    <row r="983" spans="1:3" x14ac:dyDescent="0.3">
      <c r="A983" t="s">
        <v>5092</v>
      </c>
      <c r="B983">
        <v>1</v>
      </c>
      <c r="C983">
        <v>0.161</v>
      </c>
    </row>
    <row r="984" spans="1:3" x14ac:dyDescent="0.3">
      <c r="A984" t="s">
        <v>5093</v>
      </c>
      <c r="B984">
        <v>1</v>
      </c>
      <c r="C984">
        <v>0.161</v>
      </c>
    </row>
    <row r="985" spans="1:3" x14ac:dyDescent="0.3">
      <c r="A985" t="s">
        <v>5094</v>
      </c>
      <c r="B985">
        <v>1</v>
      </c>
      <c r="C985">
        <v>0.161</v>
      </c>
    </row>
    <row r="986" spans="1:3" x14ac:dyDescent="0.3">
      <c r="A986" t="s">
        <v>5095</v>
      </c>
      <c r="B986">
        <v>1</v>
      </c>
      <c r="C986">
        <v>0.161</v>
      </c>
    </row>
    <row r="987" spans="1:3" x14ac:dyDescent="0.3">
      <c r="A987" t="s">
        <v>5096</v>
      </c>
      <c r="B987">
        <v>1</v>
      </c>
      <c r="C987">
        <v>0.161</v>
      </c>
    </row>
    <row r="988" spans="1:3" x14ac:dyDescent="0.3">
      <c r="A988" t="s">
        <v>5097</v>
      </c>
      <c r="B988">
        <v>1</v>
      </c>
      <c r="C988">
        <v>0.161</v>
      </c>
    </row>
    <row r="989" spans="1:3" x14ac:dyDescent="0.3">
      <c r="A989" t="s">
        <v>5098</v>
      </c>
      <c r="B989">
        <v>1</v>
      </c>
      <c r="C989">
        <v>0.161</v>
      </c>
    </row>
    <row r="990" spans="1:3" x14ac:dyDescent="0.3">
      <c r="A990" t="s">
        <v>5099</v>
      </c>
      <c r="B990">
        <v>1</v>
      </c>
      <c r="C990">
        <v>0.161</v>
      </c>
    </row>
    <row r="991" spans="1:3" x14ac:dyDescent="0.3">
      <c r="A991" t="s">
        <v>5100</v>
      </c>
      <c r="B991">
        <v>1</v>
      </c>
      <c r="C991">
        <v>0.161</v>
      </c>
    </row>
    <row r="992" spans="1:3" x14ac:dyDescent="0.3">
      <c r="A992" t="s">
        <v>5101</v>
      </c>
      <c r="B992">
        <v>1</v>
      </c>
      <c r="C992">
        <v>0.161</v>
      </c>
    </row>
    <row r="993" spans="1:3" x14ac:dyDescent="0.3">
      <c r="A993" t="s">
        <v>5102</v>
      </c>
      <c r="B993">
        <v>1</v>
      </c>
      <c r="C993">
        <v>0.161</v>
      </c>
    </row>
    <row r="994" spans="1:3" x14ac:dyDescent="0.3">
      <c r="A994" t="s">
        <v>5103</v>
      </c>
      <c r="B994">
        <v>1</v>
      </c>
      <c r="C994">
        <v>0.161</v>
      </c>
    </row>
    <row r="995" spans="1:3" x14ac:dyDescent="0.3">
      <c r="A995" t="s">
        <v>5104</v>
      </c>
      <c r="B995">
        <v>1</v>
      </c>
      <c r="C995">
        <v>0.161</v>
      </c>
    </row>
    <row r="996" spans="1:3" x14ac:dyDescent="0.3">
      <c r="A996" t="s">
        <v>5105</v>
      </c>
      <c r="B996">
        <v>1</v>
      </c>
      <c r="C996">
        <v>0.161</v>
      </c>
    </row>
    <row r="997" spans="1:3" x14ac:dyDescent="0.3">
      <c r="A997" t="s">
        <v>5106</v>
      </c>
      <c r="B997">
        <v>1</v>
      </c>
      <c r="C997">
        <v>0.161</v>
      </c>
    </row>
    <row r="998" spans="1:3" x14ac:dyDescent="0.3">
      <c r="A998" t="s">
        <v>5107</v>
      </c>
      <c r="B998">
        <v>1</v>
      </c>
      <c r="C998">
        <v>0.161</v>
      </c>
    </row>
    <row r="999" spans="1:3" x14ac:dyDescent="0.3">
      <c r="A999" t="s">
        <v>5108</v>
      </c>
      <c r="B999">
        <v>1</v>
      </c>
      <c r="C999">
        <v>0.161</v>
      </c>
    </row>
    <row r="1000" spans="1:3" x14ac:dyDescent="0.3">
      <c r="A1000" t="s">
        <v>5109</v>
      </c>
      <c r="B1000">
        <v>1</v>
      </c>
      <c r="C1000">
        <v>0.161</v>
      </c>
    </row>
    <row r="1001" spans="1:3" x14ac:dyDescent="0.3">
      <c r="A1001" t="s">
        <v>5110</v>
      </c>
      <c r="B1001">
        <v>1</v>
      </c>
      <c r="C1001">
        <v>0.161</v>
      </c>
    </row>
    <row r="1002" spans="1:3" x14ac:dyDescent="0.3">
      <c r="A1002" t="s">
        <v>5111</v>
      </c>
      <c r="B1002">
        <v>1</v>
      </c>
      <c r="C1002">
        <v>0.161</v>
      </c>
    </row>
    <row r="1003" spans="1:3" x14ac:dyDescent="0.3">
      <c r="A1003" t="s">
        <v>5112</v>
      </c>
      <c r="B1003">
        <v>1</v>
      </c>
      <c r="C1003">
        <v>0.161</v>
      </c>
    </row>
    <row r="1004" spans="1:3" x14ac:dyDescent="0.3">
      <c r="A1004" t="s">
        <v>5113</v>
      </c>
      <c r="B1004">
        <v>1</v>
      </c>
      <c r="C1004">
        <v>0.161</v>
      </c>
    </row>
    <row r="1005" spans="1:3" x14ac:dyDescent="0.3">
      <c r="A1005" t="s">
        <v>5114</v>
      </c>
      <c r="B1005">
        <v>1</v>
      </c>
      <c r="C1005">
        <v>0.161</v>
      </c>
    </row>
    <row r="1006" spans="1:3" x14ac:dyDescent="0.3">
      <c r="A1006" t="s">
        <v>5115</v>
      </c>
      <c r="B1006">
        <v>1</v>
      </c>
      <c r="C1006">
        <v>0.161</v>
      </c>
    </row>
    <row r="1007" spans="1:3" x14ac:dyDescent="0.3">
      <c r="A1007" t="s">
        <v>5116</v>
      </c>
      <c r="B1007">
        <v>1</v>
      </c>
      <c r="C1007">
        <v>0.161</v>
      </c>
    </row>
    <row r="1008" spans="1:3" x14ac:dyDescent="0.3">
      <c r="A1008" t="s">
        <v>5117</v>
      </c>
      <c r="B1008">
        <v>1</v>
      </c>
      <c r="C1008">
        <v>0.161</v>
      </c>
    </row>
    <row r="1009" spans="1:3" x14ac:dyDescent="0.3">
      <c r="A1009" t="s">
        <v>5118</v>
      </c>
      <c r="B1009">
        <v>1</v>
      </c>
      <c r="C1009">
        <v>0.161</v>
      </c>
    </row>
    <row r="1010" spans="1:3" x14ac:dyDescent="0.3">
      <c r="A1010" t="s">
        <v>5119</v>
      </c>
      <c r="B1010">
        <v>1</v>
      </c>
      <c r="C1010">
        <v>0.161</v>
      </c>
    </row>
    <row r="1011" spans="1:3" x14ac:dyDescent="0.3">
      <c r="A1011" t="s">
        <v>5120</v>
      </c>
      <c r="B1011">
        <v>1</v>
      </c>
      <c r="C1011">
        <v>0.161</v>
      </c>
    </row>
    <row r="1012" spans="1:3" x14ac:dyDescent="0.3">
      <c r="A1012" t="s">
        <v>5121</v>
      </c>
      <c r="B1012">
        <v>1</v>
      </c>
      <c r="C1012">
        <v>0.161</v>
      </c>
    </row>
    <row r="1013" spans="1:3" x14ac:dyDescent="0.3">
      <c r="A1013" t="s">
        <v>5122</v>
      </c>
      <c r="B1013">
        <v>1</v>
      </c>
      <c r="C1013">
        <v>0.161</v>
      </c>
    </row>
    <row r="1014" spans="1:3" x14ac:dyDescent="0.3">
      <c r="A1014" t="s">
        <v>5123</v>
      </c>
      <c r="B1014">
        <v>1</v>
      </c>
      <c r="C1014">
        <v>0.161</v>
      </c>
    </row>
    <row r="1015" spans="1:3" x14ac:dyDescent="0.3">
      <c r="A1015" t="s">
        <v>5124</v>
      </c>
      <c r="B1015">
        <v>1</v>
      </c>
      <c r="C1015">
        <v>0.161</v>
      </c>
    </row>
    <row r="1016" spans="1:3" x14ac:dyDescent="0.3">
      <c r="A1016" t="s">
        <v>5125</v>
      </c>
      <c r="B1016">
        <v>1</v>
      </c>
      <c r="C1016">
        <v>0.161</v>
      </c>
    </row>
    <row r="1017" spans="1:3" x14ac:dyDescent="0.3">
      <c r="A1017" t="s">
        <v>5126</v>
      </c>
      <c r="B1017">
        <v>1</v>
      </c>
      <c r="C1017">
        <v>0.161</v>
      </c>
    </row>
    <row r="1018" spans="1:3" x14ac:dyDescent="0.3">
      <c r="A1018" t="s">
        <v>5127</v>
      </c>
      <c r="B1018">
        <v>1</v>
      </c>
      <c r="C1018">
        <v>0.161</v>
      </c>
    </row>
    <row r="1019" spans="1:3" x14ac:dyDescent="0.3">
      <c r="A1019" t="s">
        <v>5128</v>
      </c>
      <c r="B1019">
        <v>1</v>
      </c>
      <c r="C1019">
        <v>0.161</v>
      </c>
    </row>
    <row r="1020" spans="1:3" x14ac:dyDescent="0.3">
      <c r="A1020" t="s">
        <v>5129</v>
      </c>
      <c r="B1020">
        <v>1</v>
      </c>
      <c r="C1020">
        <v>0.161</v>
      </c>
    </row>
    <row r="1021" spans="1:3" x14ac:dyDescent="0.3">
      <c r="A1021" t="s">
        <v>5130</v>
      </c>
      <c r="B1021">
        <v>1</v>
      </c>
      <c r="C1021">
        <v>0.161</v>
      </c>
    </row>
    <row r="1022" spans="1:3" x14ac:dyDescent="0.3">
      <c r="A1022" t="s">
        <v>5131</v>
      </c>
      <c r="B1022">
        <v>1</v>
      </c>
      <c r="C1022">
        <v>0.161</v>
      </c>
    </row>
    <row r="1023" spans="1:3" x14ac:dyDescent="0.3">
      <c r="A1023" t="s">
        <v>5132</v>
      </c>
      <c r="B1023">
        <v>1</v>
      </c>
      <c r="C1023">
        <v>0.161</v>
      </c>
    </row>
    <row r="1024" spans="1:3" x14ac:dyDescent="0.3">
      <c r="A1024" t="s">
        <v>5133</v>
      </c>
      <c r="B1024">
        <v>1</v>
      </c>
      <c r="C1024">
        <v>0.161</v>
      </c>
    </row>
    <row r="1025" spans="1:3" x14ac:dyDescent="0.3">
      <c r="A1025" t="s">
        <v>5134</v>
      </c>
      <c r="B1025">
        <v>1</v>
      </c>
      <c r="C1025">
        <v>0.161</v>
      </c>
    </row>
    <row r="1026" spans="1:3" x14ac:dyDescent="0.3">
      <c r="A1026" t="s">
        <v>5135</v>
      </c>
      <c r="B1026">
        <v>1</v>
      </c>
      <c r="C1026">
        <v>0.161</v>
      </c>
    </row>
    <row r="1027" spans="1:3" x14ac:dyDescent="0.3">
      <c r="A1027" t="s">
        <v>5136</v>
      </c>
      <c r="B1027">
        <v>1</v>
      </c>
      <c r="C1027">
        <v>0.161</v>
      </c>
    </row>
    <row r="1028" spans="1:3" x14ac:dyDescent="0.3">
      <c r="A1028" t="s">
        <v>5137</v>
      </c>
      <c r="B1028">
        <v>1</v>
      </c>
      <c r="C1028">
        <v>0.161</v>
      </c>
    </row>
    <row r="1029" spans="1:3" x14ac:dyDescent="0.3">
      <c r="A1029" t="s">
        <v>5138</v>
      </c>
      <c r="B1029">
        <v>1</v>
      </c>
      <c r="C1029">
        <v>0.161</v>
      </c>
    </row>
    <row r="1030" spans="1:3" x14ac:dyDescent="0.3">
      <c r="A1030" t="s">
        <v>5139</v>
      </c>
      <c r="B1030">
        <v>1</v>
      </c>
      <c r="C1030">
        <v>0.161</v>
      </c>
    </row>
    <row r="1031" spans="1:3" x14ac:dyDescent="0.3">
      <c r="A1031" t="s">
        <v>5140</v>
      </c>
      <c r="B1031">
        <v>1</v>
      </c>
      <c r="C1031">
        <v>0.161</v>
      </c>
    </row>
    <row r="1032" spans="1:3" x14ac:dyDescent="0.3">
      <c r="A1032" t="s">
        <v>5141</v>
      </c>
      <c r="B1032">
        <v>1</v>
      </c>
      <c r="C1032">
        <v>0.161</v>
      </c>
    </row>
    <row r="1033" spans="1:3" x14ac:dyDescent="0.3">
      <c r="A1033" t="s">
        <v>5142</v>
      </c>
      <c r="B1033">
        <v>1</v>
      </c>
      <c r="C1033">
        <v>0.161</v>
      </c>
    </row>
    <row r="1034" spans="1:3" x14ac:dyDescent="0.3">
      <c r="A1034" t="s">
        <v>5143</v>
      </c>
      <c r="B1034">
        <v>1</v>
      </c>
      <c r="C1034">
        <v>0.161</v>
      </c>
    </row>
    <row r="1035" spans="1:3" x14ac:dyDescent="0.3">
      <c r="A1035" t="s">
        <v>5144</v>
      </c>
      <c r="B1035">
        <v>1</v>
      </c>
      <c r="C1035">
        <v>0.161</v>
      </c>
    </row>
    <row r="1036" spans="1:3" x14ac:dyDescent="0.3">
      <c r="A1036" t="s">
        <v>5145</v>
      </c>
      <c r="B1036">
        <v>1</v>
      </c>
      <c r="C1036">
        <v>0.161</v>
      </c>
    </row>
    <row r="1037" spans="1:3" x14ac:dyDescent="0.3">
      <c r="A1037" t="s">
        <v>5146</v>
      </c>
      <c r="B1037">
        <v>1</v>
      </c>
      <c r="C1037">
        <v>0.161</v>
      </c>
    </row>
    <row r="1038" spans="1:3" x14ac:dyDescent="0.3">
      <c r="A1038" t="s">
        <v>5147</v>
      </c>
      <c r="B1038">
        <v>1</v>
      </c>
      <c r="C1038">
        <v>0.161</v>
      </c>
    </row>
    <row r="1039" spans="1:3" x14ac:dyDescent="0.3">
      <c r="A1039" t="s">
        <v>5148</v>
      </c>
      <c r="B1039">
        <v>1</v>
      </c>
      <c r="C1039">
        <v>0.161</v>
      </c>
    </row>
    <row r="1040" spans="1:3" x14ac:dyDescent="0.3">
      <c r="A1040" t="s">
        <v>5149</v>
      </c>
      <c r="B1040">
        <v>1</v>
      </c>
      <c r="C1040">
        <v>0.161</v>
      </c>
    </row>
    <row r="1041" spans="1:3" x14ac:dyDescent="0.3">
      <c r="A1041" t="s">
        <v>5150</v>
      </c>
      <c r="B1041">
        <v>1</v>
      </c>
      <c r="C1041">
        <v>0.161</v>
      </c>
    </row>
    <row r="1042" spans="1:3" x14ac:dyDescent="0.3">
      <c r="A1042" t="s">
        <v>5151</v>
      </c>
      <c r="B1042">
        <v>1</v>
      </c>
      <c r="C1042">
        <v>0.161</v>
      </c>
    </row>
    <row r="1043" spans="1:3" x14ac:dyDescent="0.3">
      <c r="A1043" t="s">
        <v>5152</v>
      </c>
      <c r="B1043">
        <v>1</v>
      </c>
      <c r="C1043">
        <v>0.161</v>
      </c>
    </row>
    <row r="1044" spans="1:3" x14ac:dyDescent="0.3">
      <c r="A1044" t="s">
        <v>5153</v>
      </c>
      <c r="B1044">
        <v>1</v>
      </c>
      <c r="C1044">
        <v>0.161</v>
      </c>
    </row>
    <row r="1045" spans="1:3" x14ac:dyDescent="0.3">
      <c r="A1045" t="s">
        <v>5154</v>
      </c>
      <c r="B1045">
        <v>1</v>
      </c>
      <c r="C1045">
        <v>0.161</v>
      </c>
    </row>
    <row r="1046" spans="1:3" x14ac:dyDescent="0.3">
      <c r="A1046" t="s">
        <v>5155</v>
      </c>
      <c r="B1046">
        <v>1</v>
      </c>
      <c r="C1046">
        <v>0.161</v>
      </c>
    </row>
    <row r="1047" spans="1:3" x14ac:dyDescent="0.3">
      <c r="A1047" t="s">
        <v>5156</v>
      </c>
      <c r="B1047">
        <v>1</v>
      </c>
      <c r="C1047">
        <v>0.161</v>
      </c>
    </row>
    <row r="1048" spans="1:3" x14ac:dyDescent="0.3">
      <c r="A1048" t="s">
        <v>5157</v>
      </c>
      <c r="B1048">
        <v>1</v>
      </c>
      <c r="C1048">
        <v>0.161</v>
      </c>
    </row>
    <row r="1049" spans="1:3" x14ac:dyDescent="0.3">
      <c r="A1049" t="s">
        <v>5158</v>
      </c>
      <c r="B1049">
        <v>1</v>
      </c>
      <c r="C1049">
        <v>0.161</v>
      </c>
    </row>
    <row r="1050" spans="1:3" x14ac:dyDescent="0.3">
      <c r="A1050" t="s">
        <v>5159</v>
      </c>
      <c r="B1050">
        <v>1</v>
      </c>
      <c r="C1050">
        <v>0.161</v>
      </c>
    </row>
    <row r="1051" spans="1:3" x14ac:dyDescent="0.3">
      <c r="A1051" t="s">
        <v>5160</v>
      </c>
      <c r="B1051">
        <v>1</v>
      </c>
      <c r="C1051">
        <v>0.161</v>
      </c>
    </row>
    <row r="1052" spans="1:3" x14ac:dyDescent="0.3">
      <c r="A1052" t="s">
        <v>5161</v>
      </c>
      <c r="B1052">
        <v>1</v>
      </c>
      <c r="C1052">
        <v>0.161</v>
      </c>
    </row>
    <row r="1053" spans="1:3" x14ac:dyDescent="0.3">
      <c r="A1053" t="s">
        <v>5162</v>
      </c>
      <c r="B1053">
        <v>1</v>
      </c>
      <c r="C1053">
        <v>0.161</v>
      </c>
    </row>
    <row r="1054" spans="1:3" x14ac:dyDescent="0.3">
      <c r="A1054" t="s">
        <v>5163</v>
      </c>
      <c r="B1054">
        <v>1</v>
      </c>
      <c r="C1054">
        <v>0.161</v>
      </c>
    </row>
    <row r="1055" spans="1:3" x14ac:dyDescent="0.3">
      <c r="A1055" t="s">
        <v>5164</v>
      </c>
      <c r="B1055">
        <v>1</v>
      </c>
      <c r="C1055">
        <v>0.161</v>
      </c>
    </row>
    <row r="1056" spans="1:3" x14ac:dyDescent="0.3">
      <c r="A1056" t="s">
        <v>5165</v>
      </c>
      <c r="B1056">
        <v>1</v>
      </c>
      <c r="C1056">
        <v>0.161</v>
      </c>
    </row>
    <row r="1057" spans="1:3" x14ac:dyDescent="0.3">
      <c r="A1057" t="s">
        <v>5166</v>
      </c>
      <c r="B1057">
        <v>1</v>
      </c>
      <c r="C1057">
        <v>0.161</v>
      </c>
    </row>
    <row r="1058" spans="1:3" x14ac:dyDescent="0.3">
      <c r="A1058" t="s">
        <v>5167</v>
      </c>
      <c r="B1058">
        <v>1</v>
      </c>
      <c r="C1058">
        <v>0.161</v>
      </c>
    </row>
    <row r="1059" spans="1:3" x14ac:dyDescent="0.3">
      <c r="A1059" t="s">
        <v>5168</v>
      </c>
      <c r="B1059">
        <v>1</v>
      </c>
      <c r="C1059">
        <v>0.161</v>
      </c>
    </row>
    <row r="1060" spans="1:3" x14ac:dyDescent="0.3">
      <c r="A1060" t="s">
        <v>5169</v>
      </c>
      <c r="B1060">
        <v>1</v>
      </c>
      <c r="C1060">
        <v>0.161</v>
      </c>
    </row>
    <row r="1061" spans="1:3" x14ac:dyDescent="0.3">
      <c r="A1061" t="s">
        <v>5170</v>
      </c>
      <c r="B1061">
        <v>1</v>
      </c>
      <c r="C1061">
        <v>0.161</v>
      </c>
    </row>
    <row r="1062" spans="1:3" x14ac:dyDescent="0.3">
      <c r="A1062" t="s">
        <v>5171</v>
      </c>
      <c r="B1062">
        <v>1</v>
      </c>
      <c r="C1062">
        <v>0.161</v>
      </c>
    </row>
    <row r="1063" spans="1:3" x14ac:dyDescent="0.3">
      <c r="A1063" t="s">
        <v>5172</v>
      </c>
      <c r="B1063">
        <v>1</v>
      </c>
      <c r="C1063">
        <v>0.161</v>
      </c>
    </row>
    <row r="1064" spans="1:3" x14ac:dyDescent="0.3">
      <c r="A1064" t="s">
        <v>5173</v>
      </c>
      <c r="B1064">
        <v>1</v>
      </c>
      <c r="C1064">
        <v>0.161</v>
      </c>
    </row>
    <row r="1065" spans="1:3" x14ac:dyDescent="0.3">
      <c r="A1065" t="s">
        <v>5174</v>
      </c>
      <c r="B1065">
        <v>1</v>
      </c>
      <c r="C1065">
        <v>0.161</v>
      </c>
    </row>
    <row r="1066" spans="1:3" x14ac:dyDescent="0.3">
      <c r="A1066" t="s">
        <v>5175</v>
      </c>
      <c r="B1066">
        <v>1</v>
      </c>
      <c r="C1066">
        <v>0.161</v>
      </c>
    </row>
    <row r="1067" spans="1:3" x14ac:dyDescent="0.3">
      <c r="A1067" t="s">
        <v>5176</v>
      </c>
      <c r="B1067">
        <v>1</v>
      </c>
      <c r="C1067">
        <v>0.161</v>
      </c>
    </row>
    <row r="1068" spans="1:3" x14ac:dyDescent="0.3">
      <c r="A1068" t="s">
        <v>5177</v>
      </c>
      <c r="B1068">
        <v>1</v>
      </c>
      <c r="C1068">
        <v>0.161</v>
      </c>
    </row>
    <row r="1069" spans="1:3" x14ac:dyDescent="0.3">
      <c r="A1069" t="s">
        <v>5178</v>
      </c>
      <c r="B1069">
        <v>1</v>
      </c>
      <c r="C1069">
        <v>0.161</v>
      </c>
    </row>
    <row r="1070" spans="1:3" x14ac:dyDescent="0.3">
      <c r="A1070" t="s">
        <v>5179</v>
      </c>
      <c r="B1070">
        <v>1</v>
      </c>
      <c r="C1070">
        <v>0.161</v>
      </c>
    </row>
    <row r="1071" spans="1:3" x14ac:dyDescent="0.3">
      <c r="A1071" t="s">
        <v>5180</v>
      </c>
      <c r="B1071">
        <v>1</v>
      </c>
      <c r="C1071">
        <v>0.161</v>
      </c>
    </row>
    <row r="1072" spans="1:3" x14ac:dyDescent="0.3">
      <c r="A1072" t="s">
        <v>5181</v>
      </c>
      <c r="B1072">
        <v>1</v>
      </c>
      <c r="C1072">
        <v>0.161</v>
      </c>
    </row>
    <row r="1073" spans="1:3" x14ac:dyDescent="0.3">
      <c r="A1073" t="s">
        <v>5182</v>
      </c>
      <c r="B1073">
        <v>1</v>
      </c>
      <c r="C1073">
        <v>0.161</v>
      </c>
    </row>
    <row r="1074" spans="1:3" x14ac:dyDescent="0.3">
      <c r="A1074" t="s">
        <v>5183</v>
      </c>
      <c r="B1074">
        <v>1</v>
      </c>
      <c r="C1074">
        <v>0.161</v>
      </c>
    </row>
    <row r="1075" spans="1:3" x14ac:dyDescent="0.3">
      <c r="A1075" t="s">
        <v>5184</v>
      </c>
      <c r="B1075">
        <v>1</v>
      </c>
      <c r="C1075">
        <v>0.161</v>
      </c>
    </row>
    <row r="1076" spans="1:3" x14ac:dyDescent="0.3">
      <c r="A1076" t="s">
        <v>5185</v>
      </c>
      <c r="B1076">
        <v>1</v>
      </c>
      <c r="C1076">
        <v>0.161</v>
      </c>
    </row>
    <row r="1077" spans="1:3" x14ac:dyDescent="0.3">
      <c r="A1077" t="s">
        <v>5186</v>
      </c>
      <c r="B1077">
        <v>1</v>
      </c>
      <c r="C1077">
        <v>0.161</v>
      </c>
    </row>
    <row r="1078" spans="1:3" x14ac:dyDescent="0.3">
      <c r="A1078" t="s">
        <v>5187</v>
      </c>
      <c r="B1078">
        <v>1</v>
      </c>
      <c r="C1078">
        <v>0.161</v>
      </c>
    </row>
    <row r="1079" spans="1:3" x14ac:dyDescent="0.3">
      <c r="A1079" t="s">
        <v>5188</v>
      </c>
      <c r="B1079">
        <v>1</v>
      </c>
      <c r="C1079">
        <v>0.161</v>
      </c>
    </row>
    <row r="1080" spans="1:3" x14ac:dyDescent="0.3">
      <c r="A1080" t="s">
        <v>5189</v>
      </c>
      <c r="B1080">
        <v>1</v>
      </c>
      <c r="C1080">
        <v>0.161</v>
      </c>
    </row>
    <row r="1081" spans="1:3" x14ac:dyDescent="0.3">
      <c r="A1081" t="s">
        <v>5190</v>
      </c>
      <c r="B1081">
        <v>1</v>
      </c>
      <c r="C1081">
        <v>0.161</v>
      </c>
    </row>
    <row r="1082" spans="1:3" x14ac:dyDescent="0.3">
      <c r="A1082" t="s">
        <v>5191</v>
      </c>
      <c r="B1082">
        <v>1</v>
      </c>
      <c r="C1082">
        <v>0.161</v>
      </c>
    </row>
    <row r="1083" spans="1:3" x14ac:dyDescent="0.3">
      <c r="A1083" t="s">
        <v>5192</v>
      </c>
      <c r="B1083">
        <v>1</v>
      </c>
      <c r="C1083">
        <v>0.161</v>
      </c>
    </row>
    <row r="1084" spans="1:3" x14ac:dyDescent="0.3">
      <c r="A1084" t="s">
        <v>5193</v>
      </c>
      <c r="B1084">
        <v>1</v>
      </c>
      <c r="C1084">
        <v>0.161</v>
      </c>
    </row>
    <row r="1085" spans="1:3" x14ac:dyDescent="0.3">
      <c r="A1085" t="s">
        <v>5194</v>
      </c>
      <c r="B1085">
        <v>1</v>
      </c>
      <c r="C1085">
        <v>0.161</v>
      </c>
    </row>
    <row r="1086" spans="1:3" x14ac:dyDescent="0.3">
      <c r="A1086" t="s">
        <v>5195</v>
      </c>
      <c r="B1086">
        <v>1</v>
      </c>
      <c r="C1086">
        <v>0.161</v>
      </c>
    </row>
    <row r="1087" spans="1:3" x14ac:dyDescent="0.3">
      <c r="A1087" t="s">
        <v>5196</v>
      </c>
      <c r="B1087">
        <v>1</v>
      </c>
      <c r="C1087">
        <v>0.161</v>
      </c>
    </row>
    <row r="1088" spans="1:3" x14ac:dyDescent="0.3">
      <c r="A1088" t="s">
        <v>5197</v>
      </c>
      <c r="B1088">
        <v>1</v>
      </c>
      <c r="C1088">
        <v>0.161</v>
      </c>
    </row>
    <row r="1089" spans="1:3" x14ac:dyDescent="0.3">
      <c r="A1089" t="s">
        <v>5198</v>
      </c>
      <c r="B1089">
        <v>1</v>
      </c>
      <c r="C1089">
        <v>0.161</v>
      </c>
    </row>
    <row r="1090" spans="1:3" x14ac:dyDescent="0.3">
      <c r="A1090" t="s">
        <v>5199</v>
      </c>
      <c r="B1090">
        <v>1</v>
      </c>
      <c r="C1090">
        <v>0.161</v>
      </c>
    </row>
    <row r="1091" spans="1:3" x14ac:dyDescent="0.3">
      <c r="A1091" t="s">
        <v>5200</v>
      </c>
      <c r="B1091">
        <v>1</v>
      </c>
      <c r="C1091">
        <v>0.161</v>
      </c>
    </row>
    <row r="1092" spans="1:3" x14ac:dyDescent="0.3">
      <c r="A1092" t="s">
        <v>5201</v>
      </c>
      <c r="B1092">
        <v>1</v>
      </c>
      <c r="C1092">
        <v>0.161</v>
      </c>
    </row>
    <row r="1093" spans="1:3" x14ac:dyDescent="0.3">
      <c r="A1093" t="s">
        <v>5202</v>
      </c>
      <c r="B1093">
        <v>1</v>
      </c>
      <c r="C1093">
        <v>0.161</v>
      </c>
    </row>
    <row r="1094" spans="1:3" x14ac:dyDescent="0.3">
      <c r="A1094" t="s">
        <v>5203</v>
      </c>
      <c r="B1094">
        <v>1</v>
      </c>
      <c r="C1094">
        <v>0.161</v>
      </c>
    </row>
    <row r="1095" spans="1:3" x14ac:dyDescent="0.3">
      <c r="A1095" t="s">
        <v>5204</v>
      </c>
      <c r="B1095">
        <v>1</v>
      </c>
      <c r="C1095">
        <v>0.161</v>
      </c>
    </row>
    <row r="1096" spans="1:3" x14ac:dyDescent="0.3">
      <c r="A1096" t="s">
        <v>5205</v>
      </c>
      <c r="B1096">
        <v>1</v>
      </c>
      <c r="C1096">
        <v>0.161</v>
      </c>
    </row>
    <row r="1097" spans="1:3" x14ac:dyDescent="0.3">
      <c r="A1097" t="s">
        <v>5206</v>
      </c>
      <c r="B1097">
        <v>1</v>
      </c>
      <c r="C1097">
        <v>0.161</v>
      </c>
    </row>
    <row r="1098" spans="1:3" x14ac:dyDescent="0.3">
      <c r="A1098" t="s">
        <v>5207</v>
      </c>
      <c r="B1098">
        <v>1</v>
      </c>
      <c r="C1098">
        <v>0.161</v>
      </c>
    </row>
    <row r="1099" spans="1:3" x14ac:dyDescent="0.3">
      <c r="A1099" t="s">
        <v>5208</v>
      </c>
      <c r="B1099">
        <v>1</v>
      </c>
      <c r="C1099">
        <v>0.161</v>
      </c>
    </row>
    <row r="1100" spans="1:3" x14ac:dyDescent="0.3">
      <c r="A1100" t="s">
        <v>5209</v>
      </c>
      <c r="B1100">
        <v>1</v>
      </c>
      <c r="C1100">
        <v>0.161</v>
      </c>
    </row>
    <row r="1101" spans="1:3" x14ac:dyDescent="0.3">
      <c r="A1101" t="s">
        <v>5210</v>
      </c>
      <c r="B1101">
        <v>1</v>
      </c>
      <c r="C1101">
        <v>0.161</v>
      </c>
    </row>
    <row r="1102" spans="1:3" x14ac:dyDescent="0.3">
      <c r="A1102" t="s">
        <v>5211</v>
      </c>
      <c r="B1102">
        <v>1</v>
      </c>
      <c r="C1102">
        <v>0.161</v>
      </c>
    </row>
    <row r="1103" spans="1:3" x14ac:dyDescent="0.3">
      <c r="A1103" t="s">
        <v>5212</v>
      </c>
      <c r="B1103">
        <v>1</v>
      </c>
      <c r="C1103">
        <v>0.161</v>
      </c>
    </row>
    <row r="1104" spans="1:3" x14ac:dyDescent="0.3">
      <c r="A1104" t="s">
        <v>5213</v>
      </c>
      <c r="B1104">
        <v>1</v>
      </c>
      <c r="C1104">
        <v>0.161</v>
      </c>
    </row>
    <row r="1105" spans="1:3" x14ac:dyDescent="0.3">
      <c r="A1105" t="s">
        <v>5214</v>
      </c>
      <c r="B1105">
        <v>1</v>
      </c>
      <c r="C1105">
        <v>0.161</v>
      </c>
    </row>
    <row r="1106" spans="1:3" x14ac:dyDescent="0.3">
      <c r="A1106" t="s">
        <v>5215</v>
      </c>
      <c r="B1106">
        <v>1</v>
      </c>
      <c r="C1106">
        <v>0.161</v>
      </c>
    </row>
    <row r="1107" spans="1:3" x14ac:dyDescent="0.3">
      <c r="A1107" t="s">
        <v>5216</v>
      </c>
      <c r="B1107">
        <v>1</v>
      </c>
      <c r="C1107">
        <v>0.161</v>
      </c>
    </row>
    <row r="1108" spans="1:3" x14ac:dyDescent="0.3">
      <c r="A1108" t="s">
        <v>5217</v>
      </c>
      <c r="B1108">
        <v>1</v>
      </c>
      <c r="C1108">
        <v>0.161</v>
      </c>
    </row>
    <row r="1109" spans="1:3" x14ac:dyDescent="0.3">
      <c r="A1109" t="s">
        <v>5218</v>
      </c>
      <c r="B1109">
        <v>1</v>
      </c>
      <c r="C1109">
        <v>0.161</v>
      </c>
    </row>
    <row r="1110" spans="1:3" x14ac:dyDescent="0.3">
      <c r="A1110" t="s">
        <v>5219</v>
      </c>
      <c r="B1110">
        <v>1</v>
      </c>
      <c r="C1110">
        <v>0.161</v>
      </c>
    </row>
    <row r="1111" spans="1:3" x14ac:dyDescent="0.3">
      <c r="A1111" t="s">
        <v>5220</v>
      </c>
      <c r="B1111">
        <v>1</v>
      </c>
      <c r="C1111">
        <v>0.161</v>
      </c>
    </row>
    <row r="1112" spans="1:3" x14ac:dyDescent="0.3">
      <c r="A1112" t="s">
        <v>5221</v>
      </c>
      <c r="B1112">
        <v>1</v>
      </c>
      <c r="C1112">
        <v>0.161</v>
      </c>
    </row>
    <row r="1113" spans="1:3" x14ac:dyDescent="0.3">
      <c r="A1113" t="s">
        <v>5222</v>
      </c>
      <c r="B1113">
        <v>1</v>
      </c>
      <c r="C1113">
        <v>0.161</v>
      </c>
    </row>
    <row r="1114" spans="1:3" x14ac:dyDescent="0.3">
      <c r="A1114" t="s">
        <v>5223</v>
      </c>
      <c r="B1114">
        <v>1</v>
      </c>
      <c r="C1114">
        <v>0.161</v>
      </c>
    </row>
    <row r="1115" spans="1:3" x14ac:dyDescent="0.3">
      <c r="A1115" t="s">
        <v>5224</v>
      </c>
      <c r="B1115">
        <v>1</v>
      </c>
      <c r="C1115">
        <v>0.161</v>
      </c>
    </row>
    <row r="1116" spans="1:3" x14ac:dyDescent="0.3">
      <c r="A1116" t="s">
        <v>5225</v>
      </c>
      <c r="B1116">
        <v>1</v>
      </c>
      <c r="C1116">
        <v>0.161</v>
      </c>
    </row>
    <row r="1117" spans="1:3" x14ac:dyDescent="0.3">
      <c r="A1117" t="s">
        <v>5226</v>
      </c>
      <c r="B1117">
        <v>1</v>
      </c>
      <c r="C1117">
        <v>0.161</v>
      </c>
    </row>
    <row r="1118" spans="1:3" x14ac:dyDescent="0.3">
      <c r="A1118" t="s">
        <v>5227</v>
      </c>
      <c r="B1118">
        <v>1</v>
      </c>
      <c r="C1118">
        <v>0.161</v>
      </c>
    </row>
    <row r="1119" spans="1:3" x14ac:dyDescent="0.3">
      <c r="A1119" t="s">
        <v>5228</v>
      </c>
      <c r="B1119">
        <v>1</v>
      </c>
      <c r="C1119">
        <v>0.161</v>
      </c>
    </row>
    <row r="1120" spans="1:3" x14ac:dyDescent="0.3">
      <c r="A1120" t="s">
        <v>5229</v>
      </c>
      <c r="B1120">
        <v>1</v>
      </c>
      <c r="C1120">
        <v>0.161</v>
      </c>
    </row>
    <row r="1121" spans="1:3" x14ac:dyDescent="0.3">
      <c r="A1121" t="s">
        <v>5230</v>
      </c>
      <c r="B1121">
        <v>1</v>
      </c>
      <c r="C1121">
        <v>0.161</v>
      </c>
    </row>
    <row r="1122" spans="1:3" x14ac:dyDescent="0.3">
      <c r="A1122" t="s">
        <v>5231</v>
      </c>
      <c r="B1122">
        <v>1</v>
      </c>
      <c r="C1122">
        <v>0.161</v>
      </c>
    </row>
    <row r="1123" spans="1:3" x14ac:dyDescent="0.3">
      <c r="A1123" t="s">
        <v>5232</v>
      </c>
      <c r="B1123">
        <v>1</v>
      </c>
      <c r="C1123">
        <v>0.161</v>
      </c>
    </row>
    <row r="1124" spans="1:3" x14ac:dyDescent="0.3">
      <c r="A1124" t="s">
        <v>5233</v>
      </c>
      <c r="B1124">
        <v>1</v>
      </c>
      <c r="C1124">
        <v>0.161</v>
      </c>
    </row>
    <row r="1125" spans="1:3" x14ac:dyDescent="0.3">
      <c r="A1125" t="s">
        <v>5234</v>
      </c>
      <c r="B1125">
        <v>1</v>
      </c>
      <c r="C1125">
        <v>0.161</v>
      </c>
    </row>
    <row r="1126" spans="1:3" x14ac:dyDescent="0.3">
      <c r="A1126" t="s">
        <v>5235</v>
      </c>
      <c r="B1126">
        <v>1</v>
      </c>
      <c r="C1126">
        <v>0.161</v>
      </c>
    </row>
    <row r="1127" spans="1:3" x14ac:dyDescent="0.3">
      <c r="A1127" t="s">
        <v>5236</v>
      </c>
      <c r="B1127">
        <v>1</v>
      </c>
      <c r="C1127">
        <v>0.161</v>
      </c>
    </row>
    <row r="1128" spans="1:3" x14ac:dyDescent="0.3">
      <c r="A1128" t="s">
        <v>5237</v>
      </c>
      <c r="B1128">
        <v>1</v>
      </c>
      <c r="C1128">
        <v>0.161</v>
      </c>
    </row>
    <row r="1129" spans="1:3" x14ac:dyDescent="0.3">
      <c r="A1129" t="s">
        <v>5238</v>
      </c>
      <c r="B1129">
        <v>1</v>
      </c>
      <c r="C1129">
        <v>0.161</v>
      </c>
    </row>
    <row r="1130" spans="1:3" x14ac:dyDescent="0.3">
      <c r="A1130" t="s">
        <v>5239</v>
      </c>
      <c r="B1130">
        <v>1</v>
      </c>
      <c r="C1130">
        <v>0.161</v>
      </c>
    </row>
    <row r="1131" spans="1:3" x14ac:dyDescent="0.3">
      <c r="A1131" t="s">
        <v>5240</v>
      </c>
      <c r="B1131">
        <v>1</v>
      </c>
      <c r="C1131">
        <v>0.161</v>
      </c>
    </row>
    <row r="1132" spans="1:3" x14ac:dyDescent="0.3">
      <c r="A1132" t="s">
        <v>5241</v>
      </c>
      <c r="B1132">
        <v>1</v>
      </c>
      <c r="C1132">
        <v>0.161</v>
      </c>
    </row>
    <row r="1133" spans="1:3" x14ac:dyDescent="0.3">
      <c r="A1133" t="s">
        <v>5242</v>
      </c>
      <c r="B1133">
        <v>1</v>
      </c>
      <c r="C1133">
        <v>0.161</v>
      </c>
    </row>
    <row r="1134" spans="1:3" x14ac:dyDescent="0.3">
      <c r="A1134" t="s">
        <v>5243</v>
      </c>
      <c r="B1134">
        <v>1</v>
      </c>
      <c r="C1134">
        <v>0.161</v>
      </c>
    </row>
    <row r="1135" spans="1:3" x14ac:dyDescent="0.3">
      <c r="A1135" t="s">
        <v>5244</v>
      </c>
      <c r="B1135">
        <v>1</v>
      </c>
      <c r="C1135">
        <v>0.161</v>
      </c>
    </row>
    <row r="1136" spans="1:3" x14ac:dyDescent="0.3">
      <c r="A1136" t="s">
        <v>5245</v>
      </c>
      <c r="B1136">
        <v>1</v>
      </c>
      <c r="C1136">
        <v>0.161</v>
      </c>
    </row>
    <row r="1137" spans="1:3" x14ac:dyDescent="0.3">
      <c r="A1137" t="s">
        <v>5246</v>
      </c>
      <c r="B1137">
        <v>1</v>
      </c>
      <c r="C1137">
        <v>0.161</v>
      </c>
    </row>
    <row r="1138" spans="1:3" x14ac:dyDescent="0.3">
      <c r="A1138" t="s">
        <v>5247</v>
      </c>
      <c r="B1138">
        <v>1</v>
      </c>
      <c r="C1138">
        <v>0.161</v>
      </c>
    </row>
    <row r="1139" spans="1:3" x14ac:dyDescent="0.3">
      <c r="A1139" t="s">
        <v>5248</v>
      </c>
      <c r="B1139">
        <v>1</v>
      </c>
      <c r="C1139">
        <v>0.161</v>
      </c>
    </row>
    <row r="1140" spans="1:3" x14ac:dyDescent="0.3">
      <c r="A1140" t="s">
        <v>5249</v>
      </c>
      <c r="B1140">
        <v>1</v>
      </c>
      <c r="C1140">
        <v>0.161</v>
      </c>
    </row>
    <row r="1141" spans="1:3" x14ac:dyDescent="0.3">
      <c r="A1141" t="s">
        <v>5250</v>
      </c>
      <c r="B1141">
        <v>1</v>
      </c>
      <c r="C1141">
        <v>0.161</v>
      </c>
    </row>
    <row r="1142" spans="1:3" x14ac:dyDescent="0.3">
      <c r="A1142" t="s">
        <v>5251</v>
      </c>
      <c r="B1142">
        <v>1</v>
      </c>
      <c r="C1142">
        <v>0.161</v>
      </c>
    </row>
    <row r="1143" spans="1:3" x14ac:dyDescent="0.3">
      <c r="A1143" t="s">
        <v>5252</v>
      </c>
      <c r="B1143">
        <v>1</v>
      </c>
      <c r="C1143">
        <v>0.161</v>
      </c>
    </row>
    <row r="1144" spans="1:3" x14ac:dyDescent="0.3">
      <c r="A1144" t="s">
        <v>5253</v>
      </c>
      <c r="B1144">
        <v>1</v>
      </c>
      <c r="C1144">
        <v>0.161</v>
      </c>
    </row>
    <row r="1145" spans="1:3" x14ac:dyDescent="0.3">
      <c r="A1145" t="s">
        <v>5254</v>
      </c>
      <c r="B1145">
        <v>1</v>
      </c>
      <c r="C1145">
        <v>0.161</v>
      </c>
    </row>
    <row r="1146" spans="1:3" x14ac:dyDescent="0.3">
      <c r="A1146" t="s">
        <v>5255</v>
      </c>
      <c r="B1146">
        <v>1</v>
      </c>
      <c r="C1146">
        <v>0.161</v>
      </c>
    </row>
    <row r="1147" spans="1:3" x14ac:dyDescent="0.3">
      <c r="A1147" t="s">
        <v>5256</v>
      </c>
      <c r="B1147">
        <v>1</v>
      </c>
      <c r="C1147">
        <v>0.161</v>
      </c>
    </row>
    <row r="1148" spans="1:3" x14ac:dyDescent="0.3">
      <c r="A1148" t="s">
        <v>5257</v>
      </c>
      <c r="B1148">
        <v>1</v>
      </c>
      <c r="C1148">
        <v>0.161</v>
      </c>
    </row>
    <row r="1149" spans="1:3" x14ac:dyDescent="0.3">
      <c r="A1149" t="s">
        <v>5258</v>
      </c>
      <c r="B1149">
        <v>1</v>
      </c>
      <c r="C1149">
        <v>0.161</v>
      </c>
    </row>
    <row r="1150" spans="1:3" x14ac:dyDescent="0.3">
      <c r="A1150" t="s">
        <v>5259</v>
      </c>
      <c r="B1150">
        <v>1</v>
      </c>
      <c r="C1150">
        <v>0.161</v>
      </c>
    </row>
    <row r="1151" spans="1:3" x14ac:dyDescent="0.3">
      <c r="A1151" t="s">
        <v>5260</v>
      </c>
      <c r="B1151">
        <v>1</v>
      </c>
      <c r="C1151">
        <v>0.161</v>
      </c>
    </row>
    <row r="1152" spans="1:3" x14ac:dyDescent="0.3">
      <c r="A1152" t="s">
        <v>5261</v>
      </c>
      <c r="B1152">
        <v>1</v>
      </c>
      <c r="C1152">
        <v>0.161</v>
      </c>
    </row>
    <row r="1153" spans="1:3" x14ac:dyDescent="0.3">
      <c r="A1153" t="s">
        <v>5262</v>
      </c>
      <c r="B1153">
        <v>1</v>
      </c>
      <c r="C1153">
        <v>0.161</v>
      </c>
    </row>
    <row r="1154" spans="1:3" x14ac:dyDescent="0.3">
      <c r="A1154" t="s">
        <v>5263</v>
      </c>
      <c r="B1154">
        <v>1</v>
      </c>
      <c r="C1154">
        <v>0.161</v>
      </c>
    </row>
    <row r="1155" spans="1:3" x14ac:dyDescent="0.3">
      <c r="A1155" t="s">
        <v>5264</v>
      </c>
      <c r="B1155">
        <v>1</v>
      </c>
      <c r="C1155">
        <v>0.161</v>
      </c>
    </row>
    <row r="1156" spans="1:3" x14ac:dyDescent="0.3">
      <c r="A1156" t="s">
        <v>5265</v>
      </c>
      <c r="B1156">
        <v>1</v>
      </c>
      <c r="C1156">
        <v>0.161</v>
      </c>
    </row>
    <row r="1157" spans="1:3" x14ac:dyDescent="0.3">
      <c r="A1157" t="s">
        <v>5266</v>
      </c>
      <c r="B1157">
        <v>1</v>
      </c>
      <c r="C1157">
        <v>0.161</v>
      </c>
    </row>
    <row r="1158" spans="1:3" x14ac:dyDescent="0.3">
      <c r="A1158" t="s">
        <v>5267</v>
      </c>
      <c r="B1158">
        <v>1</v>
      </c>
      <c r="C1158">
        <v>0.161</v>
      </c>
    </row>
    <row r="1159" spans="1:3" x14ac:dyDescent="0.3">
      <c r="A1159" t="s">
        <v>5268</v>
      </c>
      <c r="B1159">
        <v>1</v>
      </c>
      <c r="C1159">
        <v>0.161</v>
      </c>
    </row>
    <row r="1160" spans="1:3" x14ac:dyDescent="0.3">
      <c r="A1160" t="s">
        <v>5269</v>
      </c>
      <c r="B1160">
        <v>1</v>
      </c>
      <c r="C1160">
        <v>0.161</v>
      </c>
    </row>
    <row r="1161" spans="1:3" x14ac:dyDescent="0.3">
      <c r="A1161" t="s">
        <v>5270</v>
      </c>
      <c r="B1161">
        <v>1</v>
      </c>
      <c r="C1161">
        <v>0.161</v>
      </c>
    </row>
    <row r="1162" spans="1:3" x14ac:dyDescent="0.3">
      <c r="A1162" t="s">
        <v>5271</v>
      </c>
      <c r="B1162">
        <v>1</v>
      </c>
      <c r="C1162">
        <v>0.161</v>
      </c>
    </row>
    <row r="1163" spans="1:3" x14ac:dyDescent="0.3">
      <c r="A1163" t="s">
        <v>5272</v>
      </c>
      <c r="B1163">
        <v>1</v>
      </c>
      <c r="C1163">
        <v>0.161</v>
      </c>
    </row>
    <row r="1164" spans="1:3" x14ac:dyDescent="0.3">
      <c r="A1164" t="s">
        <v>5273</v>
      </c>
      <c r="B1164">
        <v>1</v>
      </c>
      <c r="C1164">
        <v>0.161</v>
      </c>
    </row>
    <row r="1165" spans="1:3" x14ac:dyDescent="0.3">
      <c r="A1165" t="s">
        <v>5274</v>
      </c>
      <c r="B1165">
        <v>1</v>
      </c>
      <c r="C1165">
        <v>0.161</v>
      </c>
    </row>
    <row r="1166" spans="1:3" x14ac:dyDescent="0.3">
      <c r="A1166" t="s">
        <v>5275</v>
      </c>
      <c r="B1166">
        <v>1</v>
      </c>
      <c r="C1166">
        <v>0.161</v>
      </c>
    </row>
    <row r="1167" spans="1:3" x14ac:dyDescent="0.3">
      <c r="A1167" t="s">
        <v>5276</v>
      </c>
      <c r="B1167">
        <v>1</v>
      </c>
      <c r="C1167">
        <v>0.161</v>
      </c>
    </row>
    <row r="1168" spans="1:3" x14ac:dyDescent="0.3">
      <c r="A1168" t="s">
        <v>5277</v>
      </c>
      <c r="B1168">
        <v>1</v>
      </c>
      <c r="C1168">
        <v>0.161</v>
      </c>
    </row>
    <row r="1169" spans="1:3" x14ac:dyDescent="0.3">
      <c r="A1169" t="s">
        <v>5278</v>
      </c>
      <c r="B1169">
        <v>1</v>
      </c>
      <c r="C1169">
        <v>0.161</v>
      </c>
    </row>
    <row r="1170" spans="1:3" x14ac:dyDescent="0.3">
      <c r="A1170" t="s">
        <v>5279</v>
      </c>
      <c r="B1170">
        <v>1</v>
      </c>
      <c r="C1170">
        <v>0.161</v>
      </c>
    </row>
    <row r="1171" spans="1:3" x14ac:dyDescent="0.3">
      <c r="A1171" t="s">
        <v>5280</v>
      </c>
      <c r="B1171">
        <v>1</v>
      </c>
      <c r="C1171">
        <v>0.161</v>
      </c>
    </row>
    <row r="1172" spans="1:3" x14ac:dyDescent="0.3">
      <c r="A1172" t="s">
        <v>5281</v>
      </c>
      <c r="B1172">
        <v>1</v>
      </c>
      <c r="C1172">
        <v>0.161</v>
      </c>
    </row>
    <row r="1173" spans="1:3" x14ac:dyDescent="0.3">
      <c r="A1173" t="s">
        <v>5282</v>
      </c>
      <c r="B1173">
        <v>1</v>
      </c>
      <c r="C1173">
        <v>0.161</v>
      </c>
    </row>
    <row r="1174" spans="1:3" x14ac:dyDescent="0.3">
      <c r="A1174" t="s">
        <v>5283</v>
      </c>
      <c r="B1174">
        <v>1</v>
      </c>
      <c r="C1174">
        <v>0.161</v>
      </c>
    </row>
    <row r="1175" spans="1:3" x14ac:dyDescent="0.3">
      <c r="A1175" t="s">
        <v>5284</v>
      </c>
      <c r="B1175">
        <v>1</v>
      </c>
      <c r="C1175">
        <v>0.161</v>
      </c>
    </row>
    <row r="1176" spans="1:3" x14ac:dyDescent="0.3">
      <c r="A1176" t="s">
        <v>5285</v>
      </c>
      <c r="B1176">
        <v>1</v>
      </c>
      <c r="C1176">
        <v>0.161</v>
      </c>
    </row>
    <row r="1177" spans="1:3" x14ac:dyDescent="0.3">
      <c r="A1177" t="s">
        <v>5286</v>
      </c>
      <c r="B1177">
        <v>1</v>
      </c>
      <c r="C1177">
        <v>0.161</v>
      </c>
    </row>
    <row r="1178" spans="1:3" x14ac:dyDescent="0.3">
      <c r="A1178" t="s">
        <v>5287</v>
      </c>
      <c r="B1178">
        <v>1</v>
      </c>
      <c r="C1178">
        <v>0.161</v>
      </c>
    </row>
    <row r="1179" spans="1:3" x14ac:dyDescent="0.3">
      <c r="A1179" t="s">
        <v>5288</v>
      </c>
      <c r="B1179">
        <v>1</v>
      </c>
      <c r="C1179">
        <v>0.161</v>
      </c>
    </row>
    <row r="1180" spans="1:3" x14ac:dyDescent="0.3">
      <c r="A1180" t="s">
        <v>5289</v>
      </c>
      <c r="B1180">
        <v>1</v>
      </c>
      <c r="C1180">
        <v>0.161</v>
      </c>
    </row>
    <row r="1181" spans="1:3" x14ac:dyDescent="0.3">
      <c r="A1181" t="s">
        <v>5290</v>
      </c>
      <c r="B1181">
        <v>1</v>
      </c>
      <c r="C1181">
        <v>0.161</v>
      </c>
    </row>
    <row r="1182" spans="1:3" x14ac:dyDescent="0.3">
      <c r="A1182" t="s">
        <v>5291</v>
      </c>
      <c r="B1182">
        <v>1</v>
      </c>
      <c r="C1182">
        <v>0.161</v>
      </c>
    </row>
    <row r="1183" spans="1:3" x14ac:dyDescent="0.3">
      <c r="A1183" t="s">
        <v>5292</v>
      </c>
      <c r="B1183">
        <v>1</v>
      </c>
      <c r="C1183">
        <v>0.161</v>
      </c>
    </row>
    <row r="1184" spans="1:3" x14ac:dyDescent="0.3">
      <c r="A1184" t="s">
        <v>5293</v>
      </c>
      <c r="B1184">
        <v>1</v>
      </c>
      <c r="C1184">
        <v>0.161</v>
      </c>
    </row>
    <row r="1185" spans="1:3" x14ac:dyDescent="0.3">
      <c r="A1185" t="s">
        <v>5294</v>
      </c>
      <c r="B1185">
        <v>1</v>
      </c>
      <c r="C1185">
        <v>0.161</v>
      </c>
    </row>
    <row r="1186" spans="1:3" x14ac:dyDescent="0.3">
      <c r="A1186" t="s">
        <v>5295</v>
      </c>
      <c r="B1186">
        <v>1</v>
      </c>
      <c r="C1186">
        <v>0.161</v>
      </c>
    </row>
    <row r="1187" spans="1:3" x14ac:dyDescent="0.3">
      <c r="A1187" t="s">
        <v>5296</v>
      </c>
      <c r="B1187">
        <v>1</v>
      </c>
      <c r="C1187">
        <v>0.161</v>
      </c>
    </row>
    <row r="1188" spans="1:3" x14ac:dyDescent="0.3">
      <c r="A1188" t="s">
        <v>5297</v>
      </c>
      <c r="B1188">
        <v>1</v>
      </c>
      <c r="C1188">
        <v>0.161</v>
      </c>
    </row>
    <row r="1189" spans="1:3" x14ac:dyDescent="0.3">
      <c r="A1189" t="s">
        <v>5298</v>
      </c>
      <c r="B1189">
        <v>1</v>
      </c>
      <c r="C1189">
        <v>0.161</v>
      </c>
    </row>
    <row r="1190" spans="1:3" x14ac:dyDescent="0.3">
      <c r="A1190" t="s">
        <v>5299</v>
      </c>
      <c r="B1190">
        <v>1</v>
      </c>
      <c r="C1190">
        <v>0.161</v>
      </c>
    </row>
    <row r="1191" spans="1:3" x14ac:dyDescent="0.3">
      <c r="A1191" t="s">
        <v>5300</v>
      </c>
      <c r="B1191">
        <v>1</v>
      </c>
      <c r="C1191">
        <v>0.161</v>
      </c>
    </row>
    <row r="1192" spans="1:3" x14ac:dyDescent="0.3">
      <c r="A1192" t="s">
        <v>5301</v>
      </c>
      <c r="B1192">
        <v>1</v>
      </c>
      <c r="C1192">
        <v>0.161</v>
      </c>
    </row>
    <row r="1193" spans="1:3" x14ac:dyDescent="0.3">
      <c r="A1193" t="s">
        <v>5302</v>
      </c>
      <c r="B1193">
        <v>1</v>
      </c>
      <c r="C1193">
        <v>0.161</v>
      </c>
    </row>
    <row r="1194" spans="1:3" x14ac:dyDescent="0.3">
      <c r="A1194" t="s">
        <v>5303</v>
      </c>
      <c r="B1194">
        <v>1</v>
      </c>
      <c r="C1194">
        <v>0.161</v>
      </c>
    </row>
    <row r="1195" spans="1:3" x14ac:dyDescent="0.3">
      <c r="A1195" t="s">
        <v>5304</v>
      </c>
      <c r="B1195">
        <v>1</v>
      </c>
      <c r="C1195">
        <v>0.161</v>
      </c>
    </row>
    <row r="1196" spans="1:3" x14ac:dyDescent="0.3">
      <c r="A1196" t="s">
        <v>5305</v>
      </c>
      <c r="B1196">
        <v>1</v>
      </c>
      <c r="C1196">
        <v>0.161</v>
      </c>
    </row>
    <row r="1197" spans="1:3" x14ac:dyDescent="0.3">
      <c r="A1197" t="s">
        <v>5306</v>
      </c>
      <c r="B1197">
        <v>1</v>
      </c>
      <c r="C1197">
        <v>0.161</v>
      </c>
    </row>
    <row r="1198" spans="1:3" x14ac:dyDescent="0.3">
      <c r="A1198" t="s">
        <v>5307</v>
      </c>
      <c r="B1198">
        <v>1</v>
      </c>
      <c r="C1198">
        <v>0.161</v>
      </c>
    </row>
    <row r="1199" spans="1:3" x14ac:dyDescent="0.3">
      <c r="A1199" t="s">
        <v>5308</v>
      </c>
      <c r="B1199">
        <v>1</v>
      </c>
      <c r="C1199">
        <v>0.161</v>
      </c>
    </row>
    <row r="1200" spans="1:3" x14ac:dyDescent="0.3">
      <c r="A1200" t="s">
        <v>5309</v>
      </c>
      <c r="B1200">
        <v>1</v>
      </c>
      <c r="C1200">
        <v>0.161</v>
      </c>
    </row>
    <row r="1201" spans="1:3" x14ac:dyDescent="0.3">
      <c r="A1201" t="s">
        <v>5310</v>
      </c>
      <c r="B1201">
        <v>1</v>
      </c>
      <c r="C1201">
        <v>0.161</v>
      </c>
    </row>
    <row r="1202" spans="1:3" x14ac:dyDescent="0.3">
      <c r="A1202" t="s">
        <v>5311</v>
      </c>
      <c r="B1202">
        <v>1</v>
      </c>
      <c r="C1202">
        <v>0.161</v>
      </c>
    </row>
    <row r="1203" spans="1:3" x14ac:dyDescent="0.3">
      <c r="A1203" t="s">
        <v>5312</v>
      </c>
      <c r="B1203">
        <v>1</v>
      </c>
      <c r="C1203">
        <v>0.161</v>
      </c>
    </row>
    <row r="1204" spans="1:3" x14ac:dyDescent="0.3">
      <c r="A1204" t="s">
        <v>5313</v>
      </c>
      <c r="B1204">
        <v>1</v>
      </c>
      <c r="C1204">
        <v>0.161</v>
      </c>
    </row>
    <row r="1205" spans="1:3" x14ac:dyDescent="0.3">
      <c r="A1205" t="s">
        <v>5314</v>
      </c>
      <c r="B1205">
        <v>1</v>
      </c>
      <c r="C1205">
        <v>0.161</v>
      </c>
    </row>
    <row r="1206" spans="1:3" x14ac:dyDescent="0.3">
      <c r="A1206" t="s">
        <v>5315</v>
      </c>
      <c r="B1206">
        <v>1</v>
      </c>
      <c r="C1206">
        <v>0.161</v>
      </c>
    </row>
    <row r="1207" spans="1:3" x14ac:dyDescent="0.3">
      <c r="A1207" t="s">
        <v>5316</v>
      </c>
      <c r="B1207">
        <v>1</v>
      </c>
      <c r="C1207">
        <v>0.161</v>
      </c>
    </row>
    <row r="1208" spans="1:3" x14ac:dyDescent="0.3">
      <c r="A1208" t="s">
        <v>5317</v>
      </c>
      <c r="B1208">
        <v>1</v>
      </c>
      <c r="C1208">
        <v>0.161</v>
      </c>
    </row>
    <row r="1209" spans="1:3" x14ac:dyDescent="0.3">
      <c r="A1209" t="s">
        <v>5318</v>
      </c>
      <c r="B1209">
        <v>1</v>
      </c>
      <c r="C1209">
        <v>0.161</v>
      </c>
    </row>
    <row r="1210" spans="1:3" x14ac:dyDescent="0.3">
      <c r="A1210" t="s">
        <v>5319</v>
      </c>
      <c r="B1210">
        <v>1</v>
      </c>
      <c r="C1210">
        <v>0.161</v>
      </c>
    </row>
    <row r="1211" spans="1:3" x14ac:dyDescent="0.3">
      <c r="A1211" t="s">
        <v>5320</v>
      </c>
      <c r="B1211">
        <v>1</v>
      </c>
      <c r="C1211">
        <v>0.161</v>
      </c>
    </row>
    <row r="1212" spans="1:3" x14ac:dyDescent="0.3">
      <c r="A1212" t="s">
        <v>5321</v>
      </c>
      <c r="B1212">
        <v>1</v>
      </c>
      <c r="C1212">
        <v>0.161</v>
      </c>
    </row>
    <row r="1213" spans="1:3" x14ac:dyDescent="0.3">
      <c r="A1213" t="s">
        <v>5322</v>
      </c>
      <c r="B1213">
        <v>1</v>
      </c>
      <c r="C1213">
        <v>0.161</v>
      </c>
    </row>
    <row r="1214" spans="1:3" x14ac:dyDescent="0.3">
      <c r="A1214" t="s">
        <v>5323</v>
      </c>
      <c r="B1214">
        <v>1</v>
      </c>
      <c r="C1214">
        <v>0.161</v>
      </c>
    </row>
    <row r="1215" spans="1:3" x14ac:dyDescent="0.3">
      <c r="A1215" t="s">
        <v>5324</v>
      </c>
      <c r="B1215">
        <v>1</v>
      </c>
      <c r="C1215">
        <v>0.161</v>
      </c>
    </row>
    <row r="1216" spans="1:3" x14ac:dyDescent="0.3">
      <c r="A1216" t="s">
        <v>5325</v>
      </c>
      <c r="B1216">
        <v>1</v>
      </c>
      <c r="C1216">
        <v>0.161</v>
      </c>
    </row>
    <row r="1217" spans="1:3" x14ac:dyDescent="0.3">
      <c r="A1217" t="s">
        <v>5326</v>
      </c>
      <c r="B1217">
        <v>1</v>
      </c>
      <c r="C1217">
        <v>0.161</v>
      </c>
    </row>
    <row r="1218" spans="1:3" x14ac:dyDescent="0.3">
      <c r="A1218" t="s">
        <v>5327</v>
      </c>
      <c r="B1218">
        <v>1</v>
      </c>
      <c r="C1218">
        <v>0.161</v>
      </c>
    </row>
    <row r="1219" spans="1:3" x14ac:dyDescent="0.3">
      <c r="A1219" t="s">
        <v>5328</v>
      </c>
      <c r="B1219">
        <v>1</v>
      </c>
      <c r="C1219">
        <v>0.161</v>
      </c>
    </row>
    <row r="1220" spans="1:3" x14ac:dyDescent="0.3">
      <c r="A1220" t="s">
        <v>5329</v>
      </c>
      <c r="B1220">
        <v>1</v>
      </c>
      <c r="C1220">
        <v>0.161</v>
      </c>
    </row>
    <row r="1221" spans="1:3" x14ac:dyDescent="0.3">
      <c r="A1221" t="s">
        <v>5330</v>
      </c>
      <c r="B1221">
        <v>1</v>
      </c>
      <c r="C1221">
        <v>0.161</v>
      </c>
    </row>
    <row r="1222" spans="1:3" x14ac:dyDescent="0.3">
      <c r="A1222" t="s">
        <v>5331</v>
      </c>
      <c r="B1222">
        <v>1</v>
      </c>
      <c r="C1222">
        <v>0.161</v>
      </c>
    </row>
    <row r="1223" spans="1:3" x14ac:dyDescent="0.3">
      <c r="A1223" t="s">
        <v>5332</v>
      </c>
      <c r="B1223">
        <v>1</v>
      </c>
      <c r="C1223">
        <v>0.161</v>
      </c>
    </row>
    <row r="1224" spans="1:3" x14ac:dyDescent="0.3">
      <c r="A1224" t="s">
        <v>5333</v>
      </c>
      <c r="B1224">
        <v>1</v>
      </c>
      <c r="C1224">
        <v>0.161</v>
      </c>
    </row>
    <row r="1225" spans="1:3" x14ac:dyDescent="0.3">
      <c r="A1225" t="s">
        <v>5334</v>
      </c>
      <c r="B1225">
        <v>1</v>
      </c>
      <c r="C1225">
        <v>0.161</v>
      </c>
    </row>
    <row r="1226" spans="1:3" x14ac:dyDescent="0.3">
      <c r="A1226" t="s">
        <v>5335</v>
      </c>
      <c r="B1226">
        <v>1</v>
      </c>
      <c r="C1226">
        <v>0.161</v>
      </c>
    </row>
    <row r="1227" spans="1:3" x14ac:dyDescent="0.3">
      <c r="A1227" t="s">
        <v>5336</v>
      </c>
      <c r="B1227">
        <v>1</v>
      </c>
      <c r="C1227">
        <v>0.161</v>
      </c>
    </row>
    <row r="1228" spans="1:3" x14ac:dyDescent="0.3">
      <c r="A1228" t="s">
        <v>5337</v>
      </c>
      <c r="B1228">
        <v>1</v>
      </c>
      <c r="C1228">
        <v>0.161</v>
      </c>
    </row>
    <row r="1229" spans="1:3" x14ac:dyDescent="0.3">
      <c r="A1229" t="s">
        <v>5338</v>
      </c>
      <c r="B1229">
        <v>1</v>
      </c>
      <c r="C1229">
        <v>0.161</v>
      </c>
    </row>
    <row r="1230" spans="1:3" x14ac:dyDescent="0.3">
      <c r="A1230" t="s">
        <v>5339</v>
      </c>
      <c r="B1230">
        <v>1</v>
      </c>
      <c r="C1230">
        <v>0.161</v>
      </c>
    </row>
    <row r="1231" spans="1:3" x14ac:dyDescent="0.3">
      <c r="A1231" t="s">
        <v>5340</v>
      </c>
      <c r="B1231">
        <v>1</v>
      </c>
      <c r="C1231">
        <v>0.161</v>
      </c>
    </row>
    <row r="1232" spans="1:3" x14ac:dyDescent="0.3">
      <c r="A1232" t="s">
        <v>5341</v>
      </c>
      <c r="B1232">
        <v>1</v>
      </c>
      <c r="C1232">
        <v>0.161</v>
      </c>
    </row>
    <row r="1233" spans="1:3" x14ac:dyDescent="0.3">
      <c r="A1233" t="s">
        <v>5342</v>
      </c>
      <c r="B1233">
        <v>1</v>
      </c>
      <c r="C1233">
        <v>0.161</v>
      </c>
    </row>
    <row r="1234" spans="1:3" x14ac:dyDescent="0.3">
      <c r="A1234" t="s">
        <v>5343</v>
      </c>
      <c r="B1234">
        <v>1</v>
      </c>
      <c r="C1234">
        <v>0.161</v>
      </c>
    </row>
    <row r="1235" spans="1:3" x14ac:dyDescent="0.3">
      <c r="A1235" t="s">
        <v>5344</v>
      </c>
      <c r="B1235">
        <v>1</v>
      </c>
      <c r="C1235">
        <v>0.161</v>
      </c>
    </row>
    <row r="1236" spans="1:3" x14ac:dyDescent="0.3">
      <c r="A1236" t="s">
        <v>5345</v>
      </c>
      <c r="B1236">
        <v>1</v>
      </c>
      <c r="C1236">
        <v>0.161</v>
      </c>
    </row>
    <row r="1237" spans="1:3" x14ac:dyDescent="0.3">
      <c r="A1237" t="s">
        <v>5346</v>
      </c>
      <c r="B1237">
        <v>1</v>
      </c>
      <c r="C1237">
        <v>0.161</v>
      </c>
    </row>
    <row r="1238" spans="1:3" x14ac:dyDescent="0.3">
      <c r="A1238" t="s">
        <v>5347</v>
      </c>
      <c r="B1238">
        <v>1</v>
      </c>
      <c r="C1238">
        <v>0.161</v>
      </c>
    </row>
    <row r="1239" spans="1:3" x14ac:dyDescent="0.3">
      <c r="A1239" t="s">
        <v>5348</v>
      </c>
      <c r="B1239">
        <v>1</v>
      </c>
      <c r="C1239">
        <v>0.161</v>
      </c>
    </row>
    <row r="1240" spans="1:3" x14ac:dyDescent="0.3">
      <c r="A1240" t="s">
        <v>5349</v>
      </c>
      <c r="B1240">
        <v>1</v>
      </c>
      <c r="C1240">
        <v>0.161</v>
      </c>
    </row>
    <row r="1241" spans="1:3" x14ac:dyDescent="0.3">
      <c r="A1241" t="s">
        <v>5350</v>
      </c>
      <c r="B1241">
        <v>1</v>
      </c>
      <c r="C1241">
        <v>0.161</v>
      </c>
    </row>
    <row r="1242" spans="1:3" x14ac:dyDescent="0.3">
      <c r="A1242" t="s">
        <v>5351</v>
      </c>
      <c r="B1242">
        <v>1</v>
      </c>
      <c r="C1242">
        <v>0.161</v>
      </c>
    </row>
    <row r="1243" spans="1:3" x14ac:dyDescent="0.3">
      <c r="A1243" t="s">
        <v>5352</v>
      </c>
      <c r="B1243">
        <v>1</v>
      </c>
      <c r="C1243">
        <v>0.161</v>
      </c>
    </row>
    <row r="1244" spans="1:3" x14ac:dyDescent="0.3">
      <c r="A1244" t="s">
        <v>5353</v>
      </c>
      <c r="B1244">
        <v>1</v>
      </c>
      <c r="C1244">
        <v>0.161</v>
      </c>
    </row>
    <row r="1245" spans="1:3" x14ac:dyDescent="0.3">
      <c r="A1245" t="s">
        <v>1717</v>
      </c>
      <c r="B1245">
        <v>1</v>
      </c>
      <c r="C1245">
        <v>0.161</v>
      </c>
    </row>
    <row r="1246" spans="1:3" x14ac:dyDescent="0.3">
      <c r="A1246" t="s">
        <v>5354</v>
      </c>
      <c r="B1246">
        <v>1</v>
      </c>
      <c r="C1246">
        <v>0.161</v>
      </c>
    </row>
    <row r="1247" spans="1:3" x14ac:dyDescent="0.3">
      <c r="A1247" t="s">
        <v>5355</v>
      </c>
      <c r="B1247">
        <v>1</v>
      </c>
      <c r="C1247">
        <v>0.161</v>
      </c>
    </row>
    <row r="1248" spans="1:3" x14ac:dyDescent="0.3">
      <c r="A1248" t="s">
        <v>5356</v>
      </c>
      <c r="B1248">
        <v>1</v>
      </c>
      <c r="C1248">
        <v>0.161</v>
      </c>
    </row>
    <row r="1249" spans="1:3" x14ac:dyDescent="0.3">
      <c r="A1249" t="s">
        <v>5357</v>
      </c>
      <c r="B1249">
        <v>1</v>
      </c>
      <c r="C1249">
        <v>0.161</v>
      </c>
    </row>
    <row r="1250" spans="1:3" x14ac:dyDescent="0.3">
      <c r="A1250" t="s">
        <v>5358</v>
      </c>
      <c r="B1250">
        <v>1</v>
      </c>
      <c r="C1250">
        <v>0.161</v>
      </c>
    </row>
    <row r="1251" spans="1:3" x14ac:dyDescent="0.3">
      <c r="A1251" t="s">
        <v>5359</v>
      </c>
      <c r="B1251">
        <v>1</v>
      </c>
      <c r="C1251">
        <v>0.161</v>
      </c>
    </row>
    <row r="1252" spans="1:3" x14ac:dyDescent="0.3">
      <c r="A1252" t="s">
        <v>5360</v>
      </c>
      <c r="B1252">
        <v>1</v>
      </c>
      <c r="C1252">
        <v>0.161</v>
      </c>
    </row>
    <row r="1253" spans="1:3" x14ac:dyDescent="0.3">
      <c r="A1253" t="s">
        <v>5361</v>
      </c>
      <c r="B1253">
        <v>1</v>
      </c>
      <c r="C1253">
        <v>0.161</v>
      </c>
    </row>
    <row r="1254" spans="1:3" x14ac:dyDescent="0.3">
      <c r="A1254" t="s">
        <v>5362</v>
      </c>
      <c r="B1254">
        <v>1</v>
      </c>
      <c r="C1254">
        <v>0.161</v>
      </c>
    </row>
    <row r="1255" spans="1:3" x14ac:dyDescent="0.3">
      <c r="A1255" t="s">
        <v>5363</v>
      </c>
      <c r="B1255">
        <v>1</v>
      </c>
      <c r="C1255">
        <v>0.161</v>
      </c>
    </row>
    <row r="1256" spans="1:3" x14ac:dyDescent="0.3">
      <c r="A1256" t="s">
        <v>5364</v>
      </c>
      <c r="B1256">
        <v>1</v>
      </c>
      <c r="C1256">
        <v>0.161</v>
      </c>
    </row>
    <row r="1257" spans="1:3" x14ac:dyDescent="0.3">
      <c r="A1257" t="s">
        <v>5365</v>
      </c>
      <c r="B1257">
        <v>1</v>
      </c>
      <c r="C1257">
        <v>0.161</v>
      </c>
    </row>
    <row r="1258" spans="1:3" x14ac:dyDescent="0.3">
      <c r="A1258" t="s">
        <v>5366</v>
      </c>
      <c r="B1258">
        <v>1</v>
      </c>
      <c r="C1258">
        <v>0.161</v>
      </c>
    </row>
    <row r="1259" spans="1:3" x14ac:dyDescent="0.3">
      <c r="A1259" t="s">
        <v>5367</v>
      </c>
      <c r="B1259">
        <v>1</v>
      </c>
      <c r="C1259">
        <v>0.161</v>
      </c>
    </row>
    <row r="1260" spans="1:3" x14ac:dyDescent="0.3">
      <c r="A1260" t="s">
        <v>5368</v>
      </c>
      <c r="B1260">
        <v>1</v>
      </c>
      <c r="C1260">
        <v>0.161</v>
      </c>
    </row>
    <row r="1261" spans="1:3" x14ac:dyDescent="0.3">
      <c r="A1261" t="s">
        <v>5369</v>
      </c>
      <c r="B1261">
        <v>1</v>
      </c>
      <c r="C1261">
        <v>0.161</v>
      </c>
    </row>
    <row r="1262" spans="1:3" x14ac:dyDescent="0.3">
      <c r="A1262" t="s">
        <v>5370</v>
      </c>
      <c r="B1262">
        <v>1</v>
      </c>
      <c r="C1262">
        <v>0.161</v>
      </c>
    </row>
    <row r="1263" spans="1:3" x14ac:dyDescent="0.3">
      <c r="A1263" t="s">
        <v>5371</v>
      </c>
      <c r="B1263">
        <v>1</v>
      </c>
      <c r="C1263">
        <v>0.161</v>
      </c>
    </row>
    <row r="1264" spans="1:3" x14ac:dyDescent="0.3">
      <c r="A1264" t="s">
        <v>5372</v>
      </c>
      <c r="B1264">
        <v>1</v>
      </c>
      <c r="C1264">
        <v>0.161</v>
      </c>
    </row>
    <row r="1265" spans="1:3" x14ac:dyDescent="0.3">
      <c r="A1265" t="s">
        <v>5373</v>
      </c>
      <c r="B1265">
        <v>1</v>
      </c>
      <c r="C1265">
        <v>0.161</v>
      </c>
    </row>
    <row r="1266" spans="1:3" x14ac:dyDescent="0.3">
      <c r="A1266" t="s">
        <v>5374</v>
      </c>
      <c r="B1266">
        <v>1</v>
      </c>
      <c r="C1266">
        <v>0.161</v>
      </c>
    </row>
    <row r="1267" spans="1:3" x14ac:dyDescent="0.3">
      <c r="A1267" t="s">
        <v>5375</v>
      </c>
      <c r="B1267">
        <v>1</v>
      </c>
      <c r="C1267">
        <v>0.161</v>
      </c>
    </row>
    <row r="1268" spans="1:3" x14ac:dyDescent="0.3">
      <c r="A1268" t="s">
        <v>5376</v>
      </c>
      <c r="B1268">
        <v>1</v>
      </c>
      <c r="C1268">
        <v>0.161</v>
      </c>
    </row>
    <row r="1269" spans="1:3" x14ac:dyDescent="0.3">
      <c r="A1269" t="s">
        <v>5377</v>
      </c>
      <c r="B1269">
        <v>1</v>
      </c>
      <c r="C1269">
        <v>0.161</v>
      </c>
    </row>
    <row r="1270" spans="1:3" x14ac:dyDescent="0.3">
      <c r="A1270" t="s">
        <v>5378</v>
      </c>
      <c r="B1270">
        <v>1</v>
      </c>
      <c r="C1270">
        <v>0.161</v>
      </c>
    </row>
    <row r="1271" spans="1:3" x14ac:dyDescent="0.3">
      <c r="A1271" t="s">
        <v>5379</v>
      </c>
      <c r="B1271">
        <v>1</v>
      </c>
      <c r="C1271">
        <v>0.161</v>
      </c>
    </row>
    <row r="1272" spans="1:3" x14ac:dyDescent="0.3">
      <c r="A1272" t="s">
        <v>5380</v>
      </c>
      <c r="B1272">
        <v>1</v>
      </c>
      <c r="C1272">
        <v>0.161</v>
      </c>
    </row>
    <row r="1273" spans="1:3" x14ac:dyDescent="0.3">
      <c r="A1273" t="s">
        <v>5381</v>
      </c>
      <c r="B1273">
        <v>1</v>
      </c>
      <c r="C1273">
        <v>0.161</v>
      </c>
    </row>
    <row r="1274" spans="1:3" x14ac:dyDescent="0.3">
      <c r="A1274" t="s">
        <v>5382</v>
      </c>
      <c r="B1274">
        <v>1</v>
      </c>
      <c r="C1274">
        <v>0.161</v>
      </c>
    </row>
    <row r="1275" spans="1:3" x14ac:dyDescent="0.3">
      <c r="A1275" t="s">
        <v>5383</v>
      </c>
      <c r="B1275">
        <v>1</v>
      </c>
      <c r="C1275">
        <v>0.161</v>
      </c>
    </row>
    <row r="1276" spans="1:3" x14ac:dyDescent="0.3">
      <c r="A1276" t="s">
        <v>5384</v>
      </c>
      <c r="B1276">
        <v>1</v>
      </c>
      <c r="C1276">
        <v>0.161</v>
      </c>
    </row>
    <row r="1277" spans="1:3" x14ac:dyDescent="0.3">
      <c r="A1277" t="s">
        <v>5385</v>
      </c>
      <c r="B1277">
        <v>1</v>
      </c>
      <c r="C1277">
        <v>0.161</v>
      </c>
    </row>
    <row r="1278" spans="1:3" x14ac:dyDescent="0.3">
      <c r="A1278" t="s">
        <v>5386</v>
      </c>
      <c r="B1278">
        <v>1</v>
      </c>
      <c r="C1278">
        <v>0.161</v>
      </c>
    </row>
    <row r="1279" spans="1:3" x14ac:dyDescent="0.3">
      <c r="A1279" t="s">
        <v>5387</v>
      </c>
      <c r="B1279">
        <v>1</v>
      </c>
      <c r="C1279">
        <v>0.161</v>
      </c>
    </row>
    <row r="1280" spans="1:3" x14ac:dyDescent="0.3">
      <c r="A1280" t="s">
        <v>5388</v>
      </c>
      <c r="B1280">
        <v>1</v>
      </c>
      <c r="C1280">
        <v>0.161</v>
      </c>
    </row>
    <row r="1281" spans="1:3" x14ac:dyDescent="0.3">
      <c r="A1281" t="s">
        <v>5389</v>
      </c>
      <c r="B1281">
        <v>1</v>
      </c>
      <c r="C1281">
        <v>0.161</v>
      </c>
    </row>
    <row r="1282" spans="1:3" x14ac:dyDescent="0.3">
      <c r="A1282" t="s">
        <v>5390</v>
      </c>
      <c r="B1282">
        <v>1</v>
      </c>
      <c r="C1282">
        <v>0.161</v>
      </c>
    </row>
    <row r="1283" spans="1:3" x14ac:dyDescent="0.3">
      <c r="A1283" t="s">
        <v>5391</v>
      </c>
      <c r="B1283">
        <v>1</v>
      </c>
      <c r="C1283">
        <v>0.161</v>
      </c>
    </row>
    <row r="1284" spans="1:3" x14ac:dyDescent="0.3">
      <c r="A1284" t="s">
        <v>5392</v>
      </c>
      <c r="B1284">
        <v>1</v>
      </c>
      <c r="C1284">
        <v>0.161</v>
      </c>
    </row>
    <row r="1285" spans="1:3" x14ac:dyDescent="0.3">
      <c r="A1285" t="s">
        <v>5393</v>
      </c>
      <c r="B1285">
        <v>1</v>
      </c>
      <c r="C1285">
        <v>0.161</v>
      </c>
    </row>
    <row r="1286" spans="1:3" x14ac:dyDescent="0.3">
      <c r="A1286" t="s">
        <v>5394</v>
      </c>
      <c r="B1286">
        <v>1</v>
      </c>
      <c r="C1286">
        <v>0.161</v>
      </c>
    </row>
    <row r="1287" spans="1:3" x14ac:dyDescent="0.3">
      <c r="A1287" t="s">
        <v>5395</v>
      </c>
      <c r="B1287">
        <v>1</v>
      </c>
      <c r="C1287">
        <v>0.161</v>
      </c>
    </row>
    <row r="1288" spans="1:3" x14ac:dyDescent="0.3">
      <c r="A1288" t="s">
        <v>5396</v>
      </c>
      <c r="B1288">
        <v>1</v>
      </c>
      <c r="C1288">
        <v>0.161</v>
      </c>
    </row>
    <row r="1289" spans="1:3" x14ac:dyDescent="0.3">
      <c r="A1289" t="s">
        <v>5397</v>
      </c>
      <c r="B1289">
        <v>1</v>
      </c>
      <c r="C1289">
        <v>0.161</v>
      </c>
    </row>
    <row r="1290" spans="1:3" x14ac:dyDescent="0.3">
      <c r="A1290" t="s">
        <v>5398</v>
      </c>
      <c r="B1290">
        <v>1</v>
      </c>
      <c r="C1290">
        <v>0.161</v>
      </c>
    </row>
    <row r="1291" spans="1:3" x14ac:dyDescent="0.3">
      <c r="A1291" t="s">
        <v>5399</v>
      </c>
      <c r="B1291">
        <v>1</v>
      </c>
      <c r="C1291">
        <v>0.161</v>
      </c>
    </row>
    <row r="1292" spans="1:3" x14ac:dyDescent="0.3">
      <c r="A1292" t="s">
        <v>5400</v>
      </c>
      <c r="B1292">
        <v>1</v>
      </c>
      <c r="C1292">
        <v>0.161</v>
      </c>
    </row>
    <row r="1293" spans="1:3" x14ac:dyDescent="0.3">
      <c r="A1293" t="s">
        <v>5401</v>
      </c>
      <c r="B1293">
        <v>1</v>
      </c>
      <c r="C1293">
        <v>0.161</v>
      </c>
    </row>
    <row r="1294" spans="1:3" x14ac:dyDescent="0.3">
      <c r="A1294" t="s">
        <v>5402</v>
      </c>
      <c r="B1294">
        <v>1</v>
      </c>
      <c r="C1294">
        <v>0.161</v>
      </c>
    </row>
    <row r="1295" spans="1:3" x14ac:dyDescent="0.3">
      <c r="A1295" t="s">
        <v>5403</v>
      </c>
      <c r="B1295">
        <v>1</v>
      </c>
      <c r="C1295">
        <v>0.161</v>
      </c>
    </row>
    <row r="1296" spans="1:3" x14ac:dyDescent="0.3">
      <c r="A1296" t="s">
        <v>5404</v>
      </c>
      <c r="B1296">
        <v>1</v>
      </c>
      <c r="C1296">
        <v>0.161</v>
      </c>
    </row>
    <row r="1297" spans="1:3" x14ac:dyDescent="0.3">
      <c r="A1297" t="s">
        <v>5405</v>
      </c>
      <c r="B1297">
        <v>1</v>
      </c>
      <c r="C1297">
        <v>0.161</v>
      </c>
    </row>
    <row r="1298" spans="1:3" x14ac:dyDescent="0.3">
      <c r="A1298" t="s">
        <v>5406</v>
      </c>
      <c r="B1298">
        <v>1</v>
      </c>
      <c r="C1298">
        <v>0.161</v>
      </c>
    </row>
    <row r="1299" spans="1:3" x14ac:dyDescent="0.3">
      <c r="A1299" t="s">
        <v>5407</v>
      </c>
      <c r="B1299">
        <v>1</v>
      </c>
      <c r="C1299">
        <v>0.161</v>
      </c>
    </row>
    <row r="1300" spans="1:3" x14ac:dyDescent="0.3">
      <c r="A1300" t="s">
        <v>5408</v>
      </c>
      <c r="B1300">
        <v>1</v>
      </c>
      <c r="C1300">
        <v>0.161</v>
      </c>
    </row>
    <row r="1301" spans="1:3" x14ac:dyDescent="0.3">
      <c r="A1301" t="s">
        <v>5409</v>
      </c>
      <c r="B1301">
        <v>1</v>
      </c>
      <c r="C1301">
        <v>0.161</v>
      </c>
    </row>
    <row r="1302" spans="1:3" x14ac:dyDescent="0.3">
      <c r="A1302" t="s">
        <v>5410</v>
      </c>
      <c r="B1302">
        <v>1</v>
      </c>
      <c r="C1302">
        <v>0.161</v>
      </c>
    </row>
    <row r="1303" spans="1:3" x14ac:dyDescent="0.3">
      <c r="A1303" t="s">
        <v>5411</v>
      </c>
      <c r="B1303">
        <v>1</v>
      </c>
      <c r="C1303">
        <v>0.161</v>
      </c>
    </row>
    <row r="1304" spans="1:3" x14ac:dyDescent="0.3">
      <c r="A1304" t="s">
        <v>5412</v>
      </c>
      <c r="B1304">
        <v>1</v>
      </c>
      <c r="C1304">
        <v>0.161</v>
      </c>
    </row>
    <row r="1305" spans="1:3" x14ac:dyDescent="0.3">
      <c r="A1305" t="s">
        <v>5413</v>
      </c>
      <c r="B1305">
        <v>1</v>
      </c>
      <c r="C1305">
        <v>0.161</v>
      </c>
    </row>
    <row r="1306" spans="1:3" x14ac:dyDescent="0.3">
      <c r="A1306" t="s">
        <v>5414</v>
      </c>
      <c r="B1306">
        <v>1</v>
      </c>
      <c r="C1306">
        <v>0.161</v>
      </c>
    </row>
    <row r="1307" spans="1:3" x14ac:dyDescent="0.3">
      <c r="A1307" t="s">
        <v>5415</v>
      </c>
      <c r="B1307">
        <v>1</v>
      </c>
      <c r="C1307">
        <v>0.161</v>
      </c>
    </row>
    <row r="1308" spans="1:3" x14ac:dyDescent="0.3">
      <c r="A1308" t="s">
        <v>5416</v>
      </c>
      <c r="B1308">
        <v>1</v>
      </c>
      <c r="C1308">
        <v>0.161</v>
      </c>
    </row>
    <row r="1309" spans="1:3" x14ac:dyDescent="0.3">
      <c r="A1309" t="s">
        <v>5417</v>
      </c>
      <c r="B1309">
        <v>1</v>
      </c>
      <c r="C1309">
        <v>0.161</v>
      </c>
    </row>
    <row r="1310" spans="1:3" x14ac:dyDescent="0.3">
      <c r="A1310" t="s">
        <v>5418</v>
      </c>
      <c r="B1310">
        <v>1</v>
      </c>
      <c r="C1310">
        <v>0.161</v>
      </c>
    </row>
    <row r="1311" spans="1:3" x14ac:dyDescent="0.3">
      <c r="A1311" t="s">
        <v>5419</v>
      </c>
      <c r="B1311">
        <v>1</v>
      </c>
      <c r="C1311">
        <v>0.161</v>
      </c>
    </row>
    <row r="1312" spans="1:3" x14ac:dyDescent="0.3">
      <c r="A1312" t="s">
        <v>5420</v>
      </c>
      <c r="B1312">
        <v>1</v>
      </c>
      <c r="C1312">
        <v>0.161</v>
      </c>
    </row>
    <row r="1313" spans="1:3" x14ac:dyDescent="0.3">
      <c r="A1313" t="s">
        <v>5421</v>
      </c>
      <c r="B1313">
        <v>1</v>
      </c>
      <c r="C1313">
        <v>0.161</v>
      </c>
    </row>
    <row r="1314" spans="1:3" x14ac:dyDescent="0.3">
      <c r="A1314" t="s">
        <v>5422</v>
      </c>
      <c r="B1314">
        <v>1</v>
      </c>
      <c r="C1314">
        <v>0.161</v>
      </c>
    </row>
    <row r="1315" spans="1:3" x14ac:dyDescent="0.3">
      <c r="A1315" t="s">
        <v>5423</v>
      </c>
      <c r="B1315">
        <v>1</v>
      </c>
      <c r="C1315">
        <v>0.161</v>
      </c>
    </row>
    <row r="1316" spans="1:3" x14ac:dyDescent="0.3">
      <c r="A1316" t="s">
        <v>5424</v>
      </c>
      <c r="B1316">
        <v>1</v>
      </c>
      <c r="C1316">
        <v>0.161</v>
      </c>
    </row>
    <row r="1317" spans="1:3" x14ac:dyDescent="0.3">
      <c r="A1317" t="s">
        <v>5425</v>
      </c>
      <c r="B1317">
        <v>1</v>
      </c>
      <c r="C1317">
        <v>0.161</v>
      </c>
    </row>
    <row r="1318" spans="1:3" x14ac:dyDescent="0.3">
      <c r="A1318" t="s">
        <v>5426</v>
      </c>
      <c r="B1318">
        <v>1</v>
      </c>
      <c r="C1318">
        <v>0.161</v>
      </c>
    </row>
    <row r="1319" spans="1:3" x14ac:dyDescent="0.3">
      <c r="A1319" t="s">
        <v>5427</v>
      </c>
      <c r="B1319">
        <v>1</v>
      </c>
      <c r="C1319">
        <v>0.161</v>
      </c>
    </row>
    <row r="1320" spans="1:3" x14ac:dyDescent="0.3">
      <c r="A1320" t="s">
        <v>5428</v>
      </c>
      <c r="B1320">
        <v>1</v>
      </c>
      <c r="C1320">
        <v>0.161</v>
      </c>
    </row>
    <row r="1321" spans="1:3" x14ac:dyDescent="0.3">
      <c r="A1321" t="s">
        <v>5429</v>
      </c>
      <c r="B1321">
        <v>1</v>
      </c>
      <c r="C1321">
        <v>0.161</v>
      </c>
    </row>
    <row r="1322" spans="1:3" x14ac:dyDescent="0.3">
      <c r="A1322" t="s">
        <v>5430</v>
      </c>
      <c r="B1322">
        <v>1</v>
      </c>
      <c r="C1322">
        <v>0.161</v>
      </c>
    </row>
    <row r="1323" spans="1:3" x14ac:dyDescent="0.3">
      <c r="A1323" t="s">
        <v>5431</v>
      </c>
      <c r="B1323">
        <v>1</v>
      </c>
      <c r="C1323">
        <v>0.161</v>
      </c>
    </row>
    <row r="1324" spans="1:3" x14ac:dyDescent="0.3">
      <c r="A1324" t="s">
        <v>5432</v>
      </c>
      <c r="B1324">
        <v>1</v>
      </c>
      <c r="C1324">
        <v>0.161</v>
      </c>
    </row>
    <row r="1325" spans="1:3" x14ac:dyDescent="0.3">
      <c r="A1325" t="s">
        <v>5433</v>
      </c>
      <c r="B1325">
        <v>1</v>
      </c>
      <c r="C1325">
        <v>0.161</v>
      </c>
    </row>
    <row r="1326" spans="1:3" x14ac:dyDescent="0.3">
      <c r="A1326" t="s">
        <v>5434</v>
      </c>
      <c r="B1326">
        <v>1</v>
      </c>
      <c r="C1326">
        <v>0.161</v>
      </c>
    </row>
    <row r="1327" spans="1:3" x14ac:dyDescent="0.3">
      <c r="A1327" t="s">
        <v>5435</v>
      </c>
      <c r="B1327">
        <v>1</v>
      </c>
      <c r="C1327">
        <v>0.161</v>
      </c>
    </row>
    <row r="1328" spans="1:3" x14ac:dyDescent="0.3">
      <c r="A1328" t="s">
        <v>5436</v>
      </c>
      <c r="B1328">
        <v>1</v>
      </c>
      <c r="C1328">
        <v>0.161</v>
      </c>
    </row>
    <row r="1329" spans="1:3" x14ac:dyDescent="0.3">
      <c r="A1329" t="s">
        <v>5437</v>
      </c>
      <c r="B1329">
        <v>1</v>
      </c>
      <c r="C1329">
        <v>0.161</v>
      </c>
    </row>
    <row r="1330" spans="1:3" x14ac:dyDescent="0.3">
      <c r="A1330" t="s">
        <v>5438</v>
      </c>
      <c r="B1330">
        <v>1</v>
      </c>
      <c r="C1330">
        <v>0.161</v>
      </c>
    </row>
    <row r="1331" spans="1:3" x14ac:dyDescent="0.3">
      <c r="A1331" t="s">
        <v>5439</v>
      </c>
      <c r="B1331">
        <v>1</v>
      </c>
      <c r="C1331">
        <v>0.161</v>
      </c>
    </row>
    <row r="1332" spans="1:3" x14ac:dyDescent="0.3">
      <c r="A1332" t="s">
        <v>5440</v>
      </c>
      <c r="B1332">
        <v>1</v>
      </c>
      <c r="C1332">
        <v>0.161</v>
      </c>
    </row>
    <row r="1333" spans="1:3" x14ac:dyDescent="0.3">
      <c r="A1333" t="s">
        <v>5441</v>
      </c>
      <c r="B1333">
        <v>1</v>
      </c>
      <c r="C1333">
        <v>0.161</v>
      </c>
    </row>
    <row r="1334" spans="1:3" x14ac:dyDescent="0.3">
      <c r="A1334" t="s">
        <v>5442</v>
      </c>
      <c r="B1334">
        <v>1</v>
      </c>
      <c r="C1334">
        <v>0.161</v>
      </c>
    </row>
    <row r="1335" spans="1:3" x14ac:dyDescent="0.3">
      <c r="A1335" t="s">
        <v>5443</v>
      </c>
      <c r="B1335">
        <v>1</v>
      </c>
      <c r="C1335">
        <v>0.161</v>
      </c>
    </row>
    <row r="1336" spans="1:3" x14ac:dyDescent="0.3">
      <c r="A1336" t="s">
        <v>5444</v>
      </c>
      <c r="B1336">
        <v>1</v>
      </c>
      <c r="C1336">
        <v>0.161</v>
      </c>
    </row>
    <row r="1337" spans="1:3" x14ac:dyDescent="0.3">
      <c r="A1337" t="s">
        <v>5445</v>
      </c>
      <c r="B1337">
        <v>1</v>
      </c>
      <c r="C1337">
        <v>0.161</v>
      </c>
    </row>
    <row r="1338" spans="1:3" x14ac:dyDescent="0.3">
      <c r="A1338" t="s">
        <v>5446</v>
      </c>
      <c r="B1338">
        <v>1</v>
      </c>
      <c r="C1338">
        <v>0.161</v>
      </c>
    </row>
    <row r="1339" spans="1:3" x14ac:dyDescent="0.3">
      <c r="A1339" t="s">
        <v>5447</v>
      </c>
      <c r="B1339">
        <v>1</v>
      </c>
      <c r="C1339">
        <v>0.161</v>
      </c>
    </row>
    <row r="1340" spans="1:3" x14ac:dyDescent="0.3">
      <c r="A1340" t="s">
        <v>5448</v>
      </c>
      <c r="B1340">
        <v>1</v>
      </c>
      <c r="C1340">
        <v>0.161</v>
      </c>
    </row>
    <row r="1341" spans="1:3" x14ac:dyDescent="0.3">
      <c r="A1341" t="s">
        <v>5449</v>
      </c>
      <c r="B1341">
        <v>1</v>
      </c>
      <c r="C1341">
        <v>0.161</v>
      </c>
    </row>
    <row r="1342" spans="1:3" x14ac:dyDescent="0.3">
      <c r="A1342" t="s">
        <v>5450</v>
      </c>
      <c r="B1342">
        <v>1</v>
      </c>
      <c r="C1342">
        <v>0.161</v>
      </c>
    </row>
    <row r="1343" spans="1:3" x14ac:dyDescent="0.3">
      <c r="A1343" t="s">
        <v>5451</v>
      </c>
      <c r="B1343">
        <v>1</v>
      </c>
      <c r="C1343">
        <v>0.161</v>
      </c>
    </row>
    <row r="1344" spans="1:3" x14ac:dyDescent="0.3">
      <c r="A1344" t="s">
        <v>5452</v>
      </c>
      <c r="B1344">
        <v>1</v>
      </c>
      <c r="C1344">
        <v>0.161</v>
      </c>
    </row>
    <row r="1345" spans="1:3" x14ac:dyDescent="0.3">
      <c r="A1345" t="s">
        <v>5453</v>
      </c>
      <c r="B1345">
        <v>1</v>
      </c>
      <c r="C1345">
        <v>0.161</v>
      </c>
    </row>
    <row r="1346" spans="1:3" x14ac:dyDescent="0.3">
      <c r="A1346" t="s">
        <v>5454</v>
      </c>
      <c r="B1346">
        <v>1</v>
      </c>
      <c r="C1346">
        <v>0.161</v>
      </c>
    </row>
    <row r="1347" spans="1:3" x14ac:dyDescent="0.3">
      <c r="A1347" t="s">
        <v>5455</v>
      </c>
      <c r="B1347">
        <v>1</v>
      </c>
      <c r="C1347">
        <v>0.161</v>
      </c>
    </row>
    <row r="1348" spans="1:3" x14ac:dyDescent="0.3">
      <c r="A1348" t="s">
        <v>5456</v>
      </c>
      <c r="B1348">
        <v>1</v>
      </c>
      <c r="C1348">
        <v>0.161</v>
      </c>
    </row>
    <row r="1349" spans="1:3" x14ac:dyDescent="0.3">
      <c r="A1349" t="s">
        <v>5457</v>
      </c>
      <c r="B1349">
        <v>1</v>
      </c>
      <c r="C1349">
        <v>0.161</v>
      </c>
    </row>
    <row r="1350" spans="1:3" x14ac:dyDescent="0.3">
      <c r="A1350" t="s">
        <v>5458</v>
      </c>
      <c r="B1350">
        <v>1</v>
      </c>
      <c r="C1350">
        <v>0.161</v>
      </c>
    </row>
    <row r="1351" spans="1:3" x14ac:dyDescent="0.3">
      <c r="A1351" t="s">
        <v>5459</v>
      </c>
      <c r="B1351">
        <v>1</v>
      </c>
      <c r="C1351">
        <v>0.161</v>
      </c>
    </row>
    <row r="1352" spans="1:3" x14ac:dyDescent="0.3">
      <c r="A1352" t="s">
        <v>5460</v>
      </c>
      <c r="B1352">
        <v>1</v>
      </c>
      <c r="C1352">
        <v>0.161</v>
      </c>
    </row>
    <row r="1353" spans="1:3" x14ac:dyDescent="0.3">
      <c r="A1353" t="s">
        <v>5461</v>
      </c>
      <c r="B1353">
        <v>1</v>
      </c>
      <c r="C1353">
        <v>0.161</v>
      </c>
    </row>
    <row r="1354" spans="1:3" x14ac:dyDescent="0.3">
      <c r="A1354" t="s">
        <v>5462</v>
      </c>
      <c r="B1354">
        <v>1</v>
      </c>
      <c r="C1354">
        <v>0.161</v>
      </c>
    </row>
    <row r="1355" spans="1:3" x14ac:dyDescent="0.3">
      <c r="A1355" t="s">
        <v>5463</v>
      </c>
      <c r="B1355">
        <v>1</v>
      </c>
      <c r="C1355">
        <v>0.161</v>
      </c>
    </row>
    <row r="1356" spans="1:3" x14ac:dyDescent="0.3">
      <c r="A1356" t="s">
        <v>5464</v>
      </c>
      <c r="B1356">
        <v>1</v>
      </c>
      <c r="C1356">
        <v>0.161</v>
      </c>
    </row>
    <row r="1357" spans="1:3" x14ac:dyDescent="0.3">
      <c r="A1357" t="s">
        <v>5465</v>
      </c>
      <c r="B1357">
        <v>1</v>
      </c>
      <c r="C1357">
        <v>0.161</v>
      </c>
    </row>
    <row r="1358" spans="1:3" x14ac:dyDescent="0.3">
      <c r="A1358" t="s">
        <v>5466</v>
      </c>
      <c r="B1358">
        <v>1</v>
      </c>
      <c r="C1358">
        <v>0.161</v>
      </c>
    </row>
    <row r="1359" spans="1:3" x14ac:dyDescent="0.3">
      <c r="A1359" t="s">
        <v>5467</v>
      </c>
      <c r="B1359">
        <v>1</v>
      </c>
      <c r="C1359">
        <v>0.161</v>
      </c>
    </row>
    <row r="1360" spans="1:3" x14ac:dyDescent="0.3">
      <c r="A1360" t="s">
        <v>5468</v>
      </c>
      <c r="B1360">
        <v>1</v>
      </c>
      <c r="C1360">
        <v>0.161</v>
      </c>
    </row>
    <row r="1361" spans="1:3" x14ac:dyDescent="0.3">
      <c r="A1361" t="s">
        <v>5469</v>
      </c>
      <c r="B1361">
        <v>1</v>
      </c>
      <c r="C1361">
        <v>0.161</v>
      </c>
    </row>
    <row r="1362" spans="1:3" x14ac:dyDescent="0.3">
      <c r="A1362" t="s">
        <v>5470</v>
      </c>
      <c r="B1362">
        <v>1</v>
      </c>
      <c r="C1362">
        <v>0.161</v>
      </c>
    </row>
    <row r="1363" spans="1:3" x14ac:dyDescent="0.3">
      <c r="A1363" t="s">
        <v>5471</v>
      </c>
      <c r="B1363">
        <v>1</v>
      </c>
      <c r="C1363">
        <v>0.161</v>
      </c>
    </row>
    <row r="1364" spans="1:3" x14ac:dyDescent="0.3">
      <c r="A1364" t="s">
        <v>5472</v>
      </c>
      <c r="B1364">
        <v>1</v>
      </c>
      <c r="C1364">
        <v>0.161</v>
      </c>
    </row>
    <row r="1365" spans="1:3" x14ac:dyDescent="0.3">
      <c r="A1365" t="s">
        <v>5473</v>
      </c>
      <c r="B1365">
        <v>1</v>
      </c>
      <c r="C1365">
        <v>0.161</v>
      </c>
    </row>
    <row r="1366" spans="1:3" x14ac:dyDescent="0.3">
      <c r="A1366" t="s">
        <v>5474</v>
      </c>
      <c r="B1366">
        <v>1</v>
      </c>
      <c r="C1366">
        <v>0.161</v>
      </c>
    </row>
    <row r="1367" spans="1:3" x14ac:dyDescent="0.3">
      <c r="A1367" t="s">
        <v>5475</v>
      </c>
      <c r="B1367">
        <v>1</v>
      </c>
      <c r="C1367">
        <v>0.161</v>
      </c>
    </row>
    <row r="1368" spans="1:3" x14ac:dyDescent="0.3">
      <c r="A1368" t="s">
        <v>5476</v>
      </c>
      <c r="B1368">
        <v>1</v>
      </c>
      <c r="C1368">
        <v>0.161</v>
      </c>
    </row>
    <row r="1369" spans="1:3" x14ac:dyDescent="0.3">
      <c r="A1369" t="s">
        <v>5477</v>
      </c>
      <c r="B1369">
        <v>1</v>
      </c>
      <c r="C1369">
        <v>0.161</v>
      </c>
    </row>
    <row r="1370" spans="1:3" x14ac:dyDescent="0.3">
      <c r="A1370" t="s">
        <v>5478</v>
      </c>
      <c r="B1370">
        <v>1</v>
      </c>
      <c r="C1370">
        <v>0.161</v>
      </c>
    </row>
    <row r="1371" spans="1:3" x14ac:dyDescent="0.3">
      <c r="A1371" t="s">
        <v>5479</v>
      </c>
      <c r="B1371">
        <v>1</v>
      </c>
      <c r="C1371">
        <v>0.161</v>
      </c>
    </row>
    <row r="1372" spans="1:3" x14ac:dyDescent="0.3">
      <c r="A1372" t="s">
        <v>5480</v>
      </c>
      <c r="B1372">
        <v>1</v>
      </c>
      <c r="C1372">
        <v>0.161</v>
      </c>
    </row>
    <row r="1373" spans="1:3" x14ac:dyDescent="0.3">
      <c r="A1373" t="s">
        <v>5481</v>
      </c>
      <c r="B1373">
        <v>1</v>
      </c>
      <c r="C1373">
        <v>0.161</v>
      </c>
    </row>
    <row r="1374" spans="1:3" x14ac:dyDescent="0.3">
      <c r="A1374" t="s">
        <v>5482</v>
      </c>
      <c r="B1374">
        <v>1</v>
      </c>
      <c r="C1374">
        <v>0.161</v>
      </c>
    </row>
    <row r="1375" spans="1:3" x14ac:dyDescent="0.3">
      <c r="A1375" t="s">
        <v>5483</v>
      </c>
      <c r="B1375">
        <v>1</v>
      </c>
      <c r="C1375">
        <v>0.161</v>
      </c>
    </row>
    <row r="1376" spans="1:3" x14ac:dyDescent="0.3">
      <c r="A1376" t="s">
        <v>5484</v>
      </c>
      <c r="B1376">
        <v>1</v>
      </c>
      <c r="C1376">
        <v>0.161</v>
      </c>
    </row>
    <row r="1377" spans="1:3" x14ac:dyDescent="0.3">
      <c r="A1377" t="s">
        <v>5485</v>
      </c>
      <c r="B1377">
        <v>1</v>
      </c>
      <c r="C1377">
        <v>0.161</v>
      </c>
    </row>
    <row r="1378" spans="1:3" x14ac:dyDescent="0.3">
      <c r="A1378" t="s">
        <v>5486</v>
      </c>
      <c r="B1378">
        <v>1</v>
      </c>
      <c r="C1378">
        <v>0.161</v>
      </c>
    </row>
    <row r="1379" spans="1:3" x14ac:dyDescent="0.3">
      <c r="A1379" t="s">
        <v>5487</v>
      </c>
      <c r="B1379">
        <v>1</v>
      </c>
      <c r="C1379">
        <v>0.161</v>
      </c>
    </row>
    <row r="1380" spans="1:3" x14ac:dyDescent="0.3">
      <c r="A1380" t="s">
        <v>5488</v>
      </c>
      <c r="B1380">
        <v>1</v>
      </c>
      <c r="C1380">
        <v>0.161</v>
      </c>
    </row>
    <row r="1381" spans="1:3" x14ac:dyDescent="0.3">
      <c r="A1381" t="s">
        <v>5489</v>
      </c>
      <c r="B1381">
        <v>1</v>
      </c>
      <c r="C1381">
        <v>0.161</v>
      </c>
    </row>
    <row r="1382" spans="1:3" x14ac:dyDescent="0.3">
      <c r="A1382" t="s">
        <v>5490</v>
      </c>
      <c r="B1382">
        <v>1</v>
      </c>
      <c r="C1382">
        <v>0.161</v>
      </c>
    </row>
    <row r="1383" spans="1:3" x14ac:dyDescent="0.3">
      <c r="A1383" t="s">
        <v>5491</v>
      </c>
      <c r="B1383">
        <v>1</v>
      </c>
      <c r="C1383">
        <v>0.161</v>
      </c>
    </row>
    <row r="1384" spans="1:3" x14ac:dyDescent="0.3">
      <c r="A1384" t="s">
        <v>5492</v>
      </c>
      <c r="B1384">
        <v>1</v>
      </c>
      <c r="C1384">
        <v>0.161</v>
      </c>
    </row>
    <row r="1385" spans="1:3" x14ac:dyDescent="0.3">
      <c r="A1385" t="s">
        <v>5493</v>
      </c>
      <c r="B1385">
        <v>1</v>
      </c>
      <c r="C1385">
        <v>0.161</v>
      </c>
    </row>
    <row r="1386" spans="1:3" x14ac:dyDescent="0.3">
      <c r="A1386" t="s">
        <v>5494</v>
      </c>
      <c r="B1386">
        <v>1</v>
      </c>
      <c r="C1386">
        <v>0.161</v>
      </c>
    </row>
    <row r="1387" spans="1:3" x14ac:dyDescent="0.3">
      <c r="A1387" t="s">
        <v>5495</v>
      </c>
      <c r="B1387">
        <v>1</v>
      </c>
      <c r="C1387">
        <v>0.161</v>
      </c>
    </row>
    <row r="1388" spans="1:3" x14ac:dyDescent="0.3">
      <c r="A1388" t="s">
        <v>5496</v>
      </c>
      <c r="B1388">
        <v>1</v>
      </c>
      <c r="C1388">
        <v>0.161</v>
      </c>
    </row>
    <row r="1389" spans="1:3" x14ac:dyDescent="0.3">
      <c r="A1389" t="s">
        <v>5497</v>
      </c>
      <c r="B1389">
        <v>1</v>
      </c>
      <c r="C1389">
        <v>0.161</v>
      </c>
    </row>
    <row r="1390" spans="1:3" x14ac:dyDescent="0.3">
      <c r="A1390" t="s">
        <v>5498</v>
      </c>
      <c r="B1390">
        <v>1</v>
      </c>
      <c r="C1390">
        <v>0.161</v>
      </c>
    </row>
    <row r="1391" spans="1:3" x14ac:dyDescent="0.3">
      <c r="A1391" t="s">
        <v>5499</v>
      </c>
      <c r="B1391">
        <v>1</v>
      </c>
      <c r="C1391">
        <v>0.161</v>
      </c>
    </row>
    <row r="1392" spans="1:3" x14ac:dyDescent="0.3">
      <c r="A1392" t="s">
        <v>5500</v>
      </c>
      <c r="B1392">
        <v>1</v>
      </c>
      <c r="C1392">
        <v>0.161</v>
      </c>
    </row>
    <row r="1393" spans="1:3" x14ac:dyDescent="0.3">
      <c r="A1393" t="s">
        <v>5501</v>
      </c>
      <c r="B1393">
        <v>1</v>
      </c>
      <c r="C1393">
        <v>0.161</v>
      </c>
    </row>
    <row r="1394" spans="1:3" x14ac:dyDescent="0.3">
      <c r="A1394" t="s">
        <v>5502</v>
      </c>
      <c r="B1394">
        <v>1</v>
      </c>
      <c r="C1394">
        <v>0.161</v>
      </c>
    </row>
    <row r="1395" spans="1:3" x14ac:dyDescent="0.3">
      <c r="A1395" t="s">
        <v>5503</v>
      </c>
      <c r="B1395">
        <v>1</v>
      </c>
      <c r="C1395">
        <v>0.161</v>
      </c>
    </row>
    <row r="1396" spans="1:3" x14ac:dyDescent="0.3">
      <c r="A1396" t="s">
        <v>5504</v>
      </c>
      <c r="B1396">
        <v>1</v>
      </c>
      <c r="C1396">
        <v>0.161</v>
      </c>
    </row>
    <row r="1397" spans="1:3" x14ac:dyDescent="0.3">
      <c r="A1397" t="s">
        <v>5505</v>
      </c>
      <c r="B1397">
        <v>1</v>
      </c>
      <c r="C1397">
        <v>0.161</v>
      </c>
    </row>
    <row r="1398" spans="1:3" x14ac:dyDescent="0.3">
      <c r="A1398" t="s">
        <v>5506</v>
      </c>
      <c r="B1398">
        <v>1</v>
      </c>
      <c r="C1398">
        <v>0.161</v>
      </c>
    </row>
    <row r="1399" spans="1:3" x14ac:dyDescent="0.3">
      <c r="A1399" t="s">
        <v>5507</v>
      </c>
      <c r="B1399">
        <v>1</v>
      </c>
      <c r="C1399">
        <v>0.161</v>
      </c>
    </row>
    <row r="1400" spans="1:3" x14ac:dyDescent="0.3">
      <c r="A1400" t="s">
        <v>5508</v>
      </c>
      <c r="B1400">
        <v>1</v>
      </c>
      <c r="C1400">
        <v>0.161</v>
      </c>
    </row>
    <row r="1401" spans="1:3" x14ac:dyDescent="0.3">
      <c r="A1401" t="s">
        <v>5509</v>
      </c>
      <c r="B1401">
        <v>1</v>
      </c>
      <c r="C1401">
        <v>0.161</v>
      </c>
    </row>
    <row r="1402" spans="1:3" x14ac:dyDescent="0.3">
      <c r="A1402" t="s">
        <v>5510</v>
      </c>
      <c r="B1402">
        <v>1</v>
      </c>
      <c r="C1402">
        <v>0.161</v>
      </c>
    </row>
    <row r="1403" spans="1:3" x14ac:dyDescent="0.3">
      <c r="A1403" t="s">
        <v>5511</v>
      </c>
      <c r="B1403">
        <v>1</v>
      </c>
      <c r="C1403">
        <v>0.161</v>
      </c>
    </row>
    <row r="1404" spans="1:3" x14ac:dyDescent="0.3">
      <c r="A1404" t="s">
        <v>5512</v>
      </c>
      <c r="B1404">
        <v>1</v>
      </c>
      <c r="C1404">
        <v>0.161</v>
      </c>
    </row>
    <row r="1405" spans="1:3" x14ac:dyDescent="0.3">
      <c r="A1405" t="s">
        <v>5513</v>
      </c>
      <c r="B1405">
        <v>1</v>
      </c>
      <c r="C1405">
        <v>0.161</v>
      </c>
    </row>
    <row r="1406" spans="1:3" x14ac:dyDescent="0.3">
      <c r="A1406" t="s">
        <v>5514</v>
      </c>
      <c r="B1406">
        <v>1</v>
      </c>
      <c r="C1406">
        <v>0.161</v>
      </c>
    </row>
    <row r="1407" spans="1:3" x14ac:dyDescent="0.3">
      <c r="A1407" t="s">
        <v>5515</v>
      </c>
      <c r="B1407">
        <v>1</v>
      </c>
      <c r="C1407">
        <v>0.161</v>
      </c>
    </row>
    <row r="1408" spans="1:3" x14ac:dyDescent="0.3">
      <c r="A1408" t="s">
        <v>5516</v>
      </c>
      <c r="B1408">
        <v>1</v>
      </c>
      <c r="C1408">
        <v>0.161</v>
      </c>
    </row>
    <row r="1409" spans="1:3" x14ac:dyDescent="0.3">
      <c r="A1409" t="s">
        <v>5517</v>
      </c>
      <c r="B1409">
        <v>1</v>
      </c>
      <c r="C1409">
        <v>0.161</v>
      </c>
    </row>
    <row r="1410" spans="1:3" x14ac:dyDescent="0.3">
      <c r="A1410" t="s">
        <v>5518</v>
      </c>
      <c r="B1410">
        <v>1</v>
      </c>
      <c r="C1410">
        <v>0.161</v>
      </c>
    </row>
    <row r="1411" spans="1:3" x14ac:dyDescent="0.3">
      <c r="A1411" t="s">
        <v>5519</v>
      </c>
      <c r="B1411">
        <v>1</v>
      </c>
      <c r="C1411">
        <v>0.161</v>
      </c>
    </row>
    <row r="1412" spans="1:3" x14ac:dyDescent="0.3">
      <c r="A1412" t="s">
        <v>5520</v>
      </c>
      <c r="B1412">
        <v>1</v>
      </c>
      <c r="C1412">
        <v>0.161</v>
      </c>
    </row>
    <row r="1413" spans="1:3" x14ac:dyDescent="0.3">
      <c r="A1413" t="s">
        <v>5521</v>
      </c>
      <c r="B1413">
        <v>1</v>
      </c>
      <c r="C1413">
        <v>0.161</v>
      </c>
    </row>
    <row r="1414" spans="1:3" x14ac:dyDescent="0.3">
      <c r="A1414" t="s">
        <v>5522</v>
      </c>
      <c r="B1414">
        <v>1</v>
      </c>
      <c r="C1414">
        <v>0.161</v>
      </c>
    </row>
    <row r="1415" spans="1:3" x14ac:dyDescent="0.3">
      <c r="A1415" t="s">
        <v>5523</v>
      </c>
      <c r="B1415">
        <v>1</v>
      </c>
      <c r="C1415">
        <v>0.161</v>
      </c>
    </row>
    <row r="1416" spans="1:3" x14ac:dyDescent="0.3">
      <c r="A1416" t="s">
        <v>5524</v>
      </c>
      <c r="B1416">
        <v>1</v>
      </c>
      <c r="C1416">
        <v>0.161</v>
      </c>
    </row>
    <row r="1417" spans="1:3" x14ac:dyDescent="0.3">
      <c r="A1417" t="s">
        <v>5525</v>
      </c>
      <c r="B1417">
        <v>1</v>
      </c>
      <c r="C1417">
        <v>0.161</v>
      </c>
    </row>
    <row r="1418" spans="1:3" x14ac:dyDescent="0.3">
      <c r="A1418" t="s">
        <v>5526</v>
      </c>
      <c r="B1418">
        <v>1</v>
      </c>
      <c r="C1418">
        <v>0.161</v>
      </c>
    </row>
    <row r="1419" spans="1:3" x14ac:dyDescent="0.3">
      <c r="A1419" t="s">
        <v>5527</v>
      </c>
      <c r="B1419">
        <v>1</v>
      </c>
      <c r="C1419">
        <v>0.161</v>
      </c>
    </row>
    <row r="1420" spans="1:3" x14ac:dyDescent="0.3">
      <c r="A1420" t="s">
        <v>5528</v>
      </c>
      <c r="B1420">
        <v>1</v>
      </c>
      <c r="C1420">
        <v>0.161</v>
      </c>
    </row>
    <row r="1421" spans="1:3" x14ac:dyDescent="0.3">
      <c r="A1421" t="s">
        <v>5529</v>
      </c>
      <c r="B1421">
        <v>1</v>
      </c>
      <c r="C1421">
        <v>0.161</v>
      </c>
    </row>
    <row r="1422" spans="1:3" x14ac:dyDescent="0.3">
      <c r="A1422" t="s">
        <v>5530</v>
      </c>
      <c r="B1422">
        <v>1</v>
      </c>
      <c r="C1422">
        <v>0.161</v>
      </c>
    </row>
    <row r="1423" spans="1:3" x14ac:dyDescent="0.3">
      <c r="A1423" t="s">
        <v>5531</v>
      </c>
      <c r="B1423">
        <v>1</v>
      </c>
      <c r="C1423">
        <v>0.161</v>
      </c>
    </row>
    <row r="1424" spans="1:3" x14ac:dyDescent="0.3">
      <c r="A1424" t="s">
        <v>5532</v>
      </c>
      <c r="B1424">
        <v>1</v>
      </c>
      <c r="C1424">
        <v>0.161</v>
      </c>
    </row>
    <row r="1425" spans="1:3" x14ac:dyDescent="0.3">
      <c r="A1425" t="s">
        <v>5533</v>
      </c>
      <c r="B1425">
        <v>1</v>
      </c>
      <c r="C1425">
        <v>0.161</v>
      </c>
    </row>
    <row r="1426" spans="1:3" x14ac:dyDescent="0.3">
      <c r="A1426" t="s">
        <v>5534</v>
      </c>
      <c r="B1426">
        <v>1</v>
      </c>
      <c r="C1426">
        <v>0.161</v>
      </c>
    </row>
    <row r="1427" spans="1:3" x14ac:dyDescent="0.3">
      <c r="A1427" t="s">
        <v>5535</v>
      </c>
      <c r="B1427">
        <v>1</v>
      </c>
      <c r="C1427">
        <v>0.161</v>
      </c>
    </row>
    <row r="1428" spans="1:3" x14ac:dyDescent="0.3">
      <c r="A1428" t="s">
        <v>5536</v>
      </c>
      <c r="B1428">
        <v>1</v>
      </c>
      <c r="C1428">
        <v>0.161</v>
      </c>
    </row>
    <row r="1429" spans="1:3" x14ac:dyDescent="0.3">
      <c r="A1429" t="s">
        <v>5537</v>
      </c>
      <c r="B1429">
        <v>1</v>
      </c>
      <c r="C1429">
        <v>0.161</v>
      </c>
    </row>
    <row r="1430" spans="1:3" x14ac:dyDescent="0.3">
      <c r="A1430" t="s">
        <v>5538</v>
      </c>
      <c r="B1430">
        <v>1</v>
      </c>
      <c r="C1430">
        <v>0.161</v>
      </c>
    </row>
    <row r="1431" spans="1:3" x14ac:dyDescent="0.3">
      <c r="A1431" t="s">
        <v>5539</v>
      </c>
      <c r="B1431">
        <v>1</v>
      </c>
      <c r="C1431">
        <v>0.161</v>
      </c>
    </row>
    <row r="1432" spans="1:3" x14ac:dyDescent="0.3">
      <c r="A1432" t="s">
        <v>5540</v>
      </c>
      <c r="B1432">
        <v>1</v>
      </c>
      <c r="C1432">
        <v>0.161</v>
      </c>
    </row>
    <row r="1433" spans="1:3" x14ac:dyDescent="0.3">
      <c r="A1433" t="s">
        <v>5541</v>
      </c>
      <c r="B1433">
        <v>1</v>
      </c>
      <c r="C1433">
        <v>0.161</v>
      </c>
    </row>
    <row r="1434" spans="1:3" x14ac:dyDescent="0.3">
      <c r="A1434" t="s">
        <v>5542</v>
      </c>
      <c r="B1434">
        <v>1</v>
      </c>
      <c r="C1434">
        <v>0.161</v>
      </c>
    </row>
    <row r="1435" spans="1:3" x14ac:dyDescent="0.3">
      <c r="A1435" t="s">
        <v>5543</v>
      </c>
      <c r="B1435">
        <v>1</v>
      </c>
      <c r="C1435">
        <v>0.161</v>
      </c>
    </row>
    <row r="1436" spans="1:3" x14ac:dyDescent="0.3">
      <c r="A1436" t="s">
        <v>5544</v>
      </c>
      <c r="B1436">
        <v>1</v>
      </c>
      <c r="C1436">
        <v>0.161</v>
      </c>
    </row>
    <row r="1437" spans="1:3" x14ac:dyDescent="0.3">
      <c r="A1437" t="s">
        <v>5545</v>
      </c>
      <c r="B1437">
        <v>1</v>
      </c>
      <c r="C1437">
        <v>0.161</v>
      </c>
    </row>
    <row r="1438" spans="1:3" x14ac:dyDescent="0.3">
      <c r="A1438" t="s">
        <v>5546</v>
      </c>
      <c r="B1438">
        <v>1</v>
      </c>
      <c r="C1438">
        <v>0.161</v>
      </c>
    </row>
    <row r="1439" spans="1:3" x14ac:dyDescent="0.3">
      <c r="A1439" t="s">
        <v>5547</v>
      </c>
      <c r="B1439">
        <v>1</v>
      </c>
      <c r="C1439">
        <v>0.161</v>
      </c>
    </row>
    <row r="1440" spans="1:3" x14ac:dyDescent="0.3">
      <c r="A1440" t="s">
        <v>5548</v>
      </c>
      <c r="B1440">
        <v>1</v>
      </c>
      <c r="C1440">
        <v>0.161</v>
      </c>
    </row>
    <row r="1441" spans="1:3" x14ac:dyDescent="0.3">
      <c r="A1441" t="s">
        <v>5549</v>
      </c>
      <c r="B1441">
        <v>1</v>
      </c>
      <c r="C1441">
        <v>0.161</v>
      </c>
    </row>
    <row r="1442" spans="1:3" x14ac:dyDescent="0.3">
      <c r="A1442" t="s">
        <v>5550</v>
      </c>
      <c r="B1442">
        <v>1</v>
      </c>
      <c r="C1442">
        <v>0.161</v>
      </c>
    </row>
    <row r="1443" spans="1:3" x14ac:dyDescent="0.3">
      <c r="A1443" t="s">
        <v>5551</v>
      </c>
      <c r="B1443">
        <v>1</v>
      </c>
      <c r="C1443">
        <v>0.161</v>
      </c>
    </row>
    <row r="1444" spans="1:3" x14ac:dyDescent="0.3">
      <c r="A1444" t="s">
        <v>5552</v>
      </c>
      <c r="B1444">
        <v>1</v>
      </c>
      <c r="C1444">
        <v>0.161</v>
      </c>
    </row>
    <row r="1445" spans="1:3" x14ac:dyDescent="0.3">
      <c r="A1445" t="s">
        <v>5553</v>
      </c>
      <c r="B1445">
        <v>1</v>
      </c>
      <c r="C1445">
        <v>0.161</v>
      </c>
    </row>
    <row r="1446" spans="1:3" x14ac:dyDescent="0.3">
      <c r="A1446" t="s">
        <v>5554</v>
      </c>
      <c r="B1446">
        <v>1</v>
      </c>
      <c r="C1446">
        <v>0.161</v>
      </c>
    </row>
    <row r="1447" spans="1:3" x14ac:dyDescent="0.3">
      <c r="A1447" t="s">
        <v>5555</v>
      </c>
      <c r="B1447">
        <v>1</v>
      </c>
      <c r="C1447">
        <v>0.161</v>
      </c>
    </row>
    <row r="1448" spans="1:3" x14ac:dyDescent="0.3">
      <c r="A1448" t="s">
        <v>5556</v>
      </c>
      <c r="B1448">
        <v>1</v>
      </c>
      <c r="C1448">
        <v>0.161</v>
      </c>
    </row>
    <row r="1449" spans="1:3" x14ac:dyDescent="0.3">
      <c r="A1449" t="s">
        <v>5557</v>
      </c>
      <c r="B1449">
        <v>1</v>
      </c>
      <c r="C1449">
        <v>0.161</v>
      </c>
    </row>
    <row r="1450" spans="1:3" x14ac:dyDescent="0.3">
      <c r="A1450" t="s">
        <v>5558</v>
      </c>
      <c r="B1450">
        <v>1</v>
      </c>
      <c r="C1450">
        <v>0.161</v>
      </c>
    </row>
    <row r="1451" spans="1:3" x14ac:dyDescent="0.3">
      <c r="A1451" t="s">
        <v>5559</v>
      </c>
      <c r="B1451">
        <v>1</v>
      </c>
      <c r="C1451">
        <v>0.161</v>
      </c>
    </row>
    <row r="1452" spans="1:3" x14ac:dyDescent="0.3">
      <c r="A1452" t="s">
        <v>5560</v>
      </c>
      <c r="B1452">
        <v>1</v>
      </c>
      <c r="C1452">
        <v>0.161</v>
      </c>
    </row>
    <row r="1453" spans="1:3" x14ac:dyDescent="0.3">
      <c r="A1453" t="s">
        <v>5561</v>
      </c>
      <c r="B1453">
        <v>1</v>
      </c>
      <c r="C1453">
        <v>0.161</v>
      </c>
    </row>
    <row r="1454" spans="1:3" x14ac:dyDescent="0.3">
      <c r="A1454" t="s">
        <v>5562</v>
      </c>
      <c r="B1454">
        <v>1</v>
      </c>
      <c r="C1454">
        <v>0.161</v>
      </c>
    </row>
    <row r="1455" spans="1:3" x14ac:dyDescent="0.3">
      <c r="A1455" t="s">
        <v>5563</v>
      </c>
      <c r="B1455">
        <v>1</v>
      </c>
      <c r="C1455">
        <v>0.161</v>
      </c>
    </row>
    <row r="1456" spans="1:3" x14ac:dyDescent="0.3">
      <c r="A1456" t="s">
        <v>5564</v>
      </c>
      <c r="B1456">
        <v>1</v>
      </c>
      <c r="C1456">
        <v>0.161</v>
      </c>
    </row>
    <row r="1457" spans="1:3" x14ac:dyDescent="0.3">
      <c r="A1457" t="s">
        <v>5565</v>
      </c>
      <c r="B1457">
        <v>1</v>
      </c>
      <c r="C1457">
        <v>0.161</v>
      </c>
    </row>
    <row r="1458" spans="1:3" x14ac:dyDescent="0.3">
      <c r="A1458" t="s">
        <v>5566</v>
      </c>
      <c r="B1458">
        <v>1</v>
      </c>
      <c r="C1458">
        <v>0.161</v>
      </c>
    </row>
    <row r="1459" spans="1:3" x14ac:dyDescent="0.3">
      <c r="A1459" t="s">
        <v>5567</v>
      </c>
      <c r="B1459">
        <v>1</v>
      </c>
      <c r="C1459">
        <v>0.161</v>
      </c>
    </row>
    <row r="1460" spans="1:3" x14ac:dyDescent="0.3">
      <c r="A1460" t="s">
        <v>5568</v>
      </c>
      <c r="B1460">
        <v>1</v>
      </c>
      <c r="C1460">
        <v>0.161</v>
      </c>
    </row>
    <row r="1461" spans="1:3" x14ac:dyDescent="0.3">
      <c r="A1461" t="s">
        <v>5569</v>
      </c>
      <c r="B1461">
        <v>1</v>
      </c>
      <c r="C1461">
        <v>0.161</v>
      </c>
    </row>
    <row r="1462" spans="1:3" x14ac:dyDescent="0.3">
      <c r="A1462" t="s">
        <v>5570</v>
      </c>
      <c r="B1462">
        <v>1</v>
      </c>
      <c r="C1462">
        <v>0.161</v>
      </c>
    </row>
    <row r="1463" spans="1:3" x14ac:dyDescent="0.3">
      <c r="A1463" t="s">
        <v>5571</v>
      </c>
      <c r="B1463">
        <v>1</v>
      </c>
      <c r="C1463">
        <v>0.161</v>
      </c>
    </row>
    <row r="1464" spans="1:3" x14ac:dyDescent="0.3">
      <c r="A1464" t="s">
        <v>5572</v>
      </c>
      <c r="B1464">
        <v>1</v>
      </c>
      <c r="C1464">
        <v>0.161</v>
      </c>
    </row>
    <row r="1465" spans="1:3" x14ac:dyDescent="0.3">
      <c r="A1465" t="s">
        <v>5573</v>
      </c>
      <c r="B1465">
        <v>1</v>
      </c>
      <c r="C1465">
        <v>0.161</v>
      </c>
    </row>
    <row r="1466" spans="1:3" x14ac:dyDescent="0.3">
      <c r="A1466" t="s">
        <v>5574</v>
      </c>
      <c r="B1466">
        <v>1</v>
      </c>
      <c r="C1466">
        <v>0.161</v>
      </c>
    </row>
    <row r="1467" spans="1:3" x14ac:dyDescent="0.3">
      <c r="A1467" t="s">
        <v>5575</v>
      </c>
      <c r="B1467">
        <v>1</v>
      </c>
      <c r="C1467">
        <v>0.161</v>
      </c>
    </row>
    <row r="1468" spans="1:3" x14ac:dyDescent="0.3">
      <c r="A1468" t="s">
        <v>5576</v>
      </c>
      <c r="B1468">
        <v>1</v>
      </c>
      <c r="C1468">
        <v>0.161</v>
      </c>
    </row>
    <row r="1469" spans="1:3" x14ac:dyDescent="0.3">
      <c r="A1469" t="s">
        <v>5577</v>
      </c>
      <c r="B1469">
        <v>1</v>
      </c>
      <c r="C1469">
        <v>0.161</v>
      </c>
    </row>
    <row r="1470" spans="1:3" x14ac:dyDescent="0.3">
      <c r="A1470" t="s">
        <v>5578</v>
      </c>
      <c r="B1470">
        <v>1</v>
      </c>
      <c r="C1470">
        <v>0.161</v>
      </c>
    </row>
    <row r="1471" spans="1:3" x14ac:dyDescent="0.3">
      <c r="A1471" t="s">
        <v>5579</v>
      </c>
      <c r="B1471">
        <v>1</v>
      </c>
      <c r="C1471">
        <v>0.161</v>
      </c>
    </row>
    <row r="1472" spans="1:3" x14ac:dyDescent="0.3">
      <c r="A1472" t="s">
        <v>5580</v>
      </c>
      <c r="B1472">
        <v>1</v>
      </c>
      <c r="C1472">
        <v>0.161</v>
      </c>
    </row>
    <row r="1473" spans="1:3" x14ac:dyDescent="0.3">
      <c r="A1473" t="s">
        <v>5581</v>
      </c>
      <c r="B1473">
        <v>1</v>
      </c>
      <c r="C1473">
        <v>0.161</v>
      </c>
    </row>
    <row r="1474" spans="1:3" x14ac:dyDescent="0.3">
      <c r="A1474" t="s">
        <v>5582</v>
      </c>
      <c r="B1474">
        <v>1</v>
      </c>
      <c r="C1474">
        <v>0.161</v>
      </c>
    </row>
    <row r="1475" spans="1:3" x14ac:dyDescent="0.3">
      <c r="A1475" t="s">
        <v>5583</v>
      </c>
      <c r="B1475">
        <v>1</v>
      </c>
      <c r="C1475">
        <v>0.161</v>
      </c>
    </row>
    <row r="1476" spans="1:3" x14ac:dyDescent="0.3">
      <c r="A1476" t="s">
        <v>5584</v>
      </c>
      <c r="B1476">
        <v>1</v>
      </c>
      <c r="C1476">
        <v>0.161</v>
      </c>
    </row>
    <row r="1477" spans="1:3" x14ac:dyDescent="0.3">
      <c r="A1477" t="s">
        <v>5585</v>
      </c>
      <c r="B1477">
        <v>1</v>
      </c>
      <c r="C1477">
        <v>0.161</v>
      </c>
    </row>
    <row r="1478" spans="1:3" x14ac:dyDescent="0.3">
      <c r="A1478" t="s">
        <v>5586</v>
      </c>
      <c r="B1478">
        <v>1</v>
      </c>
      <c r="C1478">
        <v>0.161</v>
      </c>
    </row>
    <row r="1479" spans="1:3" x14ac:dyDescent="0.3">
      <c r="A1479" t="s">
        <v>5587</v>
      </c>
      <c r="B1479">
        <v>1</v>
      </c>
      <c r="C1479">
        <v>0.161</v>
      </c>
    </row>
    <row r="1480" spans="1:3" x14ac:dyDescent="0.3">
      <c r="A1480" t="s">
        <v>5588</v>
      </c>
      <c r="B1480">
        <v>1</v>
      </c>
      <c r="C1480">
        <v>0.161</v>
      </c>
    </row>
    <row r="1481" spans="1:3" x14ac:dyDescent="0.3">
      <c r="A1481" t="s">
        <v>5589</v>
      </c>
      <c r="B1481">
        <v>1</v>
      </c>
      <c r="C1481">
        <v>0.161</v>
      </c>
    </row>
    <row r="1482" spans="1:3" x14ac:dyDescent="0.3">
      <c r="A1482" t="s">
        <v>5590</v>
      </c>
      <c r="B1482">
        <v>1</v>
      </c>
      <c r="C1482">
        <v>0.161</v>
      </c>
    </row>
    <row r="1483" spans="1:3" x14ac:dyDescent="0.3">
      <c r="A1483" t="s">
        <v>5591</v>
      </c>
      <c r="B1483">
        <v>1</v>
      </c>
      <c r="C1483">
        <v>0.161</v>
      </c>
    </row>
    <row r="1484" spans="1:3" x14ac:dyDescent="0.3">
      <c r="A1484" t="s">
        <v>5592</v>
      </c>
      <c r="B1484">
        <v>1</v>
      </c>
      <c r="C1484">
        <v>0.161</v>
      </c>
    </row>
    <row r="1485" spans="1:3" x14ac:dyDescent="0.3">
      <c r="A1485" t="s">
        <v>5593</v>
      </c>
      <c r="B1485">
        <v>1</v>
      </c>
      <c r="C1485">
        <v>0.161</v>
      </c>
    </row>
    <row r="1486" spans="1:3" x14ac:dyDescent="0.3">
      <c r="A1486" t="s">
        <v>5594</v>
      </c>
      <c r="B1486">
        <v>1</v>
      </c>
      <c r="C1486">
        <v>0.161</v>
      </c>
    </row>
    <row r="1487" spans="1:3" x14ac:dyDescent="0.3">
      <c r="A1487" t="s">
        <v>5595</v>
      </c>
      <c r="B1487">
        <v>1</v>
      </c>
      <c r="C1487">
        <v>0.161</v>
      </c>
    </row>
    <row r="1488" spans="1:3" x14ac:dyDescent="0.3">
      <c r="A1488" t="s">
        <v>5596</v>
      </c>
      <c r="B1488">
        <v>1</v>
      </c>
      <c r="C1488">
        <v>0.161</v>
      </c>
    </row>
    <row r="1489" spans="1:3" x14ac:dyDescent="0.3">
      <c r="A1489" t="s">
        <v>5597</v>
      </c>
      <c r="B1489">
        <v>1</v>
      </c>
      <c r="C1489">
        <v>0.161</v>
      </c>
    </row>
    <row r="1490" spans="1:3" x14ac:dyDescent="0.3">
      <c r="A1490" t="s">
        <v>5598</v>
      </c>
      <c r="B1490">
        <v>1</v>
      </c>
      <c r="C1490">
        <v>0.161</v>
      </c>
    </row>
    <row r="1491" spans="1:3" x14ac:dyDescent="0.3">
      <c r="A1491" t="s">
        <v>5599</v>
      </c>
      <c r="B1491">
        <v>1</v>
      </c>
      <c r="C1491">
        <v>0.161</v>
      </c>
    </row>
    <row r="1492" spans="1:3" x14ac:dyDescent="0.3">
      <c r="A1492" t="s">
        <v>5600</v>
      </c>
      <c r="B1492">
        <v>1</v>
      </c>
      <c r="C1492">
        <v>0.161</v>
      </c>
    </row>
    <row r="1493" spans="1:3" x14ac:dyDescent="0.3">
      <c r="A1493" t="s">
        <v>5601</v>
      </c>
      <c r="B1493">
        <v>1</v>
      </c>
      <c r="C1493">
        <v>0.161</v>
      </c>
    </row>
    <row r="1494" spans="1:3" x14ac:dyDescent="0.3">
      <c r="A1494" t="s">
        <v>5602</v>
      </c>
      <c r="B1494">
        <v>1</v>
      </c>
      <c r="C1494">
        <v>0.161</v>
      </c>
    </row>
    <row r="1495" spans="1:3" x14ac:dyDescent="0.3">
      <c r="A1495" t="s">
        <v>5603</v>
      </c>
      <c r="B1495">
        <v>1</v>
      </c>
      <c r="C1495">
        <v>0.161</v>
      </c>
    </row>
    <row r="1496" spans="1:3" x14ac:dyDescent="0.3">
      <c r="A1496" t="s">
        <v>5604</v>
      </c>
      <c r="B1496">
        <v>1</v>
      </c>
      <c r="C1496">
        <v>0.161</v>
      </c>
    </row>
    <row r="1497" spans="1:3" x14ac:dyDescent="0.3">
      <c r="A1497" t="s">
        <v>5605</v>
      </c>
      <c r="B1497">
        <v>1</v>
      </c>
      <c r="C1497">
        <v>0.161</v>
      </c>
    </row>
    <row r="1498" spans="1:3" x14ac:dyDescent="0.3">
      <c r="A1498" t="s">
        <v>5606</v>
      </c>
      <c r="B1498">
        <v>1</v>
      </c>
      <c r="C1498">
        <v>0.161</v>
      </c>
    </row>
    <row r="1499" spans="1:3" x14ac:dyDescent="0.3">
      <c r="A1499" t="s">
        <v>5607</v>
      </c>
      <c r="B1499">
        <v>1</v>
      </c>
      <c r="C1499">
        <v>0.161</v>
      </c>
    </row>
    <row r="1500" spans="1:3" x14ac:dyDescent="0.3">
      <c r="A1500" t="s">
        <v>5608</v>
      </c>
      <c r="B1500">
        <v>1</v>
      </c>
      <c r="C1500">
        <v>0.161</v>
      </c>
    </row>
    <row r="1501" spans="1:3" x14ac:dyDescent="0.3">
      <c r="A1501" t="s">
        <v>5609</v>
      </c>
      <c r="B1501">
        <v>1</v>
      </c>
      <c r="C1501">
        <v>0.161</v>
      </c>
    </row>
    <row r="1502" spans="1:3" x14ac:dyDescent="0.3">
      <c r="A1502" t="s">
        <v>5610</v>
      </c>
      <c r="B1502">
        <v>1</v>
      </c>
      <c r="C1502">
        <v>0.161</v>
      </c>
    </row>
    <row r="1503" spans="1:3" x14ac:dyDescent="0.3">
      <c r="A1503" t="s">
        <v>5611</v>
      </c>
      <c r="B1503">
        <v>1</v>
      </c>
      <c r="C1503">
        <v>0.161</v>
      </c>
    </row>
    <row r="1504" spans="1:3" x14ac:dyDescent="0.3">
      <c r="A1504" t="s">
        <v>5612</v>
      </c>
      <c r="B1504">
        <v>1</v>
      </c>
      <c r="C1504">
        <v>0.161</v>
      </c>
    </row>
    <row r="1505" spans="1:3" x14ac:dyDescent="0.3">
      <c r="A1505" t="s">
        <v>5613</v>
      </c>
      <c r="B1505">
        <v>1</v>
      </c>
      <c r="C1505">
        <v>0.161</v>
      </c>
    </row>
    <row r="1506" spans="1:3" x14ac:dyDescent="0.3">
      <c r="A1506" t="s">
        <v>5614</v>
      </c>
      <c r="B1506">
        <v>1</v>
      </c>
      <c r="C1506">
        <v>0.161</v>
      </c>
    </row>
    <row r="1507" spans="1:3" x14ac:dyDescent="0.3">
      <c r="A1507" t="s">
        <v>5615</v>
      </c>
      <c r="B1507">
        <v>1</v>
      </c>
      <c r="C1507">
        <v>0.161</v>
      </c>
    </row>
    <row r="1508" spans="1:3" x14ac:dyDescent="0.3">
      <c r="A1508" t="s">
        <v>5616</v>
      </c>
      <c r="B1508">
        <v>1</v>
      </c>
      <c r="C1508">
        <v>0.161</v>
      </c>
    </row>
    <row r="1509" spans="1:3" x14ac:dyDescent="0.3">
      <c r="A1509" t="s">
        <v>5617</v>
      </c>
      <c r="B1509">
        <v>1</v>
      </c>
      <c r="C1509">
        <v>0.161</v>
      </c>
    </row>
    <row r="1510" spans="1:3" x14ac:dyDescent="0.3">
      <c r="A1510" t="s">
        <v>5618</v>
      </c>
      <c r="B1510">
        <v>1</v>
      </c>
      <c r="C1510">
        <v>0.161</v>
      </c>
    </row>
    <row r="1511" spans="1:3" x14ac:dyDescent="0.3">
      <c r="A1511" t="s">
        <v>5619</v>
      </c>
      <c r="B1511">
        <v>1</v>
      </c>
      <c r="C1511">
        <v>0.161</v>
      </c>
    </row>
    <row r="1512" spans="1:3" x14ac:dyDescent="0.3">
      <c r="A1512" t="s">
        <v>5620</v>
      </c>
      <c r="B1512">
        <v>1</v>
      </c>
      <c r="C1512">
        <v>0.161</v>
      </c>
    </row>
    <row r="1513" spans="1:3" x14ac:dyDescent="0.3">
      <c r="A1513" t="s">
        <v>5621</v>
      </c>
      <c r="B1513">
        <v>1</v>
      </c>
      <c r="C1513">
        <v>0.161</v>
      </c>
    </row>
    <row r="1514" spans="1:3" x14ac:dyDescent="0.3">
      <c r="A1514" t="s">
        <v>5622</v>
      </c>
      <c r="B1514">
        <v>1</v>
      </c>
      <c r="C1514">
        <v>0.161</v>
      </c>
    </row>
    <row r="1515" spans="1:3" x14ac:dyDescent="0.3">
      <c r="A1515" t="s">
        <v>5623</v>
      </c>
      <c r="B1515">
        <v>1</v>
      </c>
      <c r="C1515">
        <v>0.161</v>
      </c>
    </row>
    <row r="1516" spans="1:3" x14ac:dyDescent="0.3">
      <c r="A1516" t="s">
        <v>5624</v>
      </c>
      <c r="B1516">
        <v>1</v>
      </c>
      <c r="C1516">
        <v>0.161</v>
      </c>
    </row>
    <row r="1517" spans="1:3" x14ac:dyDescent="0.3">
      <c r="A1517" t="s">
        <v>5625</v>
      </c>
      <c r="B1517">
        <v>1</v>
      </c>
      <c r="C1517">
        <v>0.161</v>
      </c>
    </row>
    <row r="1518" spans="1:3" x14ac:dyDescent="0.3">
      <c r="A1518" t="s">
        <v>5626</v>
      </c>
      <c r="B1518">
        <v>1</v>
      </c>
      <c r="C1518">
        <v>0.161</v>
      </c>
    </row>
    <row r="1519" spans="1:3" x14ac:dyDescent="0.3">
      <c r="A1519" t="s">
        <v>5627</v>
      </c>
      <c r="B1519">
        <v>1</v>
      </c>
      <c r="C1519">
        <v>0.161</v>
      </c>
    </row>
    <row r="1520" spans="1:3" x14ac:dyDescent="0.3">
      <c r="A1520" t="s">
        <v>5628</v>
      </c>
      <c r="B1520">
        <v>1</v>
      </c>
      <c r="C1520">
        <v>0.161</v>
      </c>
    </row>
    <row r="1521" spans="1:3" x14ac:dyDescent="0.3">
      <c r="A1521" t="s">
        <v>5629</v>
      </c>
      <c r="B1521">
        <v>1</v>
      </c>
      <c r="C1521">
        <v>0.161</v>
      </c>
    </row>
    <row r="1522" spans="1:3" x14ac:dyDescent="0.3">
      <c r="A1522" t="s">
        <v>5630</v>
      </c>
      <c r="B1522">
        <v>1</v>
      </c>
      <c r="C1522">
        <v>0.161</v>
      </c>
    </row>
    <row r="1523" spans="1:3" x14ac:dyDescent="0.3">
      <c r="A1523" t="s">
        <v>5631</v>
      </c>
      <c r="B1523">
        <v>1</v>
      </c>
      <c r="C1523">
        <v>0.161</v>
      </c>
    </row>
    <row r="1524" spans="1:3" x14ac:dyDescent="0.3">
      <c r="A1524" t="s">
        <v>5632</v>
      </c>
      <c r="B1524">
        <v>1</v>
      </c>
      <c r="C1524">
        <v>0.161</v>
      </c>
    </row>
    <row r="1525" spans="1:3" x14ac:dyDescent="0.3">
      <c r="A1525" t="s">
        <v>5633</v>
      </c>
      <c r="B1525">
        <v>1</v>
      </c>
      <c r="C1525">
        <v>0.161</v>
      </c>
    </row>
    <row r="1526" spans="1:3" x14ac:dyDescent="0.3">
      <c r="A1526" t="s">
        <v>5634</v>
      </c>
      <c r="B1526">
        <v>1</v>
      </c>
      <c r="C1526">
        <v>0.161</v>
      </c>
    </row>
    <row r="1527" spans="1:3" x14ac:dyDescent="0.3">
      <c r="A1527" t="s">
        <v>5635</v>
      </c>
      <c r="B1527">
        <v>1</v>
      </c>
      <c r="C1527">
        <v>0.161</v>
      </c>
    </row>
    <row r="1528" spans="1:3" x14ac:dyDescent="0.3">
      <c r="A1528" t="s">
        <v>5636</v>
      </c>
      <c r="B1528">
        <v>1</v>
      </c>
      <c r="C1528">
        <v>0.161</v>
      </c>
    </row>
    <row r="1529" spans="1:3" x14ac:dyDescent="0.3">
      <c r="A1529" t="s">
        <v>5637</v>
      </c>
      <c r="B1529">
        <v>1</v>
      </c>
      <c r="C1529">
        <v>0.161</v>
      </c>
    </row>
    <row r="1530" spans="1:3" x14ac:dyDescent="0.3">
      <c r="A1530" t="s">
        <v>5638</v>
      </c>
      <c r="B1530">
        <v>1</v>
      </c>
      <c r="C1530">
        <v>0.161</v>
      </c>
    </row>
    <row r="1531" spans="1:3" x14ac:dyDescent="0.3">
      <c r="A1531" t="s">
        <v>5639</v>
      </c>
      <c r="B1531">
        <v>1</v>
      </c>
      <c r="C1531">
        <v>0.161</v>
      </c>
    </row>
    <row r="1532" spans="1:3" x14ac:dyDescent="0.3">
      <c r="A1532" t="s">
        <v>5640</v>
      </c>
      <c r="B1532">
        <v>1</v>
      </c>
      <c r="C1532">
        <v>0.161</v>
      </c>
    </row>
    <row r="1533" spans="1:3" x14ac:dyDescent="0.3">
      <c r="A1533" t="s">
        <v>5641</v>
      </c>
      <c r="B1533">
        <v>1</v>
      </c>
      <c r="C1533">
        <v>0.161</v>
      </c>
    </row>
    <row r="1534" spans="1:3" x14ac:dyDescent="0.3">
      <c r="A1534" t="s">
        <v>5642</v>
      </c>
      <c r="B1534">
        <v>1</v>
      </c>
      <c r="C1534">
        <v>0.161</v>
      </c>
    </row>
    <row r="1535" spans="1:3" x14ac:dyDescent="0.3">
      <c r="A1535" t="s">
        <v>5643</v>
      </c>
      <c r="B1535">
        <v>1</v>
      </c>
      <c r="C1535">
        <v>0.161</v>
      </c>
    </row>
    <row r="1536" spans="1:3" x14ac:dyDescent="0.3">
      <c r="A1536" t="s">
        <v>5644</v>
      </c>
      <c r="B1536">
        <v>1</v>
      </c>
      <c r="C1536">
        <v>0.161</v>
      </c>
    </row>
    <row r="1537" spans="1:3" x14ac:dyDescent="0.3">
      <c r="A1537" t="s">
        <v>5645</v>
      </c>
      <c r="B1537">
        <v>1</v>
      </c>
      <c r="C1537">
        <v>0.161</v>
      </c>
    </row>
    <row r="1538" spans="1:3" x14ac:dyDescent="0.3">
      <c r="A1538" t="s">
        <v>5646</v>
      </c>
      <c r="B1538">
        <v>1</v>
      </c>
      <c r="C1538">
        <v>0.161</v>
      </c>
    </row>
    <row r="1539" spans="1:3" x14ac:dyDescent="0.3">
      <c r="A1539" t="s">
        <v>5647</v>
      </c>
      <c r="B1539">
        <v>1</v>
      </c>
      <c r="C1539">
        <v>0.161</v>
      </c>
    </row>
    <row r="1540" spans="1:3" x14ac:dyDescent="0.3">
      <c r="A1540" t="s">
        <v>5648</v>
      </c>
      <c r="B1540">
        <v>1</v>
      </c>
      <c r="C1540">
        <v>0.161</v>
      </c>
    </row>
    <row r="1541" spans="1:3" x14ac:dyDescent="0.3">
      <c r="A1541" t="s">
        <v>5649</v>
      </c>
      <c r="B1541">
        <v>1</v>
      </c>
      <c r="C1541">
        <v>0.161</v>
      </c>
    </row>
    <row r="1542" spans="1:3" x14ac:dyDescent="0.3">
      <c r="A1542" t="s">
        <v>5650</v>
      </c>
      <c r="B1542">
        <v>1</v>
      </c>
      <c r="C1542">
        <v>0.161</v>
      </c>
    </row>
    <row r="1543" spans="1:3" x14ac:dyDescent="0.3">
      <c r="A1543" t="s">
        <v>5651</v>
      </c>
      <c r="B1543">
        <v>1</v>
      </c>
      <c r="C1543">
        <v>0.161</v>
      </c>
    </row>
    <row r="1544" spans="1:3" x14ac:dyDescent="0.3">
      <c r="A1544" t="s">
        <v>5652</v>
      </c>
      <c r="B1544">
        <v>1</v>
      </c>
      <c r="C1544">
        <v>0.161</v>
      </c>
    </row>
    <row r="1545" spans="1:3" x14ac:dyDescent="0.3">
      <c r="A1545" t="s">
        <v>5653</v>
      </c>
      <c r="B1545">
        <v>1</v>
      </c>
      <c r="C1545">
        <v>0.161</v>
      </c>
    </row>
    <row r="1546" spans="1:3" x14ac:dyDescent="0.3">
      <c r="A1546" t="s">
        <v>5654</v>
      </c>
      <c r="B1546">
        <v>1</v>
      </c>
      <c r="C1546">
        <v>0.161</v>
      </c>
    </row>
    <row r="1547" spans="1:3" x14ac:dyDescent="0.3">
      <c r="A1547" t="s">
        <v>5655</v>
      </c>
      <c r="B1547">
        <v>1</v>
      </c>
      <c r="C1547">
        <v>0.161</v>
      </c>
    </row>
    <row r="1548" spans="1:3" x14ac:dyDescent="0.3">
      <c r="A1548" t="s">
        <v>5656</v>
      </c>
      <c r="B1548">
        <v>1</v>
      </c>
      <c r="C1548">
        <v>0.161</v>
      </c>
    </row>
    <row r="1549" spans="1:3" x14ac:dyDescent="0.3">
      <c r="A1549" t="s">
        <v>5657</v>
      </c>
      <c r="B1549">
        <v>1</v>
      </c>
      <c r="C1549">
        <v>0.161</v>
      </c>
    </row>
    <row r="1550" spans="1:3" x14ac:dyDescent="0.3">
      <c r="A1550" t="s">
        <v>5658</v>
      </c>
      <c r="B1550">
        <v>1</v>
      </c>
      <c r="C1550">
        <v>0.161</v>
      </c>
    </row>
    <row r="1551" spans="1:3" x14ac:dyDescent="0.3">
      <c r="A1551" t="s">
        <v>5659</v>
      </c>
      <c r="B1551">
        <v>1</v>
      </c>
      <c r="C1551">
        <v>0.161</v>
      </c>
    </row>
    <row r="1552" spans="1:3" x14ac:dyDescent="0.3">
      <c r="A1552" t="s">
        <v>5660</v>
      </c>
      <c r="B1552">
        <v>1</v>
      </c>
      <c r="C1552">
        <v>0.161</v>
      </c>
    </row>
    <row r="1553" spans="1:3" x14ac:dyDescent="0.3">
      <c r="A1553" t="s">
        <v>5661</v>
      </c>
      <c r="B1553">
        <v>1</v>
      </c>
      <c r="C1553">
        <v>0.161</v>
      </c>
    </row>
    <row r="1554" spans="1:3" x14ac:dyDescent="0.3">
      <c r="A1554" t="s">
        <v>5662</v>
      </c>
      <c r="B1554">
        <v>1</v>
      </c>
      <c r="C1554">
        <v>0.161</v>
      </c>
    </row>
    <row r="1555" spans="1:3" x14ac:dyDescent="0.3">
      <c r="A1555" t="s">
        <v>5663</v>
      </c>
      <c r="B1555">
        <v>1</v>
      </c>
      <c r="C1555">
        <v>0.161</v>
      </c>
    </row>
    <row r="1556" spans="1:3" x14ac:dyDescent="0.3">
      <c r="A1556" t="s">
        <v>5664</v>
      </c>
      <c r="B1556">
        <v>1</v>
      </c>
      <c r="C1556">
        <v>0.161</v>
      </c>
    </row>
    <row r="1557" spans="1:3" x14ac:dyDescent="0.3">
      <c r="A1557" t="s">
        <v>5665</v>
      </c>
      <c r="B1557">
        <v>1</v>
      </c>
      <c r="C1557">
        <v>0.161</v>
      </c>
    </row>
    <row r="1558" spans="1:3" x14ac:dyDescent="0.3">
      <c r="A1558" t="s">
        <v>5666</v>
      </c>
      <c r="B1558">
        <v>1</v>
      </c>
      <c r="C1558">
        <v>0.161</v>
      </c>
    </row>
    <row r="1559" spans="1:3" x14ac:dyDescent="0.3">
      <c r="A1559" t="s">
        <v>5667</v>
      </c>
      <c r="B1559">
        <v>1</v>
      </c>
      <c r="C1559">
        <v>0.161</v>
      </c>
    </row>
    <row r="1560" spans="1:3" x14ac:dyDescent="0.3">
      <c r="A1560" t="s">
        <v>5668</v>
      </c>
      <c r="B1560">
        <v>1</v>
      </c>
      <c r="C1560">
        <v>0.161</v>
      </c>
    </row>
    <row r="1561" spans="1:3" x14ac:dyDescent="0.3">
      <c r="A1561" t="s">
        <v>5669</v>
      </c>
      <c r="B1561">
        <v>1</v>
      </c>
      <c r="C1561">
        <v>0.161</v>
      </c>
    </row>
    <row r="1562" spans="1:3" x14ac:dyDescent="0.3">
      <c r="A1562" t="s">
        <v>5670</v>
      </c>
      <c r="B1562">
        <v>1</v>
      </c>
      <c r="C1562">
        <v>0.161</v>
      </c>
    </row>
    <row r="1563" spans="1:3" x14ac:dyDescent="0.3">
      <c r="A1563" t="s">
        <v>5671</v>
      </c>
      <c r="B1563">
        <v>1</v>
      </c>
      <c r="C1563">
        <v>0.161</v>
      </c>
    </row>
    <row r="1564" spans="1:3" x14ac:dyDescent="0.3">
      <c r="A1564" t="s">
        <v>5672</v>
      </c>
      <c r="B1564">
        <v>1</v>
      </c>
      <c r="C1564">
        <v>0.161</v>
      </c>
    </row>
    <row r="1565" spans="1:3" x14ac:dyDescent="0.3">
      <c r="A1565" t="s">
        <v>5673</v>
      </c>
      <c r="B1565">
        <v>1</v>
      </c>
      <c r="C1565">
        <v>0.161</v>
      </c>
    </row>
    <row r="1566" spans="1:3" x14ac:dyDescent="0.3">
      <c r="A1566" t="s">
        <v>5674</v>
      </c>
      <c r="B1566">
        <v>1</v>
      </c>
      <c r="C1566">
        <v>0.161</v>
      </c>
    </row>
    <row r="1567" spans="1:3" x14ac:dyDescent="0.3">
      <c r="A1567" t="s">
        <v>5675</v>
      </c>
      <c r="B1567">
        <v>1</v>
      </c>
      <c r="C1567">
        <v>0.161</v>
      </c>
    </row>
    <row r="1568" spans="1:3" x14ac:dyDescent="0.3">
      <c r="A1568" t="s">
        <v>5676</v>
      </c>
      <c r="B1568">
        <v>1</v>
      </c>
      <c r="C1568">
        <v>0.161</v>
      </c>
    </row>
    <row r="1569" spans="1:3" x14ac:dyDescent="0.3">
      <c r="A1569" t="s">
        <v>5677</v>
      </c>
      <c r="B1569">
        <v>1</v>
      </c>
      <c r="C1569">
        <v>0.161</v>
      </c>
    </row>
    <row r="1570" spans="1:3" x14ac:dyDescent="0.3">
      <c r="A1570" t="s">
        <v>5678</v>
      </c>
      <c r="B1570">
        <v>1</v>
      </c>
      <c r="C1570">
        <v>0.161</v>
      </c>
    </row>
    <row r="1571" spans="1:3" x14ac:dyDescent="0.3">
      <c r="A1571" t="s">
        <v>5679</v>
      </c>
      <c r="B1571">
        <v>1</v>
      </c>
      <c r="C1571">
        <v>0.161</v>
      </c>
    </row>
    <row r="1572" spans="1:3" x14ac:dyDescent="0.3">
      <c r="A1572" t="s">
        <v>5680</v>
      </c>
      <c r="B1572">
        <v>1</v>
      </c>
      <c r="C1572">
        <v>0.161</v>
      </c>
    </row>
    <row r="1573" spans="1:3" x14ac:dyDescent="0.3">
      <c r="A1573" t="s">
        <v>5681</v>
      </c>
      <c r="B1573">
        <v>1</v>
      </c>
      <c r="C1573">
        <v>0.161</v>
      </c>
    </row>
    <row r="1574" spans="1:3" x14ac:dyDescent="0.3">
      <c r="A1574" t="s">
        <v>5682</v>
      </c>
      <c r="B1574">
        <v>1</v>
      </c>
      <c r="C1574">
        <v>0.161</v>
      </c>
    </row>
    <row r="1575" spans="1:3" x14ac:dyDescent="0.3">
      <c r="A1575" t="s">
        <v>5683</v>
      </c>
      <c r="B1575">
        <v>1</v>
      </c>
      <c r="C1575">
        <v>0.161</v>
      </c>
    </row>
    <row r="1576" spans="1:3" x14ac:dyDescent="0.3">
      <c r="A1576" t="s">
        <v>5684</v>
      </c>
      <c r="B1576">
        <v>1</v>
      </c>
      <c r="C1576">
        <v>0.161</v>
      </c>
    </row>
    <row r="1577" spans="1:3" x14ac:dyDescent="0.3">
      <c r="A1577" t="s">
        <v>5685</v>
      </c>
      <c r="B1577">
        <v>1</v>
      </c>
      <c r="C1577">
        <v>0.161</v>
      </c>
    </row>
    <row r="1578" spans="1:3" x14ac:dyDescent="0.3">
      <c r="A1578" t="s">
        <v>5686</v>
      </c>
      <c r="B1578">
        <v>1</v>
      </c>
      <c r="C1578">
        <v>0.161</v>
      </c>
    </row>
    <row r="1579" spans="1:3" x14ac:dyDescent="0.3">
      <c r="A1579" t="s">
        <v>5687</v>
      </c>
      <c r="B1579">
        <v>1</v>
      </c>
      <c r="C1579">
        <v>0.161</v>
      </c>
    </row>
    <row r="1580" spans="1:3" x14ac:dyDescent="0.3">
      <c r="A1580" t="s">
        <v>5688</v>
      </c>
      <c r="B1580">
        <v>1</v>
      </c>
      <c r="C1580">
        <v>0.161</v>
      </c>
    </row>
    <row r="1581" spans="1:3" x14ac:dyDescent="0.3">
      <c r="A1581" t="s">
        <v>5689</v>
      </c>
      <c r="B1581">
        <v>1</v>
      </c>
      <c r="C1581">
        <v>0.161</v>
      </c>
    </row>
    <row r="1582" spans="1:3" x14ac:dyDescent="0.3">
      <c r="A1582" t="s">
        <v>5690</v>
      </c>
      <c r="B1582">
        <v>1</v>
      </c>
      <c r="C1582">
        <v>0.161</v>
      </c>
    </row>
    <row r="1583" spans="1:3" x14ac:dyDescent="0.3">
      <c r="A1583" t="s">
        <v>5691</v>
      </c>
      <c r="B1583">
        <v>1</v>
      </c>
      <c r="C1583">
        <v>0.161</v>
      </c>
    </row>
    <row r="1584" spans="1:3" x14ac:dyDescent="0.3">
      <c r="A1584" t="s">
        <v>5692</v>
      </c>
      <c r="B1584">
        <v>1</v>
      </c>
      <c r="C1584">
        <v>0.161</v>
      </c>
    </row>
    <row r="1585" spans="1:3" x14ac:dyDescent="0.3">
      <c r="A1585" t="s">
        <v>5693</v>
      </c>
      <c r="B1585">
        <v>1</v>
      </c>
      <c r="C1585">
        <v>0.161</v>
      </c>
    </row>
    <row r="1586" spans="1:3" x14ac:dyDescent="0.3">
      <c r="A1586" t="s">
        <v>5694</v>
      </c>
      <c r="B1586">
        <v>1</v>
      </c>
      <c r="C1586">
        <v>0.161</v>
      </c>
    </row>
    <row r="1587" spans="1:3" x14ac:dyDescent="0.3">
      <c r="A1587" t="s">
        <v>5695</v>
      </c>
      <c r="B1587">
        <v>1</v>
      </c>
      <c r="C1587">
        <v>0.161</v>
      </c>
    </row>
    <row r="1588" spans="1:3" x14ac:dyDescent="0.3">
      <c r="A1588" t="s">
        <v>5696</v>
      </c>
      <c r="B1588">
        <v>1</v>
      </c>
      <c r="C1588">
        <v>0.161</v>
      </c>
    </row>
    <row r="1589" spans="1:3" x14ac:dyDescent="0.3">
      <c r="A1589" t="s">
        <v>5697</v>
      </c>
      <c r="B1589">
        <v>1</v>
      </c>
      <c r="C1589">
        <v>0.161</v>
      </c>
    </row>
    <row r="1590" spans="1:3" x14ac:dyDescent="0.3">
      <c r="A1590" t="s">
        <v>5698</v>
      </c>
      <c r="B1590">
        <v>1</v>
      </c>
      <c r="C1590">
        <v>0.161</v>
      </c>
    </row>
    <row r="1591" spans="1:3" x14ac:dyDescent="0.3">
      <c r="A1591" t="s">
        <v>5699</v>
      </c>
      <c r="B1591">
        <v>1</v>
      </c>
      <c r="C1591">
        <v>0.161</v>
      </c>
    </row>
    <row r="1592" spans="1:3" x14ac:dyDescent="0.3">
      <c r="A1592" t="s">
        <v>5700</v>
      </c>
      <c r="B1592">
        <v>1</v>
      </c>
      <c r="C1592">
        <v>0.161</v>
      </c>
    </row>
    <row r="1593" spans="1:3" x14ac:dyDescent="0.3">
      <c r="A1593" t="s">
        <v>5701</v>
      </c>
      <c r="B1593">
        <v>1</v>
      </c>
      <c r="C1593">
        <v>0.161</v>
      </c>
    </row>
    <row r="1594" spans="1:3" x14ac:dyDescent="0.3">
      <c r="A1594" t="s">
        <v>5702</v>
      </c>
      <c r="B1594">
        <v>1</v>
      </c>
      <c r="C1594">
        <v>0.161</v>
      </c>
    </row>
    <row r="1595" spans="1:3" x14ac:dyDescent="0.3">
      <c r="A1595" t="s">
        <v>5703</v>
      </c>
      <c r="B1595">
        <v>1</v>
      </c>
      <c r="C1595">
        <v>0.161</v>
      </c>
    </row>
    <row r="1596" spans="1:3" x14ac:dyDescent="0.3">
      <c r="A1596" t="s">
        <v>5704</v>
      </c>
      <c r="B1596">
        <v>1</v>
      </c>
      <c r="C1596">
        <v>0.161</v>
      </c>
    </row>
    <row r="1597" spans="1:3" x14ac:dyDescent="0.3">
      <c r="A1597" t="s">
        <v>5705</v>
      </c>
      <c r="B1597">
        <v>1</v>
      </c>
      <c r="C1597">
        <v>0.161</v>
      </c>
    </row>
    <row r="1598" spans="1:3" x14ac:dyDescent="0.3">
      <c r="A1598" t="s">
        <v>5706</v>
      </c>
      <c r="B1598">
        <v>1</v>
      </c>
      <c r="C1598">
        <v>0.161</v>
      </c>
    </row>
    <row r="1599" spans="1:3" x14ac:dyDescent="0.3">
      <c r="A1599" t="s">
        <v>5707</v>
      </c>
      <c r="B1599">
        <v>1</v>
      </c>
      <c r="C1599">
        <v>0.161</v>
      </c>
    </row>
    <row r="1600" spans="1:3" x14ac:dyDescent="0.3">
      <c r="A1600" t="s">
        <v>5708</v>
      </c>
      <c r="B1600">
        <v>1</v>
      </c>
      <c r="C1600">
        <v>0.161</v>
      </c>
    </row>
    <row r="1601" spans="1:3" x14ac:dyDescent="0.3">
      <c r="A1601" t="s">
        <v>5709</v>
      </c>
      <c r="B1601">
        <v>1</v>
      </c>
      <c r="C1601">
        <v>0.161</v>
      </c>
    </row>
    <row r="1602" spans="1:3" x14ac:dyDescent="0.3">
      <c r="A1602" t="s">
        <v>5710</v>
      </c>
      <c r="B1602">
        <v>1</v>
      </c>
      <c r="C1602">
        <v>0.161</v>
      </c>
    </row>
    <row r="1603" spans="1:3" x14ac:dyDescent="0.3">
      <c r="A1603" t="s">
        <v>5711</v>
      </c>
      <c r="B1603">
        <v>1</v>
      </c>
      <c r="C1603">
        <v>0.161</v>
      </c>
    </row>
    <row r="1604" spans="1:3" x14ac:dyDescent="0.3">
      <c r="A1604" t="s">
        <v>5712</v>
      </c>
      <c r="B1604">
        <v>1</v>
      </c>
      <c r="C1604">
        <v>0.161</v>
      </c>
    </row>
    <row r="1605" spans="1:3" x14ac:dyDescent="0.3">
      <c r="A1605" t="s">
        <v>5713</v>
      </c>
      <c r="B1605">
        <v>1</v>
      </c>
      <c r="C1605">
        <v>0.161</v>
      </c>
    </row>
    <row r="1606" spans="1:3" x14ac:dyDescent="0.3">
      <c r="A1606" t="s">
        <v>5714</v>
      </c>
      <c r="B1606">
        <v>1</v>
      </c>
      <c r="C1606">
        <v>0.161</v>
      </c>
    </row>
    <row r="1607" spans="1:3" x14ac:dyDescent="0.3">
      <c r="A1607" t="s">
        <v>5715</v>
      </c>
      <c r="B1607">
        <v>1</v>
      </c>
      <c r="C1607">
        <v>0.161</v>
      </c>
    </row>
    <row r="1608" spans="1:3" x14ac:dyDescent="0.3">
      <c r="A1608" t="s">
        <v>5716</v>
      </c>
      <c r="B1608">
        <v>1</v>
      </c>
      <c r="C1608">
        <v>0.161</v>
      </c>
    </row>
    <row r="1609" spans="1:3" x14ac:dyDescent="0.3">
      <c r="A1609" t="s">
        <v>5717</v>
      </c>
      <c r="B1609">
        <v>1</v>
      </c>
      <c r="C1609">
        <v>0.161</v>
      </c>
    </row>
    <row r="1610" spans="1:3" x14ac:dyDescent="0.3">
      <c r="A1610" t="s">
        <v>5718</v>
      </c>
      <c r="B1610">
        <v>1</v>
      </c>
      <c r="C1610">
        <v>0.161</v>
      </c>
    </row>
    <row r="1611" spans="1:3" x14ac:dyDescent="0.3">
      <c r="A1611" t="s">
        <v>5719</v>
      </c>
      <c r="B1611">
        <v>1</v>
      </c>
      <c r="C1611">
        <v>0.161</v>
      </c>
    </row>
    <row r="1612" spans="1:3" x14ac:dyDescent="0.3">
      <c r="A1612" t="s">
        <v>5720</v>
      </c>
      <c r="B1612">
        <v>1</v>
      </c>
      <c r="C1612">
        <v>0.161</v>
      </c>
    </row>
    <row r="1613" spans="1:3" x14ac:dyDescent="0.3">
      <c r="A1613" t="s">
        <v>5721</v>
      </c>
      <c r="B1613">
        <v>1</v>
      </c>
      <c r="C1613">
        <v>0.161</v>
      </c>
    </row>
    <row r="1614" spans="1:3" x14ac:dyDescent="0.3">
      <c r="A1614" t="s">
        <v>5722</v>
      </c>
      <c r="B1614">
        <v>1</v>
      </c>
      <c r="C1614">
        <v>0.161</v>
      </c>
    </row>
    <row r="1615" spans="1:3" x14ac:dyDescent="0.3">
      <c r="A1615" t="s">
        <v>5723</v>
      </c>
      <c r="B1615">
        <v>1</v>
      </c>
      <c r="C1615">
        <v>0.161</v>
      </c>
    </row>
    <row r="1616" spans="1:3" x14ac:dyDescent="0.3">
      <c r="A1616" t="s">
        <v>5724</v>
      </c>
      <c r="B1616">
        <v>1</v>
      </c>
      <c r="C1616">
        <v>0.161</v>
      </c>
    </row>
    <row r="1617" spans="1:3" x14ac:dyDescent="0.3">
      <c r="A1617" t="s">
        <v>5725</v>
      </c>
      <c r="B1617">
        <v>1</v>
      </c>
      <c r="C1617">
        <v>0.161</v>
      </c>
    </row>
    <row r="1618" spans="1:3" x14ac:dyDescent="0.3">
      <c r="A1618" t="s">
        <v>5726</v>
      </c>
      <c r="B1618">
        <v>1</v>
      </c>
      <c r="C1618">
        <v>0.161</v>
      </c>
    </row>
    <row r="1619" spans="1:3" x14ac:dyDescent="0.3">
      <c r="A1619" t="s">
        <v>5727</v>
      </c>
      <c r="B1619">
        <v>1</v>
      </c>
      <c r="C1619">
        <v>0.161</v>
      </c>
    </row>
    <row r="1620" spans="1:3" x14ac:dyDescent="0.3">
      <c r="A1620" t="s">
        <v>5728</v>
      </c>
      <c r="B1620">
        <v>1</v>
      </c>
      <c r="C1620">
        <v>0.161</v>
      </c>
    </row>
    <row r="1621" spans="1:3" x14ac:dyDescent="0.3">
      <c r="A1621" t="s">
        <v>5729</v>
      </c>
      <c r="B1621">
        <v>1</v>
      </c>
      <c r="C1621">
        <v>0.161</v>
      </c>
    </row>
    <row r="1622" spans="1:3" x14ac:dyDescent="0.3">
      <c r="A1622" t="s">
        <v>5730</v>
      </c>
      <c r="B1622">
        <v>1</v>
      </c>
      <c r="C1622">
        <v>0.161</v>
      </c>
    </row>
    <row r="1623" spans="1:3" x14ac:dyDescent="0.3">
      <c r="A1623" t="s">
        <v>5731</v>
      </c>
      <c r="B1623">
        <v>1</v>
      </c>
      <c r="C1623">
        <v>0.161</v>
      </c>
    </row>
    <row r="1624" spans="1:3" x14ac:dyDescent="0.3">
      <c r="A1624" t="s">
        <v>5732</v>
      </c>
      <c r="B1624">
        <v>1</v>
      </c>
      <c r="C1624">
        <v>0.161</v>
      </c>
    </row>
    <row r="1625" spans="1:3" x14ac:dyDescent="0.3">
      <c r="A1625" t="s">
        <v>5733</v>
      </c>
      <c r="B1625">
        <v>1</v>
      </c>
      <c r="C1625">
        <v>0.161</v>
      </c>
    </row>
    <row r="1626" spans="1:3" x14ac:dyDescent="0.3">
      <c r="A1626" t="s">
        <v>5734</v>
      </c>
      <c r="B1626">
        <v>1</v>
      </c>
      <c r="C1626">
        <v>0.161</v>
      </c>
    </row>
    <row r="1627" spans="1:3" x14ac:dyDescent="0.3">
      <c r="A1627" t="s">
        <v>5735</v>
      </c>
      <c r="B1627">
        <v>1</v>
      </c>
      <c r="C1627">
        <v>0.161</v>
      </c>
    </row>
    <row r="1628" spans="1:3" x14ac:dyDescent="0.3">
      <c r="A1628" t="s">
        <v>5736</v>
      </c>
      <c r="B1628">
        <v>1</v>
      </c>
      <c r="C1628">
        <v>0.161</v>
      </c>
    </row>
    <row r="1629" spans="1:3" x14ac:dyDescent="0.3">
      <c r="A1629" t="s">
        <v>5737</v>
      </c>
      <c r="B1629">
        <v>1</v>
      </c>
      <c r="C1629">
        <v>0.161</v>
      </c>
    </row>
    <row r="1630" spans="1:3" x14ac:dyDescent="0.3">
      <c r="A1630" t="s">
        <v>5738</v>
      </c>
      <c r="B1630">
        <v>1</v>
      </c>
      <c r="C1630">
        <v>0.161</v>
      </c>
    </row>
    <row r="1631" spans="1:3" x14ac:dyDescent="0.3">
      <c r="A1631" t="s">
        <v>5739</v>
      </c>
      <c r="B1631">
        <v>1</v>
      </c>
      <c r="C1631">
        <v>0.161</v>
      </c>
    </row>
    <row r="1632" spans="1:3" x14ac:dyDescent="0.3">
      <c r="A1632" t="s">
        <v>5740</v>
      </c>
      <c r="B1632">
        <v>1</v>
      </c>
      <c r="C1632">
        <v>0.161</v>
      </c>
    </row>
    <row r="1633" spans="1:3" x14ac:dyDescent="0.3">
      <c r="A1633" t="s">
        <v>5741</v>
      </c>
      <c r="B1633">
        <v>1</v>
      </c>
      <c r="C1633">
        <v>0.161</v>
      </c>
    </row>
    <row r="1634" spans="1:3" x14ac:dyDescent="0.3">
      <c r="A1634" t="s">
        <v>5742</v>
      </c>
      <c r="B1634">
        <v>1</v>
      </c>
      <c r="C1634">
        <v>0.161</v>
      </c>
    </row>
    <row r="1635" spans="1:3" x14ac:dyDescent="0.3">
      <c r="A1635" t="s">
        <v>5743</v>
      </c>
      <c r="B1635">
        <v>1</v>
      </c>
      <c r="C1635">
        <v>0.161</v>
      </c>
    </row>
    <row r="1636" spans="1:3" x14ac:dyDescent="0.3">
      <c r="A1636" t="s">
        <v>5744</v>
      </c>
      <c r="B1636">
        <v>1</v>
      </c>
      <c r="C1636">
        <v>0.161</v>
      </c>
    </row>
    <row r="1637" spans="1:3" x14ac:dyDescent="0.3">
      <c r="A1637" t="s">
        <v>5745</v>
      </c>
      <c r="B1637">
        <v>1</v>
      </c>
      <c r="C1637">
        <v>0.161</v>
      </c>
    </row>
    <row r="1638" spans="1:3" x14ac:dyDescent="0.3">
      <c r="A1638" t="s">
        <v>5746</v>
      </c>
      <c r="B1638">
        <v>1</v>
      </c>
      <c r="C1638">
        <v>0.161</v>
      </c>
    </row>
    <row r="1639" spans="1:3" x14ac:dyDescent="0.3">
      <c r="A1639" t="s">
        <v>5747</v>
      </c>
      <c r="B1639">
        <v>1</v>
      </c>
      <c r="C1639">
        <v>0.161</v>
      </c>
    </row>
    <row r="1640" spans="1:3" x14ac:dyDescent="0.3">
      <c r="A1640" t="s">
        <v>5748</v>
      </c>
      <c r="B1640">
        <v>1</v>
      </c>
      <c r="C1640">
        <v>0.161</v>
      </c>
    </row>
    <row r="1641" spans="1:3" x14ac:dyDescent="0.3">
      <c r="A1641" t="s">
        <v>5749</v>
      </c>
      <c r="B1641">
        <v>1</v>
      </c>
      <c r="C1641">
        <v>0.161</v>
      </c>
    </row>
    <row r="1642" spans="1:3" x14ac:dyDescent="0.3">
      <c r="A1642" t="s">
        <v>5750</v>
      </c>
      <c r="B1642">
        <v>1</v>
      </c>
      <c r="C1642">
        <v>0.161</v>
      </c>
    </row>
    <row r="1643" spans="1:3" x14ac:dyDescent="0.3">
      <c r="A1643" t="s">
        <v>5751</v>
      </c>
      <c r="B1643">
        <v>1</v>
      </c>
      <c r="C1643">
        <v>0.161</v>
      </c>
    </row>
    <row r="1644" spans="1:3" x14ac:dyDescent="0.3">
      <c r="A1644" t="s">
        <v>5752</v>
      </c>
      <c r="B1644">
        <v>1</v>
      </c>
      <c r="C1644">
        <v>0.161</v>
      </c>
    </row>
    <row r="1645" spans="1:3" x14ac:dyDescent="0.3">
      <c r="A1645" t="s">
        <v>5753</v>
      </c>
      <c r="B1645">
        <v>1</v>
      </c>
      <c r="C1645">
        <v>0.161</v>
      </c>
    </row>
    <row r="1646" spans="1:3" x14ac:dyDescent="0.3">
      <c r="A1646" t="s">
        <v>5754</v>
      </c>
      <c r="B1646">
        <v>1</v>
      </c>
      <c r="C1646">
        <v>0.161</v>
      </c>
    </row>
    <row r="1647" spans="1:3" x14ac:dyDescent="0.3">
      <c r="A1647" t="s">
        <v>5755</v>
      </c>
      <c r="B1647">
        <v>1</v>
      </c>
      <c r="C1647">
        <v>0.161</v>
      </c>
    </row>
    <row r="1648" spans="1:3" x14ac:dyDescent="0.3">
      <c r="A1648" t="s">
        <v>5756</v>
      </c>
      <c r="B1648">
        <v>1</v>
      </c>
      <c r="C1648">
        <v>0.161</v>
      </c>
    </row>
    <row r="1649" spans="1:3" x14ac:dyDescent="0.3">
      <c r="A1649" t="s">
        <v>5757</v>
      </c>
      <c r="B1649">
        <v>1</v>
      </c>
      <c r="C1649">
        <v>0.161</v>
      </c>
    </row>
    <row r="1650" spans="1:3" x14ac:dyDescent="0.3">
      <c r="A1650" t="s">
        <v>5758</v>
      </c>
      <c r="B1650">
        <v>1</v>
      </c>
      <c r="C1650">
        <v>0.161</v>
      </c>
    </row>
    <row r="1651" spans="1:3" x14ac:dyDescent="0.3">
      <c r="A1651" t="s">
        <v>5759</v>
      </c>
      <c r="B1651">
        <v>1</v>
      </c>
      <c r="C1651">
        <v>0.161</v>
      </c>
    </row>
    <row r="1652" spans="1:3" x14ac:dyDescent="0.3">
      <c r="A1652" t="s">
        <v>5760</v>
      </c>
      <c r="B1652">
        <v>1</v>
      </c>
      <c r="C1652">
        <v>0.161</v>
      </c>
    </row>
    <row r="1653" spans="1:3" x14ac:dyDescent="0.3">
      <c r="A1653" t="s">
        <v>5761</v>
      </c>
      <c r="B1653">
        <v>1</v>
      </c>
      <c r="C1653">
        <v>0.161</v>
      </c>
    </row>
    <row r="1654" spans="1:3" x14ac:dyDescent="0.3">
      <c r="A1654" t="s">
        <v>5762</v>
      </c>
      <c r="B1654">
        <v>1</v>
      </c>
      <c r="C1654">
        <v>0.161</v>
      </c>
    </row>
    <row r="1655" spans="1:3" x14ac:dyDescent="0.3">
      <c r="A1655" t="s">
        <v>5763</v>
      </c>
      <c r="B1655">
        <v>1</v>
      </c>
      <c r="C1655">
        <v>0.161</v>
      </c>
    </row>
    <row r="1656" spans="1:3" x14ac:dyDescent="0.3">
      <c r="A1656" t="s">
        <v>5764</v>
      </c>
      <c r="B1656">
        <v>1</v>
      </c>
      <c r="C1656">
        <v>0.161</v>
      </c>
    </row>
    <row r="1657" spans="1:3" x14ac:dyDescent="0.3">
      <c r="A1657" t="s">
        <v>5765</v>
      </c>
      <c r="B1657">
        <v>1</v>
      </c>
      <c r="C1657">
        <v>0.161</v>
      </c>
    </row>
    <row r="1658" spans="1:3" x14ac:dyDescent="0.3">
      <c r="A1658" t="s">
        <v>5766</v>
      </c>
      <c r="B1658">
        <v>1</v>
      </c>
      <c r="C1658">
        <v>0.161</v>
      </c>
    </row>
    <row r="1659" spans="1:3" x14ac:dyDescent="0.3">
      <c r="A1659" t="s">
        <v>5767</v>
      </c>
      <c r="B1659">
        <v>1</v>
      </c>
      <c r="C1659">
        <v>0.161</v>
      </c>
    </row>
    <row r="1660" spans="1:3" x14ac:dyDescent="0.3">
      <c r="A1660" t="s">
        <v>5768</v>
      </c>
      <c r="B1660">
        <v>1</v>
      </c>
      <c r="C1660">
        <v>0.161</v>
      </c>
    </row>
    <row r="1661" spans="1:3" x14ac:dyDescent="0.3">
      <c r="A1661" t="s">
        <v>5769</v>
      </c>
      <c r="B1661">
        <v>1</v>
      </c>
      <c r="C1661">
        <v>0.161</v>
      </c>
    </row>
    <row r="1662" spans="1:3" x14ac:dyDescent="0.3">
      <c r="A1662" t="s">
        <v>5770</v>
      </c>
      <c r="B1662">
        <v>1</v>
      </c>
      <c r="C1662">
        <v>0.161</v>
      </c>
    </row>
    <row r="1663" spans="1:3" x14ac:dyDescent="0.3">
      <c r="A1663" t="s">
        <v>5771</v>
      </c>
      <c r="B1663">
        <v>1</v>
      </c>
      <c r="C1663">
        <v>0.161</v>
      </c>
    </row>
    <row r="1664" spans="1:3" x14ac:dyDescent="0.3">
      <c r="A1664" t="s">
        <v>5772</v>
      </c>
      <c r="B1664">
        <v>1</v>
      </c>
      <c r="C1664">
        <v>0.161</v>
      </c>
    </row>
    <row r="1665" spans="1:3" x14ac:dyDescent="0.3">
      <c r="A1665" t="s">
        <v>5773</v>
      </c>
      <c r="B1665">
        <v>1</v>
      </c>
      <c r="C1665">
        <v>0.161</v>
      </c>
    </row>
    <row r="1666" spans="1:3" x14ac:dyDescent="0.3">
      <c r="A1666" t="s">
        <v>5774</v>
      </c>
      <c r="B1666">
        <v>1</v>
      </c>
      <c r="C1666">
        <v>0.161</v>
      </c>
    </row>
    <row r="1667" spans="1:3" x14ac:dyDescent="0.3">
      <c r="A1667" t="s">
        <v>5775</v>
      </c>
      <c r="B1667">
        <v>1</v>
      </c>
      <c r="C1667">
        <v>0.161</v>
      </c>
    </row>
    <row r="1668" spans="1:3" x14ac:dyDescent="0.3">
      <c r="A1668" t="s">
        <v>5776</v>
      </c>
      <c r="B1668">
        <v>1</v>
      </c>
      <c r="C1668">
        <v>0.161</v>
      </c>
    </row>
    <row r="1669" spans="1:3" x14ac:dyDescent="0.3">
      <c r="A1669" t="s">
        <v>5777</v>
      </c>
      <c r="B1669">
        <v>1</v>
      </c>
      <c r="C1669">
        <v>0.161</v>
      </c>
    </row>
    <row r="1670" spans="1:3" x14ac:dyDescent="0.3">
      <c r="A1670" t="s">
        <v>5778</v>
      </c>
      <c r="B1670">
        <v>1</v>
      </c>
      <c r="C1670">
        <v>0.161</v>
      </c>
    </row>
    <row r="1671" spans="1:3" x14ac:dyDescent="0.3">
      <c r="A1671" t="s">
        <v>5779</v>
      </c>
      <c r="B1671">
        <v>1</v>
      </c>
      <c r="C1671">
        <v>0.161</v>
      </c>
    </row>
    <row r="1672" spans="1:3" x14ac:dyDescent="0.3">
      <c r="A1672" t="s">
        <v>5780</v>
      </c>
      <c r="B1672">
        <v>1</v>
      </c>
      <c r="C1672">
        <v>0.161</v>
      </c>
    </row>
    <row r="1673" spans="1:3" x14ac:dyDescent="0.3">
      <c r="A1673" t="s">
        <v>5781</v>
      </c>
      <c r="B1673">
        <v>1</v>
      </c>
      <c r="C1673">
        <v>0.161</v>
      </c>
    </row>
    <row r="1674" spans="1:3" x14ac:dyDescent="0.3">
      <c r="A1674" t="s">
        <v>5782</v>
      </c>
      <c r="B1674">
        <v>1</v>
      </c>
      <c r="C1674">
        <v>0.161</v>
      </c>
    </row>
    <row r="1675" spans="1:3" x14ac:dyDescent="0.3">
      <c r="A1675" t="s">
        <v>5783</v>
      </c>
      <c r="B1675">
        <v>1</v>
      </c>
      <c r="C1675">
        <v>0.161</v>
      </c>
    </row>
    <row r="1676" spans="1:3" x14ac:dyDescent="0.3">
      <c r="A1676" t="s">
        <v>5784</v>
      </c>
      <c r="B1676">
        <v>1</v>
      </c>
      <c r="C1676">
        <v>0.161</v>
      </c>
    </row>
    <row r="1677" spans="1:3" x14ac:dyDescent="0.3">
      <c r="A1677" t="s">
        <v>5785</v>
      </c>
      <c r="B1677">
        <v>1</v>
      </c>
      <c r="C1677">
        <v>0.161</v>
      </c>
    </row>
    <row r="1678" spans="1:3" x14ac:dyDescent="0.3">
      <c r="A1678" t="s">
        <v>5786</v>
      </c>
      <c r="B1678">
        <v>1</v>
      </c>
      <c r="C1678">
        <v>0.161</v>
      </c>
    </row>
    <row r="1679" spans="1:3" x14ac:dyDescent="0.3">
      <c r="A1679" t="s">
        <v>5787</v>
      </c>
      <c r="B1679">
        <v>1</v>
      </c>
      <c r="C1679">
        <v>0.161</v>
      </c>
    </row>
    <row r="1680" spans="1:3" x14ac:dyDescent="0.3">
      <c r="A1680" t="s">
        <v>5788</v>
      </c>
      <c r="B1680">
        <v>1</v>
      </c>
      <c r="C1680">
        <v>0.161</v>
      </c>
    </row>
    <row r="1681" spans="1:3" x14ac:dyDescent="0.3">
      <c r="A1681" t="s">
        <v>5789</v>
      </c>
      <c r="B1681">
        <v>1</v>
      </c>
      <c r="C1681">
        <v>0.161</v>
      </c>
    </row>
    <row r="1682" spans="1:3" x14ac:dyDescent="0.3">
      <c r="A1682" t="s">
        <v>5790</v>
      </c>
      <c r="B1682">
        <v>1</v>
      </c>
      <c r="C1682">
        <v>0.161</v>
      </c>
    </row>
    <row r="1683" spans="1:3" x14ac:dyDescent="0.3">
      <c r="A1683" t="s">
        <v>5791</v>
      </c>
      <c r="B1683">
        <v>1</v>
      </c>
      <c r="C1683">
        <v>0.161</v>
      </c>
    </row>
    <row r="1684" spans="1:3" x14ac:dyDescent="0.3">
      <c r="A1684" t="s">
        <v>5792</v>
      </c>
      <c r="B1684">
        <v>1</v>
      </c>
      <c r="C1684">
        <v>0.161</v>
      </c>
    </row>
    <row r="1685" spans="1:3" x14ac:dyDescent="0.3">
      <c r="A1685" t="s">
        <v>5793</v>
      </c>
      <c r="B1685">
        <v>1</v>
      </c>
      <c r="C1685">
        <v>0.161</v>
      </c>
    </row>
    <row r="1686" spans="1:3" x14ac:dyDescent="0.3">
      <c r="A1686" t="s">
        <v>5794</v>
      </c>
      <c r="B1686">
        <v>1</v>
      </c>
      <c r="C1686">
        <v>0.161</v>
      </c>
    </row>
    <row r="1687" spans="1:3" x14ac:dyDescent="0.3">
      <c r="A1687" t="s">
        <v>5795</v>
      </c>
      <c r="B1687">
        <v>1</v>
      </c>
      <c r="C1687">
        <v>0.161</v>
      </c>
    </row>
    <row r="1688" spans="1:3" x14ac:dyDescent="0.3">
      <c r="A1688" t="s">
        <v>5796</v>
      </c>
      <c r="B1688">
        <v>1</v>
      </c>
      <c r="C1688">
        <v>0.161</v>
      </c>
    </row>
    <row r="1689" spans="1:3" x14ac:dyDescent="0.3">
      <c r="A1689" t="s">
        <v>5797</v>
      </c>
      <c r="B1689">
        <v>1</v>
      </c>
      <c r="C1689">
        <v>0.161</v>
      </c>
    </row>
    <row r="1690" spans="1:3" x14ac:dyDescent="0.3">
      <c r="A1690" t="s">
        <v>5798</v>
      </c>
      <c r="B1690">
        <v>1</v>
      </c>
      <c r="C1690">
        <v>0.161</v>
      </c>
    </row>
    <row r="1691" spans="1:3" x14ac:dyDescent="0.3">
      <c r="A1691" t="s">
        <v>5799</v>
      </c>
      <c r="B1691">
        <v>1</v>
      </c>
      <c r="C1691">
        <v>0.161</v>
      </c>
    </row>
    <row r="1692" spans="1:3" x14ac:dyDescent="0.3">
      <c r="A1692" t="s">
        <v>5800</v>
      </c>
      <c r="B1692">
        <v>1</v>
      </c>
      <c r="C1692">
        <v>0.161</v>
      </c>
    </row>
    <row r="1693" spans="1:3" x14ac:dyDescent="0.3">
      <c r="A1693" t="s">
        <v>5801</v>
      </c>
      <c r="B1693">
        <v>1</v>
      </c>
      <c r="C1693">
        <v>0.161</v>
      </c>
    </row>
    <row r="1694" spans="1:3" x14ac:dyDescent="0.3">
      <c r="A1694" t="s">
        <v>5802</v>
      </c>
      <c r="B1694">
        <v>1</v>
      </c>
      <c r="C1694">
        <v>0.161</v>
      </c>
    </row>
    <row r="1695" spans="1:3" x14ac:dyDescent="0.3">
      <c r="A1695" t="s">
        <v>5803</v>
      </c>
      <c r="B1695">
        <v>1</v>
      </c>
      <c r="C1695">
        <v>0.161</v>
      </c>
    </row>
    <row r="1696" spans="1:3" x14ac:dyDescent="0.3">
      <c r="A1696" t="s">
        <v>5804</v>
      </c>
      <c r="B1696">
        <v>1</v>
      </c>
      <c r="C1696">
        <v>0.161</v>
      </c>
    </row>
    <row r="1697" spans="1:3" x14ac:dyDescent="0.3">
      <c r="A1697" t="s">
        <v>5805</v>
      </c>
      <c r="B1697">
        <v>1</v>
      </c>
      <c r="C1697">
        <v>0.161</v>
      </c>
    </row>
    <row r="1698" spans="1:3" x14ac:dyDescent="0.3">
      <c r="A1698" t="s">
        <v>5806</v>
      </c>
      <c r="B1698">
        <v>1</v>
      </c>
      <c r="C1698">
        <v>0.161</v>
      </c>
    </row>
    <row r="1699" spans="1:3" x14ac:dyDescent="0.3">
      <c r="A1699" t="s">
        <v>5807</v>
      </c>
      <c r="B1699">
        <v>1</v>
      </c>
      <c r="C1699">
        <v>0.161</v>
      </c>
    </row>
    <row r="1700" spans="1:3" x14ac:dyDescent="0.3">
      <c r="A1700" t="s">
        <v>5808</v>
      </c>
      <c r="B1700">
        <v>1</v>
      </c>
      <c r="C1700">
        <v>0.161</v>
      </c>
    </row>
    <row r="1701" spans="1:3" x14ac:dyDescent="0.3">
      <c r="A1701" t="s">
        <v>5809</v>
      </c>
      <c r="B1701">
        <v>1</v>
      </c>
      <c r="C1701">
        <v>0.161</v>
      </c>
    </row>
    <row r="1702" spans="1:3" x14ac:dyDescent="0.3">
      <c r="A1702" t="s">
        <v>5810</v>
      </c>
      <c r="B1702">
        <v>1</v>
      </c>
      <c r="C1702">
        <v>0.161</v>
      </c>
    </row>
    <row r="1703" spans="1:3" x14ac:dyDescent="0.3">
      <c r="A1703" t="s">
        <v>5811</v>
      </c>
      <c r="B1703">
        <v>1</v>
      </c>
      <c r="C1703">
        <v>0.161</v>
      </c>
    </row>
    <row r="1704" spans="1:3" x14ac:dyDescent="0.3">
      <c r="A1704" t="s">
        <v>5812</v>
      </c>
      <c r="B1704">
        <v>1</v>
      </c>
      <c r="C1704">
        <v>0.161</v>
      </c>
    </row>
    <row r="1705" spans="1:3" x14ac:dyDescent="0.3">
      <c r="A1705" t="s">
        <v>5813</v>
      </c>
      <c r="B1705">
        <v>1</v>
      </c>
      <c r="C1705">
        <v>0.161</v>
      </c>
    </row>
    <row r="1706" spans="1:3" x14ac:dyDescent="0.3">
      <c r="A1706" t="s">
        <v>5814</v>
      </c>
      <c r="B1706">
        <v>1</v>
      </c>
      <c r="C1706">
        <v>0.161</v>
      </c>
    </row>
    <row r="1707" spans="1:3" x14ac:dyDescent="0.3">
      <c r="A1707" t="s">
        <v>5815</v>
      </c>
      <c r="B1707">
        <v>1</v>
      </c>
      <c r="C1707">
        <v>0.161</v>
      </c>
    </row>
    <row r="1708" spans="1:3" x14ac:dyDescent="0.3">
      <c r="A1708" t="s">
        <v>5816</v>
      </c>
      <c r="B1708">
        <v>1</v>
      </c>
      <c r="C1708">
        <v>0.161</v>
      </c>
    </row>
    <row r="1709" spans="1:3" x14ac:dyDescent="0.3">
      <c r="A1709" t="s">
        <v>5817</v>
      </c>
      <c r="B1709">
        <v>1</v>
      </c>
      <c r="C1709">
        <v>0.161</v>
      </c>
    </row>
    <row r="1710" spans="1:3" x14ac:dyDescent="0.3">
      <c r="A1710" t="s">
        <v>5818</v>
      </c>
      <c r="B1710">
        <v>1</v>
      </c>
      <c r="C1710">
        <v>0.161</v>
      </c>
    </row>
    <row r="1711" spans="1:3" x14ac:dyDescent="0.3">
      <c r="A1711" t="s">
        <v>5819</v>
      </c>
      <c r="B1711">
        <v>1</v>
      </c>
      <c r="C1711">
        <v>0.161</v>
      </c>
    </row>
    <row r="1712" spans="1:3" x14ac:dyDescent="0.3">
      <c r="A1712" t="s">
        <v>5820</v>
      </c>
      <c r="B1712">
        <v>1</v>
      </c>
      <c r="C1712">
        <v>0.161</v>
      </c>
    </row>
    <row r="1713" spans="1:3" x14ac:dyDescent="0.3">
      <c r="A1713" t="s">
        <v>5821</v>
      </c>
      <c r="B1713">
        <v>1</v>
      </c>
      <c r="C1713">
        <v>0.161</v>
      </c>
    </row>
    <row r="1714" spans="1:3" x14ac:dyDescent="0.3">
      <c r="A1714" t="s">
        <v>5822</v>
      </c>
      <c r="B1714">
        <v>1</v>
      </c>
      <c r="C1714">
        <v>0.161</v>
      </c>
    </row>
    <row r="1715" spans="1:3" x14ac:dyDescent="0.3">
      <c r="A1715" t="s">
        <v>5823</v>
      </c>
      <c r="B1715">
        <v>1</v>
      </c>
      <c r="C1715">
        <v>0.161</v>
      </c>
    </row>
    <row r="1716" spans="1:3" x14ac:dyDescent="0.3">
      <c r="A1716" t="s">
        <v>5824</v>
      </c>
      <c r="B1716">
        <v>1</v>
      </c>
      <c r="C1716">
        <v>0.161</v>
      </c>
    </row>
    <row r="1717" spans="1:3" x14ac:dyDescent="0.3">
      <c r="A1717" t="s">
        <v>5825</v>
      </c>
      <c r="B1717">
        <v>1</v>
      </c>
      <c r="C1717">
        <v>0.161</v>
      </c>
    </row>
    <row r="1718" spans="1:3" x14ac:dyDescent="0.3">
      <c r="A1718" t="s">
        <v>5826</v>
      </c>
      <c r="B1718">
        <v>1</v>
      </c>
      <c r="C1718">
        <v>0.161</v>
      </c>
    </row>
    <row r="1719" spans="1:3" x14ac:dyDescent="0.3">
      <c r="A1719" t="s">
        <v>5827</v>
      </c>
      <c r="B1719">
        <v>1</v>
      </c>
      <c r="C1719">
        <v>0.161</v>
      </c>
    </row>
    <row r="1720" spans="1:3" x14ac:dyDescent="0.3">
      <c r="A1720" t="s">
        <v>5828</v>
      </c>
      <c r="B1720">
        <v>1</v>
      </c>
      <c r="C1720">
        <v>0.161</v>
      </c>
    </row>
    <row r="1721" spans="1:3" x14ac:dyDescent="0.3">
      <c r="A1721" t="s">
        <v>5829</v>
      </c>
      <c r="B1721">
        <v>1</v>
      </c>
      <c r="C1721">
        <v>0.161</v>
      </c>
    </row>
    <row r="1722" spans="1:3" x14ac:dyDescent="0.3">
      <c r="A1722" t="s">
        <v>5830</v>
      </c>
      <c r="B1722">
        <v>1</v>
      </c>
      <c r="C1722">
        <v>0.161</v>
      </c>
    </row>
    <row r="1723" spans="1:3" x14ac:dyDescent="0.3">
      <c r="A1723" t="s">
        <v>5831</v>
      </c>
      <c r="B1723">
        <v>1</v>
      </c>
      <c r="C1723">
        <v>0.161</v>
      </c>
    </row>
    <row r="1724" spans="1:3" x14ac:dyDescent="0.3">
      <c r="A1724" t="s">
        <v>5832</v>
      </c>
      <c r="B1724">
        <v>1</v>
      </c>
      <c r="C1724">
        <v>0.161</v>
      </c>
    </row>
    <row r="1725" spans="1:3" x14ac:dyDescent="0.3">
      <c r="A1725" t="s">
        <v>5833</v>
      </c>
      <c r="B1725">
        <v>1</v>
      </c>
      <c r="C1725">
        <v>0.161</v>
      </c>
    </row>
    <row r="1726" spans="1:3" x14ac:dyDescent="0.3">
      <c r="A1726" t="s">
        <v>5834</v>
      </c>
      <c r="B1726">
        <v>1</v>
      </c>
      <c r="C1726">
        <v>0.161</v>
      </c>
    </row>
    <row r="1727" spans="1:3" x14ac:dyDescent="0.3">
      <c r="A1727" t="s">
        <v>5835</v>
      </c>
      <c r="B1727">
        <v>1</v>
      </c>
      <c r="C1727">
        <v>0.161</v>
      </c>
    </row>
    <row r="1728" spans="1:3" x14ac:dyDescent="0.3">
      <c r="A1728" t="s">
        <v>5836</v>
      </c>
      <c r="B1728">
        <v>1</v>
      </c>
      <c r="C1728">
        <v>0.161</v>
      </c>
    </row>
    <row r="1729" spans="1:3" x14ac:dyDescent="0.3">
      <c r="A1729" t="s">
        <v>5837</v>
      </c>
      <c r="B1729">
        <v>1</v>
      </c>
      <c r="C1729">
        <v>0.161</v>
      </c>
    </row>
    <row r="1730" spans="1:3" x14ac:dyDescent="0.3">
      <c r="A1730" t="s">
        <v>5838</v>
      </c>
      <c r="B1730">
        <v>1</v>
      </c>
      <c r="C1730">
        <v>0.161</v>
      </c>
    </row>
    <row r="1731" spans="1:3" x14ac:dyDescent="0.3">
      <c r="A1731" t="s">
        <v>5839</v>
      </c>
      <c r="B1731">
        <v>1</v>
      </c>
      <c r="C1731">
        <v>0.161</v>
      </c>
    </row>
    <row r="1732" spans="1:3" x14ac:dyDescent="0.3">
      <c r="A1732" t="s">
        <v>5840</v>
      </c>
      <c r="B1732">
        <v>1</v>
      </c>
      <c r="C1732">
        <v>0.161</v>
      </c>
    </row>
    <row r="1733" spans="1:3" x14ac:dyDescent="0.3">
      <c r="A1733" t="s">
        <v>5841</v>
      </c>
      <c r="B1733">
        <v>1</v>
      </c>
      <c r="C1733">
        <v>0.161</v>
      </c>
    </row>
    <row r="1734" spans="1:3" x14ac:dyDescent="0.3">
      <c r="A1734" t="s">
        <v>5842</v>
      </c>
      <c r="B1734">
        <v>1</v>
      </c>
      <c r="C1734">
        <v>0.161</v>
      </c>
    </row>
    <row r="1735" spans="1:3" x14ac:dyDescent="0.3">
      <c r="A1735" t="s">
        <v>5843</v>
      </c>
      <c r="B1735">
        <v>1</v>
      </c>
      <c r="C1735">
        <v>0.161</v>
      </c>
    </row>
    <row r="1736" spans="1:3" x14ac:dyDescent="0.3">
      <c r="A1736" t="s">
        <v>5844</v>
      </c>
      <c r="B1736">
        <v>1</v>
      </c>
      <c r="C1736">
        <v>0.161</v>
      </c>
    </row>
    <row r="1737" spans="1:3" x14ac:dyDescent="0.3">
      <c r="A1737" t="s">
        <v>5845</v>
      </c>
      <c r="B1737">
        <v>1</v>
      </c>
      <c r="C1737">
        <v>0.161</v>
      </c>
    </row>
    <row r="1738" spans="1:3" x14ac:dyDescent="0.3">
      <c r="A1738" t="s">
        <v>5846</v>
      </c>
      <c r="B1738">
        <v>1</v>
      </c>
      <c r="C1738">
        <v>0.161</v>
      </c>
    </row>
    <row r="1739" spans="1:3" x14ac:dyDescent="0.3">
      <c r="A1739" t="s">
        <v>5847</v>
      </c>
      <c r="B1739">
        <v>1</v>
      </c>
      <c r="C1739">
        <v>0.161</v>
      </c>
    </row>
    <row r="1740" spans="1:3" x14ac:dyDescent="0.3">
      <c r="A1740" t="s">
        <v>5848</v>
      </c>
      <c r="B1740">
        <v>1</v>
      </c>
      <c r="C1740">
        <v>0.161</v>
      </c>
    </row>
    <row r="1741" spans="1:3" x14ac:dyDescent="0.3">
      <c r="A1741" t="s">
        <v>5849</v>
      </c>
      <c r="B1741">
        <v>1</v>
      </c>
      <c r="C1741">
        <v>0.161</v>
      </c>
    </row>
    <row r="1742" spans="1:3" x14ac:dyDescent="0.3">
      <c r="A1742" t="s">
        <v>5850</v>
      </c>
      <c r="B1742">
        <v>1</v>
      </c>
      <c r="C1742">
        <v>0.161</v>
      </c>
    </row>
    <row r="1743" spans="1:3" x14ac:dyDescent="0.3">
      <c r="A1743" t="s">
        <v>5851</v>
      </c>
      <c r="B1743">
        <v>1</v>
      </c>
      <c r="C1743">
        <v>0.161</v>
      </c>
    </row>
    <row r="1744" spans="1:3" x14ac:dyDescent="0.3">
      <c r="A1744" t="s">
        <v>5852</v>
      </c>
      <c r="B1744">
        <v>1</v>
      </c>
      <c r="C1744">
        <v>0.161</v>
      </c>
    </row>
    <row r="1745" spans="1:3" x14ac:dyDescent="0.3">
      <c r="A1745" t="s">
        <v>5853</v>
      </c>
      <c r="B1745">
        <v>1</v>
      </c>
      <c r="C1745">
        <v>0.161</v>
      </c>
    </row>
    <row r="1746" spans="1:3" x14ac:dyDescent="0.3">
      <c r="A1746" t="s">
        <v>5854</v>
      </c>
      <c r="B1746">
        <v>1</v>
      </c>
      <c r="C1746">
        <v>0.161</v>
      </c>
    </row>
    <row r="1747" spans="1:3" x14ac:dyDescent="0.3">
      <c r="A1747" t="s">
        <v>5855</v>
      </c>
      <c r="B1747">
        <v>1</v>
      </c>
      <c r="C1747">
        <v>0.161</v>
      </c>
    </row>
    <row r="1748" spans="1:3" x14ac:dyDescent="0.3">
      <c r="A1748" t="s">
        <v>5856</v>
      </c>
      <c r="B1748">
        <v>1</v>
      </c>
      <c r="C1748">
        <v>0.161</v>
      </c>
    </row>
    <row r="1749" spans="1:3" x14ac:dyDescent="0.3">
      <c r="A1749" t="s">
        <v>5857</v>
      </c>
      <c r="B1749">
        <v>1</v>
      </c>
      <c r="C1749">
        <v>0.161</v>
      </c>
    </row>
    <row r="1750" spans="1:3" x14ac:dyDescent="0.3">
      <c r="A1750" t="s">
        <v>5858</v>
      </c>
      <c r="B1750">
        <v>1</v>
      </c>
      <c r="C1750">
        <v>0.161</v>
      </c>
    </row>
    <row r="1751" spans="1:3" x14ac:dyDescent="0.3">
      <c r="A1751" t="s">
        <v>5859</v>
      </c>
      <c r="B1751">
        <v>1</v>
      </c>
      <c r="C1751">
        <v>0.161</v>
      </c>
    </row>
    <row r="1752" spans="1:3" x14ac:dyDescent="0.3">
      <c r="A1752" t="s">
        <v>5860</v>
      </c>
      <c r="B1752">
        <v>1</v>
      </c>
      <c r="C1752">
        <v>0.161</v>
      </c>
    </row>
    <row r="1753" spans="1:3" x14ac:dyDescent="0.3">
      <c r="A1753" t="s">
        <v>5861</v>
      </c>
      <c r="B1753">
        <v>1</v>
      </c>
      <c r="C1753">
        <v>0.161</v>
      </c>
    </row>
    <row r="1754" spans="1:3" x14ac:dyDescent="0.3">
      <c r="A1754" t="s">
        <v>5862</v>
      </c>
      <c r="B1754">
        <v>1</v>
      </c>
      <c r="C1754">
        <v>0.161</v>
      </c>
    </row>
    <row r="1755" spans="1:3" x14ac:dyDescent="0.3">
      <c r="A1755" t="s">
        <v>5863</v>
      </c>
      <c r="B1755">
        <v>1</v>
      </c>
      <c r="C1755">
        <v>0.161</v>
      </c>
    </row>
    <row r="1756" spans="1:3" x14ac:dyDescent="0.3">
      <c r="A1756" t="s">
        <v>5864</v>
      </c>
      <c r="B1756">
        <v>1</v>
      </c>
      <c r="C1756">
        <v>0.161</v>
      </c>
    </row>
    <row r="1757" spans="1:3" x14ac:dyDescent="0.3">
      <c r="A1757" t="s">
        <v>5865</v>
      </c>
      <c r="B1757">
        <v>1</v>
      </c>
      <c r="C1757">
        <v>0.161</v>
      </c>
    </row>
    <row r="1758" spans="1:3" x14ac:dyDescent="0.3">
      <c r="A1758" t="s">
        <v>5866</v>
      </c>
      <c r="B1758">
        <v>1</v>
      </c>
      <c r="C1758">
        <v>0.161</v>
      </c>
    </row>
    <row r="1759" spans="1:3" x14ac:dyDescent="0.3">
      <c r="A1759" t="s">
        <v>5867</v>
      </c>
      <c r="B1759">
        <v>1</v>
      </c>
      <c r="C1759">
        <v>0.161</v>
      </c>
    </row>
    <row r="1760" spans="1:3" x14ac:dyDescent="0.3">
      <c r="A1760" t="s">
        <v>5868</v>
      </c>
      <c r="B1760">
        <v>1</v>
      </c>
      <c r="C1760">
        <v>0.161</v>
      </c>
    </row>
    <row r="1761" spans="1:3" x14ac:dyDescent="0.3">
      <c r="A1761" t="s">
        <v>5869</v>
      </c>
      <c r="B1761">
        <v>1</v>
      </c>
      <c r="C1761">
        <v>0.161</v>
      </c>
    </row>
    <row r="1762" spans="1:3" x14ac:dyDescent="0.3">
      <c r="A1762" t="s">
        <v>5870</v>
      </c>
      <c r="B1762">
        <v>1</v>
      </c>
      <c r="C1762">
        <v>0.161</v>
      </c>
    </row>
    <row r="1763" spans="1:3" x14ac:dyDescent="0.3">
      <c r="A1763" t="s">
        <v>5871</v>
      </c>
      <c r="B1763">
        <v>1</v>
      </c>
      <c r="C1763">
        <v>0.161</v>
      </c>
    </row>
    <row r="1764" spans="1:3" x14ac:dyDescent="0.3">
      <c r="A1764" t="s">
        <v>5872</v>
      </c>
      <c r="B1764">
        <v>1</v>
      </c>
      <c r="C1764">
        <v>0.161</v>
      </c>
    </row>
    <row r="1765" spans="1:3" x14ac:dyDescent="0.3">
      <c r="A1765" t="s">
        <v>5873</v>
      </c>
      <c r="B1765">
        <v>1</v>
      </c>
      <c r="C1765">
        <v>0.161</v>
      </c>
    </row>
    <row r="1766" spans="1:3" x14ac:dyDescent="0.3">
      <c r="A1766" t="s">
        <v>5874</v>
      </c>
      <c r="B1766">
        <v>1</v>
      </c>
      <c r="C1766">
        <v>0.161</v>
      </c>
    </row>
    <row r="1767" spans="1:3" x14ac:dyDescent="0.3">
      <c r="A1767" t="s">
        <v>5875</v>
      </c>
      <c r="B1767">
        <v>1</v>
      </c>
      <c r="C1767">
        <v>0.161</v>
      </c>
    </row>
    <row r="1768" spans="1:3" x14ac:dyDescent="0.3">
      <c r="A1768" t="s">
        <v>5876</v>
      </c>
      <c r="B1768">
        <v>1</v>
      </c>
      <c r="C1768">
        <v>0.161</v>
      </c>
    </row>
    <row r="1769" spans="1:3" x14ac:dyDescent="0.3">
      <c r="A1769" t="s">
        <v>5877</v>
      </c>
      <c r="B1769">
        <v>1</v>
      </c>
      <c r="C1769">
        <v>0.161</v>
      </c>
    </row>
    <row r="1770" spans="1:3" x14ac:dyDescent="0.3">
      <c r="A1770" t="s">
        <v>5878</v>
      </c>
      <c r="B1770">
        <v>1</v>
      </c>
      <c r="C1770">
        <v>0.161</v>
      </c>
    </row>
    <row r="1771" spans="1:3" x14ac:dyDescent="0.3">
      <c r="A1771" t="s">
        <v>5879</v>
      </c>
      <c r="B1771">
        <v>1</v>
      </c>
      <c r="C1771">
        <v>0.161</v>
      </c>
    </row>
    <row r="1772" spans="1:3" x14ac:dyDescent="0.3">
      <c r="A1772" t="s">
        <v>5880</v>
      </c>
      <c r="B1772">
        <v>1</v>
      </c>
      <c r="C1772">
        <v>0.161</v>
      </c>
    </row>
    <row r="1773" spans="1:3" x14ac:dyDescent="0.3">
      <c r="A1773" t="s">
        <v>5881</v>
      </c>
      <c r="B1773">
        <v>1</v>
      </c>
      <c r="C1773">
        <v>0.161</v>
      </c>
    </row>
    <row r="1774" spans="1:3" x14ac:dyDescent="0.3">
      <c r="A1774" t="s">
        <v>5882</v>
      </c>
      <c r="B1774">
        <v>1</v>
      </c>
      <c r="C1774">
        <v>0.161</v>
      </c>
    </row>
    <row r="1775" spans="1:3" x14ac:dyDescent="0.3">
      <c r="A1775" t="s">
        <v>5883</v>
      </c>
      <c r="B1775">
        <v>1</v>
      </c>
      <c r="C1775">
        <v>0.161</v>
      </c>
    </row>
    <row r="1776" spans="1:3" x14ac:dyDescent="0.3">
      <c r="A1776" t="s">
        <v>5884</v>
      </c>
      <c r="B1776">
        <v>1</v>
      </c>
      <c r="C1776">
        <v>0.161</v>
      </c>
    </row>
    <row r="1777" spans="1:3" x14ac:dyDescent="0.3">
      <c r="A1777" t="s">
        <v>5885</v>
      </c>
      <c r="B1777">
        <v>1</v>
      </c>
      <c r="C1777">
        <v>0.161</v>
      </c>
    </row>
    <row r="1778" spans="1:3" x14ac:dyDescent="0.3">
      <c r="A1778" t="s">
        <v>5886</v>
      </c>
      <c r="B1778">
        <v>1</v>
      </c>
      <c r="C1778">
        <v>0.161</v>
      </c>
    </row>
    <row r="1779" spans="1:3" x14ac:dyDescent="0.3">
      <c r="A1779" t="s">
        <v>5887</v>
      </c>
      <c r="B1779">
        <v>1</v>
      </c>
      <c r="C1779">
        <v>0.161</v>
      </c>
    </row>
    <row r="1780" spans="1:3" x14ac:dyDescent="0.3">
      <c r="A1780" t="s">
        <v>5888</v>
      </c>
      <c r="B1780">
        <v>1</v>
      </c>
      <c r="C1780">
        <v>0.161</v>
      </c>
    </row>
    <row r="1781" spans="1:3" x14ac:dyDescent="0.3">
      <c r="A1781" t="s">
        <v>5889</v>
      </c>
      <c r="B1781">
        <v>1</v>
      </c>
      <c r="C1781">
        <v>0.161</v>
      </c>
    </row>
    <row r="1782" spans="1:3" x14ac:dyDescent="0.3">
      <c r="A1782" t="s">
        <v>5890</v>
      </c>
      <c r="B1782">
        <v>1</v>
      </c>
      <c r="C1782">
        <v>0.161</v>
      </c>
    </row>
    <row r="1783" spans="1:3" x14ac:dyDescent="0.3">
      <c r="A1783" t="s">
        <v>5891</v>
      </c>
      <c r="B1783">
        <v>1</v>
      </c>
      <c r="C1783">
        <v>0.161</v>
      </c>
    </row>
    <row r="1784" spans="1:3" x14ac:dyDescent="0.3">
      <c r="A1784" t="s">
        <v>5892</v>
      </c>
      <c r="B1784">
        <v>1</v>
      </c>
      <c r="C1784">
        <v>0.161</v>
      </c>
    </row>
    <row r="1785" spans="1:3" x14ac:dyDescent="0.3">
      <c r="A1785" t="s">
        <v>5893</v>
      </c>
      <c r="B1785">
        <v>1</v>
      </c>
      <c r="C1785">
        <v>0.161</v>
      </c>
    </row>
    <row r="1786" spans="1:3" x14ac:dyDescent="0.3">
      <c r="A1786" t="s">
        <v>5894</v>
      </c>
      <c r="B1786">
        <v>1</v>
      </c>
      <c r="C1786">
        <v>0.161</v>
      </c>
    </row>
    <row r="1787" spans="1:3" x14ac:dyDescent="0.3">
      <c r="A1787" t="s">
        <v>5895</v>
      </c>
      <c r="B1787">
        <v>1</v>
      </c>
      <c r="C1787">
        <v>0.161</v>
      </c>
    </row>
    <row r="1788" spans="1:3" x14ac:dyDescent="0.3">
      <c r="A1788" t="s">
        <v>5896</v>
      </c>
      <c r="B1788">
        <v>1</v>
      </c>
      <c r="C1788">
        <v>0.161</v>
      </c>
    </row>
    <row r="1789" spans="1:3" x14ac:dyDescent="0.3">
      <c r="A1789" t="s">
        <v>5897</v>
      </c>
      <c r="B1789">
        <v>1</v>
      </c>
      <c r="C1789">
        <v>0.161</v>
      </c>
    </row>
    <row r="1790" spans="1:3" x14ac:dyDescent="0.3">
      <c r="A1790" t="s">
        <v>5898</v>
      </c>
      <c r="B1790">
        <v>1</v>
      </c>
      <c r="C1790">
        <v>0.161</v>
      </c>
    </row>
    <row r="1791" spans="1:3" x14ac:dyDescent="0.3">
      <c r="A1791" t="s">
        <v>5899</v>
      </c>
      <c r="B1791">
        <v>1</v>
      </c>
      <c r="C1791">
        <v>0.161</v>
      </c>
    </row>
    <row r="1792" spans="1:3" x14ac:dyDescent="0.3">
      <c r="A1792" t="s">
        <v>5900</v>
      </c>
      <c r="B1792">
        <v>1</v>
      </c>
      <c r="C1792">
        <v>0.161</v>
      </c>
    </row>
    <row r="1793" spans="1:3" x14ac:dyDescent="0.3">
      <c r="A1793" t="s">
        <v>5901</v>
      </c>
      <c r="B1793">
        <v>1</v>
      </c>
      <c r="C1793">
        <v>0.161</v>
      </c>
    </row>
    <row r="1794" spans="1:3" x14ac:dyDescent="0.3">
      <c r="A1794" t="s">
        <v>5902</v>
      </c>
      <c r="B1794">
        <v>1</v>
      </c>
      <c r="C1794">
        <v>0.161</v>
      </c>
    </row>
    <row r="1795" spans="1:3" x14ac:dyDescent="0.3">
      <c r="A1795" t="s">
        <v>5903</v>
      </c>
      <c r="B1795">
        <v>1</v>
      </c>
      <c r="C1795">
        <v>0.161</v>
      </c>
    </row>
    <row r="1796" spans="1:3" x14ac:dyDescent="0.3">
      <c r="A1796" t="s">
        <v>5904</v>
      </c>
      <c r="B1796">
        <v>1</v>
      </c>
      <c r="C1796">
        <v>0.161</v>
      </c>
    </row>
    <row r="1797" spans="1:3" x14ac:dyDescent="0.3">
      <c r="A1797" t="s">
        <v>5905</v>
      </c>
      <c r="B1797">
        <v>1</v>
      </c>
      <c r="C1797">
        <v>0.161</v>
      </c>
    </row>
    <row r="1798" spans="1:3" x14ac:dyDescent="0.3">
      <c r="A1798" t="s">
        <v>5906</v>
      </c>
      <c r="B1798">
        <v>1</v>
      </c>
      <c r="C1798">
        <v>0.161</v>
      </c>
    </row>
    <row r="1799" spans="1:3" x14ac:dyDescent="0.3">
      <c r="A1799" t="s">
        <v>5907</v>
      </c>
      <c r="B1799">
        <v>1</v>
      </c>
      <c r="C1799">
        <v>0.161</v>
      </c>
    </row>
    <row r="1800" spans="1:3" x14ac:dyDescent="0.3">
      <c r="A1800" t="s">
        <v>5908</v>
      </c>
      <c r="B1800">
        <v>1</v>
      </c>
      <c r="C1800">
        <v>0.161</v>
      </c>
    </row>
    <row r="1801" spans="1:3" x14ac:dyDescent="0.3">
      <c r="A1801" t="s">
        <v>5909</v>
      </c>
      <c r="B1801">
        <v>1</v>
      </c>
      <c r="C1801">
        <v>0.161</v>
      </c>
    </row>
    <row r="1802" spans="1:3" x14ac:dyDescent="0.3">
      <c r="A1802" t="s">
        <v>5910</v>
      </c>
      <c r="B1802">
        <v>1</v>
      </c>
      <c r="C1802">
        <v>0.161</v>
      </c>
    </row>
    <row r="1803" spans="1:3" x14ac:dyDescent="0.3">
      <c r="A1803" t="s">
        <v>5911</v>
      </c>
      <c r="B1803">
        <v>1</v>
      </c>
      <c r="C1803">
        <v>0.161</v>
      </c>
    </row>
    <row r="1804" spans="1:3" x14ac:dyDescent="0.3">
      <c r="A1804" t="s">
        <v>5912</v>
      </c>
      <c r="B1804">
        <v>1</v>
      </c>
      <c r="C1804">
        <v>0.161</v>
      </c>
    </row>
    <row r="1805" spans="1:3" x14ac:dyDescent="0.3">
      <c r="A1805" t="s">
        <v>5913</v>
      </c>
      <c r="B1805">
        <v>1</v>
      </c>
      <c r="C1805">
        <v>0.161</v>
      </c>
    </row>
    <row r="1806" spans="1:3" x14ac:dyDescent="0.3">
      <c r="A1806" t="s">
        <v>5914</v>
      </c>
      <c r="B1806">
        <v>1</v>
      </c>
      <c r="C1806">
        <v>0.161</v>
      </c>
    </row>
    <row r="1807" spans="1:3" x14ac:dyDescent="0.3">
      <c r="A1807" t="s">
        <v>5915</v>
      </c>
      <c r="B1807">
        <v>1</v>
      </c>
      <c r="C1807">
        <v>0.161</v>
      </c>
    </row>
    <row r="1808" spans="1:3" x14ac:dyDescent="0.3">
      <c r="A1808" t="s">
        <v>5916</v>
      </c>
      <c r="B1808">
        <v>1</v>
      </c>
      <c r="C1808">
        <v>0.161</v>
      </c>
    </row>
    <row r="1809" spans="1:3" x14ac:dyDescent="0.3">
      <c r="A1809" t="s">
        <v>5917</v>
      </c>
      <c r="B1809">
        <v>1</v>
      </c>
      <c r="C1809">
        <v>0.161</v>
      </c>
    </row>
    <row r="1810" spans="1:3" x14ac:dyDescent="0.3">
      <c r="A1810" t="s">
        <v>5918</v>
      </c>
      <c r="B1810">
        <v>1</v>
      </c>
      <c r="C1810">
        <v>0.161</v>
      </c>
    </row>
    <row r="1811" spans="1:3" x14ac:dyDescent="0.3">
      <c r="A1811" t="s">
        <v>5919</v>
      </c>
      <c r="B1811">
        <v>1</v>
      </c>
      <c r="C1811">
        <v>0.161</v>
      </c>
    </row>
    <row r="1812" spans="1:3" x14ac:dyDescent="0.3">
      <c r="A1812" t="s">
        <v>5920</v>
      </c>
      <c r="B1812">
        <v>1</v>
      </c>
      <c r="C1812">
        <v>0.161</v>
      </c>
    </row>
    <row r="1813" spans="1:3" x14ac:dyDescent="0.3">
      <c r="A1813" t="s">
        <v>5921</v>
      </c>
      <c r="B1813">
        <v>1</v>
      </c>
      <c r="C1813">
        <v>0.161</v>
      </c>
    </row>
    <row r="1814" spans="1:3" x14ac:dyDescent="0.3">
      <c r="A1814" t="s">
        <v>5922</v>
      </c>
      <c r="B1814">
        <v>1</v>
      </c>
      <c r="C1814">
        <v>0.161</v>
      </c>
    </row>
    <row r="1815" spans="1:3" x14ac:dyDescent="0.3">
      <c r="A1815" t="s">
        <v>5923</v>
      </c>
      <c r="B1815">
        <v>1</v>
      </c>
      <c r="C1815">
        <v>0.161</v>
      </c>
    </row>
    <row r="1816" spans="1:3" x14ac:dyDescent="0.3">
      <c r="A1816" t="s">
        <v>5924</v>
      </c>
      <c r="B1816">
        <v>1</v>
      </c>
      <c r="C1816">
        <v>0.161</v>
      </c>
    </row>
    <row r="1817" spans="1:3" x14ac:dyDescent="0.3">
      <c r="A1817" t="s">
        <v>5925</v>
      </c>
      <c r="B1817">
        <v>1</v>
      </c>
      <c r="C1817">
        <v>0.161</v>
      </c>
    </row>
    <row r="1818" spans="1:3" x14ac:dyDescent="0.3">
      <c r="A1818" t="s">
        <v>5926</v>
      </c>
      <c r="B1818">
        <v>1</v>
      </c>
      <c r="C1818">
        <v>0.161</v>
      </c>
    </row>
    <row r="1819" spans="1:3" x14ac:dyDescent="0.3">
      <c r="A1819" t="s">
        <v>5927</v>
      </c>
      <c r="B1819">
        <v>1</v>
      </c>
      <c r="C1819">
        <v>0.161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96A79C-4098-4816-93F3-10EE89673A3A}">
  <dimension ref="A1:F27"/>
  <sheetViews>
    <sheetView topLeftCell="A16" workbookViewId="0">
      <selection activeCell="F2" sqref="F2"/>
    </sheetView>
  </sheetViews>
  <sheetFormatPr defaultRowHeight="14.4" x14ac:dyDescent="0.3"/>
  <sheetData>
    <row r="1" spans="1:6" x14ac:dyDescent="0.3">
      <c r="A1" t="s">
        <v>5928</v>
      </c>
      <c r="B1" t="s">
        <v>5929</v>
      </c>
      <c r="C1" t="s">
        <v>5930</v>
      </c>
    </row>
    <row r="2" spans="1:6" x14ac:dyDescent="0.3">
      <c r="A2">
        <v>2024</v>
      </c>
      <c r="B2">
        <v>82</v>
      </c>
      <c r="C2">
        <v>13.12</v>
      </c>
      <c r="F2">
        <f>SUM(B2:B27)</f>
        <v>625</v>
      </c>
    </row>
    <row r="3" spans="1:6" x14ac:dyDescent="0.3">
      <c r="A3">
        <v>2023</v>
      </c>
      <c r="B3">
        <v>66</v>
      </c>
      <c r="C3">
        <v>10.56</v>
      </c>
    </row>
    <row r="4" spans="1:6" x14ac:dyDescent="0.3">
      <c r="A4">
        <v>2022</v>
      </c>
      <c r="B4">
        <v>81</v>
      </c>
      <c r="C4">
        <v>12.96</v>
      </c>
    </row>
    <row r="5" spans="1:6" x14ac:dyDescent="0.3">
      <c r="A5">
        <v>2021</v>
      </c>
      <c r="B5">
        <v>72</v>
      </c>
      <c r="C5">
        <v>11.52</v>
      </c>
    </row>
    <row r="6" spans="1:6" x14ac:dyDescent="0.3">
      <c r="A6">
        <v>2020</v>
      </c>
      <c r="B6">
        <v>44</v>
      </c>
      <c r="C6">
        <v>7.04</v>
      </c>
    </row>
    <row r="7" spans="1:6" x14ac:dyDescent="0.3">
      <c r="A7">
        <v>2019</v>
      </c>
      <c r="B7">
        <v>62</v>
      </c>
      <c r="C7">
        <v>9.92</v>
      </c>
    </row>
    <row r="8" spans="1:6" x14ac:dyDescent="0.3">
      <c r="A8">
        <v>2018</v>
      </c>
      <c r="B8">
        <v>38</v>
      </c>
      <c r="C8">
        <v>6.08</v>
      </c>
    </row>
    <row r="9" spans="1:6" x14ac:dyDescent="0.3">
      <c r="A9">
        <v>2017</v>
      </c>
      <c r="B9">
        <v>43</v>
      </c>
      <c r="C9">
        <v>6.88</v>
      </c>
    </row>
    <row r="10" spans="1:6" x14ac:dyDescent="0.3">
      <c r="A10">
        <v>2016</v>
      </c>
      <c r="B10">
        <v>28</v>
      </c>
      <c r="C10">
        <v>4.4800000000000004</v>
      </c>
    </row>
    <row r="11" spans="1:6" x14ac:dyDescent="0.3">
      <c r="A11">
        <v>2015</v>
      </c>
      <c r="B11">
        <v>19</v>
      </c>
      <c r="C11">
        <v>3.04</v>
      </c>
    </row>
    <row r="12" spans="1:6" x14ac:dyDescent="0.3">
      <c r="A12">
        <v>2014</v>
      </c>
      <c r="B12">
        <v>18</v>
      </c>
      <c r="C12">
        <v>2.88</v>
      </c>
    </row>
    <row r="13" spans="1:6" x14ac:dyDescent="0.3">
      <c r="A13">
        <v>2013</v>
      </c>
      <c r="B13">
        <v>10</v>
      </c>
      <c r="C13">
        <v>1.6</v>
      </c>
    </row>
    <row r="14" spans="1:6" x14ac:dyDescent="0.3">
      <c r="A14">
        <v>2012</v>
      </c>
      <c r="B14">
        <v>16</v>
      </c>
      <c r="C14">
        <v>2.56</v>
      </c>
    </row>
    <row r="15" spans="1:6" x14ac:dyDescent="0.3">
      <c r="A15">
        <v>2011</v>
      </c>
      <c r="B15">
        <v>9</v>
      </c>
      <c r="C15">
        <v>1.44</v>
      </c>
    </row>
    <row r="16" spans="1:6" x14ac:dyDescent="0.3">
      <c r="A16">
        <v>2010</v>
      </c>
      <c r="B16">
        <v>8</v>
      </c>
      <c r="C16">
        <v>1.28</v>
      </c>
    </row>
    <row r="17" spans="1:3" x14ac:dyDescent="0.3">
      <c r="A17">
        <v>2009</v>
      </c>
      <c r="B17">
        <v>3</v>
      </c>
      <c r="C17">
        <v>0.48</v>
      </c>
    </row>
    <row r="18" spans="1:3" x14ac:dyDescent="0.3">
      <c r="A18">
        <v>2008</v>
      </c>
      <c r="B18">
        <v>6</v>
      </c>
      <c r="C18">
        <v>0.96</v>
      </c>
    </row>
    <row r="19" spans="1:3" x14ac:dyDescent="0.3">
      <c r="A19">
        <v>2007</v>
      </c>
      <c r="B19">
        <v>4</v>
      </c>
      <c r="C19">
        <v>0.64</v>
      </c>
    </row>
    <row r="20" spans="1:3" x14ac:dyDescent="0.3">
      <c r="A20">
        <v>2006</v>
      </c>
      <c r="B20">
        <v>5</v>
      </c>
      <c r="C20">
        <v>0.8</v>
      </c>
    </row>
    <row r="21" spans="1:3" x14ac:dyDescent="0.3">
      <c r="A21">
        <v>2005</v>
      </c>
      <c r="B21">
        <v>1</v>
      </c>
      <c r="C21">
        <v>0.16</v>
      </c>
    </row>
    <row r="22" spans="1:3" x14ac:dyDescent="0.3">
      <c r="A22">
        <v>2004</v>
      </c>
      <c r="B22">
        <v>1</v>
      </c>
      <c r="C22">
        <v>0.16</v>
      </c>
    </row>
    <row r="23" spans="1:3" x14ac:dyDescent="0.3">
      <c r="A23">
        <v>2001</v>
      </c>
      <c r="B23">
        <v>1</v>
      </c>
      <c r="C23">
        <v>0.16</v>
      </c>
    </row>
    <row r="24" spans="1:3" x14ac:dyDescent="0.3">
      <c r="A24">
        <v>1999</v>
      </c>
      <c r="B24">
        <v>5</v>
      </c>
      <c r="C24">
        <v>0.8</v>
      </c>
    </row>
    <row r="25" spans="1:3" x14ac:dyDescent="0.3">
      <c r="A25">
        <v>1998</v>
      </c>
      <c r="B25">
        <v>1</v>
      </c>
      <c r="C25">
        <v>0.16</v>
      </c>
    </row>
    <row r="26" spans="1:3" x14ac:dyDescent="0.3">
      <c r="A26">
        <v>1996</v>
      </c>
      <c r="B26">
        <v>1</v>
      </c>
      <c r="C26">
        <v>0.16</v>
      </c>
    </row>
    <row r="27" spans="1:3" x14ac:dyDescent="0.3">
      <c r="A27">
        <v>1994</v>
      </c>
      <c r="B27">
        <v>1</v>
      </c>
      <c r="C27">
        <v>0.16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F4EEFD-B197-4EB9-AD9C-6A2593A820F1}">
  <dimension ref="A1:G69"/>
  <sheetViews>
    <sheetView workbookViewId="0">
      <selection activeCell="F6" sqref="F6"/>
    </sheetView>
  </sheetViews>
  <sheetFormatPr defaultRowHeight="14.4" x14ac:dyDescent="0.3"/>
  <cols>
    <col min="1" max="1" width="31.21875" customWidth="1"/>
  </cols>
  <sheetData>
    <row r="1" spans="1:7" x14ac:dyDescent="0.3">
      <c r="A1" t="s">
        <v>5931</v>
      </c>
      <c r="B1" t="s">
        <v>5929</v>
      </c>
      <c r="C1" t="s">
        <v>5930</v>
      </c>
    </row>
    <row r="2" spans="1:7" x14ac:dyDescent="0.3">
      <c r="A2" t="s">
        <v>5932</v>
      </c>
      <c r="B2" s="21">
        <v>214</v>
      </c>
      <c r="C2">
        <v>34.24</v>
      </c>
    </row>
    <row r="3" spans="1:7" x14ac:dyDescent="0.3">
      <c r="A3" t="s">
        <v>5933</v>
      </c>
      <c r="B3" s="21">
        <v>175</v>
      </c>
      <c r="C3">
        <v>28</v>
      </c>
    </row>
    <row r="4" spans="1:7" x14ac:dyDescent="0.3">
      <c r="A4" t="s">
        <v>5934</v>
      </c>
      <c r="B4" s="21">
        <v>79</v>
      </c>
      <c r="C4">
        <v>12.64</v>
      </c>
      <c r="G4">
        <f>SUM(B2:B4,F5)</f>
        <v>829</v>
      </c>
    </row>
    <row r="5" spans="1:7" x14ac:dyDescent="0.3">
      <c r="A5" t="s">
        <v>5935</v>
      </c>
      <c r="B5" s="21">
        <v>55</v>
      </c>
      <c r="C5">
        <v>8.8000000000000007</v>
      </c>
      <c r="F5" s="21">
        <f>SUM(B5:B68)</f>
        <v>361</v>
      </c>
    </row>
    <row r="6" spans="1:7" x14ac:dyDescent="0.3">
      <c r="A6" t="s">
        <v>5936</v>
      </c>
      <c r="B6" s="21">
        <v>37</v>
      </c>
      <c r="C6">
        <v>5.92</v>
      </c>
    </row>
    <row r="7" spans="1:7" x14ac:dyDescent="0.3">
      <c r="A7" t="s">
        <v>5937</v>
      </c>
      <c r="B7" s="21">
        <v>29</v>
      </c>
      <c r="C7">
        <v>4.6399999999999997</v>
      </c>
    </row>
    <row r="8" spans="1:7" x14ac:dyDescent="0.3">
      <c r="A8" t="s">
        <v>5938</v>
      </c>
      <c r="B8" s="21">
        <v>25</v>
      </c>
      <c r="C8">
        <v>4</v>
      </c>
    </row>
    <row r="9" spans="1:7" x14ac:dyDescent="0.3">
      <c r="A9" t="s">
        <v>5939</v>
      </c>
      <c r="B9" s="21">
        <v>20</v>
      </c>
      <c r="C9">
        <v>3.2</v>
      </c>
    </row>
    <row r="10" spans="1:7" x14ac:dyDescent="0.3">
      <c r="A10" t="s">
        <v>5940</v>
      </c>
      <c r="B10" s="21">
        <v>18</v>
      </c>
      <c r="C10">
        <v>2.88</v>
      </c>
    </row>
    <row r="11" spans="1:7" x14ac:dyDescent="0.3">
      <c r="A11" t="s">
        <v>5941</v>
      </c>
      <c r="B11" s="21">
        <v>10</v>
      </c>
      <c r="C11">
        <v>1.6</v>
      </c>
    </row>
    <row r="12" spans="1:7" x14ac:dyDescent="0.3">
      <c r="A12" t="s">
        <v>5942</v>
      </c>
      <c r="B12" s="21">
        <v>10</v>
      </c>
      <c r="C12">
        <v>1.6</v>
      </c>
    </row>
    <row r="13" spans="1:7" x14ac:dyDescent="0.3">
      <c r="A13" t="s">
        <v>5943</v>
      </c>
      <c r="B13" s="21">
        <v>9</v>
      </c>
      <c r="C13">
        <v>1.44</v>
      </c>
    </row>
    <row r="14" spans="1:7" x14ac:dyDescent="0.3">
      <c r="A14" t="s">
        <v>5944</v>
      </c>
      <c r="B14" s="21">
        <v>9</v>
      </c>
      <c r="C14">
        <v>1.44</v>
      </c>
    </row>
    <row r="15" spans="1:7" x14ac:dyDescent="0.3">
      <c r="A15" t="s">
        <v>5945</v>
      </c>
      <c r="B15" s="21">
        <v>8</v>
      </c>
      <c r="C15">
        <v>1.28</v>
      </c>
    </row>
    <row r="16" spans="1:7" x14ac:dyDescent="0.3">
      <c r="A16" t="s">
        <v>5946</v>
      </c>
      <c r="B16" s="21">
        <v>7</v>
      </c>
      <c r="C16">
        <v>1.1200000000000001</v>
      </c>
    </row>
    <row r="17" spans="1:3" x14ac:dyDescent="0.3">
      <c r="A17" t="s">
        <v>5947</v>
      </c>
      <c r="B17" s="21">
        <v>7</v>
      </c>
      <c r="C17">
        <v>1.1200000000000001</v>
      </c>
    </row>
    <row r="18" spans="1:3" x14ac:dyDescent="0.3">
      <c r="A18" t="s">
        <v>5948</v>
      </c>
      <c r="B18" s="21">
        <v>7</v>
      </c>
      <c r="C18">
        <v>1.1200000000000001</v>
      </c>
    </row>
    <row r="19" spans="1:3" x14ac:dyDescent="0.3">
      <c r="A19" t="s">
        <v>5949</v>
      </c>
      <c r="B19" s="21">
        <v>7</v>
      </c>
      <c r="C19">
        <v>1.1200000000000001</v>
      </c>
    </row>
    <row r="20" spans="1:3" x14ac:dyDescent="0.3">
      <c r="A20" t="s">
        <v>5950</v>
      </c>
      <c r="B20" s="21">
        <v>6</v>
      </c>
      <c r="C20">
        <v>0.96</v>
      </c>
    </row>
    <row r="21" spans="1:3" x14ac:dyDescent="0.3">
      <c r="A21" t="s">
        <v>5951</v>
      </c>
      <c r="B21" s="21">
        <v>6</v>
      </c>
      <c r="C21">
        <v>0.96</v>
      </c>
    </row>
    <row r="22" spans="1:3" x14ac:dyDescent="0.3">
      <c r="A22" t="s">
        <v>5952</v>
      </c>
      <c r="B22" s="21">
        <v>6</v>
      </c>
      <c r="C22">
        <v>0.96</v>
      </c>
    </row>
    <row r="23" spans="1:3" x14ac:dyDescent="0.3">
      <c r="A23" t="s">
        <v>5953</v>
      </c>
      <c r="B23" s="21">
        <v>5</v>
      </c>
      <c r="C23">
        <v>0.8</v>
      </c>
    </row>
    <row r="24" spans="1:3" x14ac:dyDescent="0.3">
      <c r="A24" t="s">
        <v>5954</v>
      </c>
      <c r="B24" s="21">
        <v>5</v>
      </c>
      <c r="C24">
        <v>0.8</v>
      </c>
    </row>
    <row r="25" spans="1:3" x14ac:dyDescent="0.3">
      <c r="A25" t="s">
        <v>5955</v>
      </c>
      <c r="B25" s="21">
        <v>5</v>
      </c>
      <c r="C25">
        <v>0.8</v>
      </c>
    </row>
    <row r="26" spans="1:3" x14ac:dyDescent="0.3">
      <c r="A26" t="s">
        <v>5956</v>
      </c>
      <c r="B26" s="21">
        <v>4</v>
      </c>
      <c r="C26">
        <v>0.64</v>
      </c>
    </row>
    <row r="27" spans="1:3" x14ac:dyDescent="0.3">
      <c r="A27" t="s">
        <v>5957</v>
      </c>
      <c r="B27" s="21">
        <v>4</v>
      </c>
      <c r="C27">
        <v>0.64</v>
      </c>
    </row>
    <row r="28" spans="1:3" x14ac:dyDescent="0.3">
      <c r="A28" t="s">
        <v>5958</v>
      </c>
      <c r="B28" s="21">
        <v>4</v>
      </c>
      <c r="C28">
        <v>0.64</v>
      </c>
    </row>
    <row r="29" spans="1:3" x14ac:dyDescent="0.3">
      <c r="A29" t="s">
        <v>5959</v>
      </c>
      <c r="B29" s="21">
        <v>4</v>
      </c>
      <c r="C29">
        <v>0.64</v>
      </c>
    </row>
    <row r="30" spans="1:3" x14ac:dyDescent="0.3">
      <c r="A30" t="s">
        <v>5960</v>
      </c>
      <c r="B30" s="21">
        <v>3</v>
      </c>
      <c r="C30">
        <v>0.48</v>
      </c>
    </row>
    <row r="31" spans="1:3" x14ac:dyDescent="0.3">
      <c r="A31" t="s">
        <v>5961</v>
      </c>
      <c r="B31" s="21">
        <v>3</v>
      </c>
      <c r="C31">
        <v>0.48</v>
      </c>
    </row>
    <row r="32" spans="1:3" x14ac:dyDescent="0.3">
      <c r="A32" t="s">
        <v>5962</v>
      </c>
      <c r="B32" s="21">
        <v>2</v>
      </c>
      <c r="C32">
        <v>0.32</v>
      </c>
    </row>
    <row r="33" spans="1:3" x14ac:dyDescent="0.3">
      <c r="A33" t="s">
        <v>5963</v>
      </c>
      <c r="B33" s="21">
        <v>2</v>
      </c>
      <c r="C33">
        <v>0.32</v>
      </c>
    </row>
    <row r="34" spans="1:3" x14ac:dyDescent="0.3">
      <c r="A34" t="s">
        <v>5964</v>
      </c>
      <c r="B34" s="21">
        <v>2</v>
      </c>
      <c r="C34">
        <v>0.32</v>
      </c>
    </row>
    <row r="35" spans="1:3" x14ac:dyDescent="0.3">
      <c r="A35" t="s">
        <v>5965</v>
      </c>
      <c r="B35" s="21">
        <v>2</v>
      </c>
      <c r="C35">
        <v>0.32</v>
      </c>
    </row>
    <row r="36" spans="1:3" x14ac:dyDescent="0.3">
      <c r="A36" t="s">
        <v>5966</v>
      </c>
      <c r="B36" s="21">
        <v>2</v>
      </c>
      <c r="C36">
        <v>0.32</v>
      </c>
    </row>
    <row r="37" spans="1:3" x14ac:dyDescent="0.3">
      <c r="A37" t="s">
        <v>5967</v>
      </c>
      <c r="B37" s="21">
        <v>2</v>
      </c>
      <c r="C37">
        <v>0.32</v>
      </c>
    </row>
    <row r="38" spans="1:3" x14ac:dyDescent="0.3">
      <c r="A38" t="s">
        <v>5968</v>
      </c>
      <c r="B38" s="21">
        <v>2</v>
      </c>
      <c r="C38">
        <v>0.32</v>
      </c>
    </row>
    <row r="39" spans="1:3" x14ac:dyDescent="0.3">
      <c r="A39" t="s">
        <v>5969</v>
      </c>
      <c r="B39" s="21">
        <v>2</v>
      </c>
      <c r="C39">
        <v>0.32</v>
      </c>
    </row>
    <row r="40" spans="1:3" x14ac:dyDescent="0.3">
      <c r="A40" t="s">
        <v>5970</v>
      </c>
      <c r="B40" s="21">
        <v>2</v>
      </c>
      <c r="C40">
        <v>0.32</v>
      </c>
    </row>
    <row r="41" spans="1:3" x14ac:dyDescent="0.3">
      <c r="A41" t="s">
        <v>5971</v>
      </c>
      <c r="B41" s="21">
        <v>2</v>
      </c>
      <c r="C41">
        <v>0.32</v>
      </c>
    </row>
    <row r="42" spans="1:3" x14ac:dyDescent="0.3">
      <c r="A42" t="s">
        <v>5972</v>
      </c>
      <c r="B42" s="21">
        <v>2</v>
      </c>
      <c r="C42">
        <v>0.32</v>
      </c>
    </row>
    <row r="43" spans="1:3" x14ac:dyDescent="0.3">
      <c r="A43" t="s">
        <v>5973</v>
      </c>
      <c r="B43" s="21">
        <v>1</v>
      </c>
      <c r="C43">
        <v>0.16</v>
      </c>
    </row>
    <row r="44" spans="1:3" x14ac:dyDescent="0.3">
      <c r="A44" t="s">
        <v>5974</v>
      </c>
      <c r="B44" s="21">
        <v>1</v>
      </c>
      <c r="C44">
        <v>0.16</v>
      </c>
    </row>
    <row r="45" spans="1:3" x14ac:dyDescent="0.3">
      <c r="A45" t="s">
        <v>5975</v>
      </c>
      <c r="B45" s="21">
        <v>1</v>
      </c>
      <c r="C45">
        <v>0.16</v>
      </c>
    </row>
    <row r="46" spans="1:3" x14ac:dyDescent="0.3">
      <c r="A46" t="s">
        <v>5976</v>
      </c>
      <c r="B46" s="21">
        <v>1</v>
      </c>
      <c r="C46">
        <v>0.16</v>
      </c>
    </row>
    <row r="47" spans="1:3" x14ac:dyDescent="0.3">
      <c r="A47" t="s">
        <v>5977</v>
      </c>
      <c r="B47" s="21">
        <v>1</v>
      </c>
      <c r="C47">
        <v>0.16</v>
      </c>
    </row>
    <row r="48" spans="1:3" x14ac:dyDescent="0.3">
      <c r="A48" t="s">
        <v>5978</v>
      </c>
      <c r="B48" s="21">
        <v>1</v>
      </c>
      <c r="C48">
        <v>0.16</v>
      </c>
    </row>
    <row r="49" spans="1:3" x14ac:dyDescent="0.3">
      <c r="A49" t="s">
        <v>5979</v>
      </c>
      <c r="B49" s="21">
        <v>1</v>
      </c>
      <c r="C49">
        <v>0.16</v>
      </c>
    </row>
    <row r="50" spans="1:3" x14ac:dyDescent="0.3">
      <c r="A50" t="s">
        <v>5980</v>
      </c>
      <c r="B50" s="21">
        <v>1</v>
      </c>
      <c r="C50">
        <v>0.16</v>
      </c>
    </row>
    <row r="51" spans="1:3" x14ac:dyDescent="0.3">
      <c r="A51" t="s">
        <v>5981</v>
      </c>
      <c r="B51" s="21">
        <v>1</v>
      </c>
      <c r="C51">
        <v>0.16</v>
      </c>
    </row>
    <row r="52" spans="1:3" x14ac:dyDescent="0.3">
      <c r="A52" t="s">
        <v>5982</v>
      </c>
      <c r="B52" s="21">
        <v>1</v>
      </c>
      <c r="C52">
        <v>0.16</v>
      </c>
    </row>
    <row r="53" spans="1:3" x14ac:dyDescent="0.3">
      <c r="A53" t="s">
        <v>5983</v>
      </c>
      <c r="B53" s="21">
        <v>1</v>
      </c>
      <c r="C53">
        <v>0.16</v>
      </c>
    </row>
    <row r="54" spans="1:3" x14ac:dyDescent="0.3">
      <c r="A54" t="s">
        <v>5984</v>
      </c>
      <c r="B54" s="21">
        <v>1</v>
      </c>
      <c r="C54">
        <v>0.16</v>
      </c>
    </row>
    <row r="55" spans="1:3" x14ac:dyDescent="0.3">
      <c r="A55" t="s">
        <v>5985</v>
      </c>
      <c r="B55" s="21">
        <v>1</v>
      </c>
      <c r="C55">
        <v>0.16</v>
      </c>
    </row>
    <row r="56" spans="1:3" x14ac:dyDescent="0.3">
      <c r="A56" t="s">
        <v>5986</v>
      </c>
      <c r="B56" s="21">
        <v>1</v>
      </c>
      <c r="C56">
        <v>0.16</v>
      </c>
    </row>
    <row r="57" spans="1:3" x14ac:dyDescent="0.3">
      <c r="A57" t="s">
        <v>5987</v>
      </c>
      <c r="B57" s="21">
        <v>1</v>
      </c>
      <c r="C57">
        <v>0.16</v>
      </c>
    </row>
    <row r="58" spans="1:3" x14ac:dyDescent="0.3">
      <c r="A58" t="s">
        <v>5988</v>
      </c>
      <c r="B58" s="21">
        <v>1</v>
      </c>
      <c r="C58">
        <v>0.16</v>
      </c>
    </row>
    <row r="59" spans="1:3" x14ac:dyDescent="0.3">
      <c r="A59" t="s">
        <v>5989</v>
      </c>
      <c r="B59" s="21">
        <v>1</v>
      </c>
      <c r="C59">
        <v>0.16</v>
      </c>
    </row>
    <row r="60" spans="1:3" x14ac:dyDescent="0.3">
      <c r="A60" t="s">
        <v>5990</v>
      </c>
      <c r="B60" s="21">
        <v>1</v>
      </c>
      <c r="C60">
        <v>0.16</v>
      </c>
    </row>
    <row r="61" spans="1:3" x14ac:dyDescent="0.3">
      <c r="A61" t="s">
        <v>5991</v>
      </c>
      <c r="B61" s="21">
        <v>1</v>
      </c>
      <c r="C61">
        <v>0.16</v>
      </c>
    </row>
    <row r="62" spans="1:3" x14ac:dyDescent="0.3">
      <c r="A62" t="s">
        <v>5992</v>
      </c>
      <c r="B62" s="21">
        <v>1</v>
      </c>
      <c r="C62">
        <v>0.16</v>
      </c>
    </row>
    <row r="63" spans="1:3" x14ac:dyDescent="0.3">
      <c r="A63" t="s">
        <v>5993</v>
      </c>
      <c r="B63" s="21">
        <v>1</v>
      </c>
      <c r="C63">
        <v>0.16</v>
      </c>
    </row>
    <row r="64" spans="1:3" x14ac:dyDescent="0.3">
      <c r="A64" t="s">
        <v>5994</v>
      </c>
      <c r="B64" s="21">
        <v>1</v>
      </c>
      <c r="C64">
        <v>0.16</v>
      </c>
    </row>
    <row r="65" spans="1:3" x14ac:dyDescent="0.3">
      <c r="A65" t="s">
        <v>5995</v>
      </c>
      <c r="B65" s="21">
        <v>1</v>
      </c>
      <c r="C65">
        <v>0.16</v>
      </c>
    </row>
    <row r="66" spans="1:3" x14ac:dyDescent="0.3">
      <c r="A66" t="s">
        <v>5996</v>
      </c>
      <c r="B66" s="21">
        <v>1</v>
      </c>
      <c r="C66">
        <v>0.16</v>
      </c>
    </row>
    <row r="67" spans="1:3" x14ac:dyDescent="0.3">
      <c r="A67" t="s">
        <v>5997</v>
      </c>
      <c r="B67" s="21">
        <v>1</v>
      </c>
      <c r="C67">
        <v>0.16</v>
      </c>
    </row>
    <row r="68" spans="1:3" x14ac:dyDescent="0.3">
      <c r="A68" t="s">
        <v>5998</v>
      </c>
      <c r="B68" s="21">
        <v>1</v>
      </c>
      <c r="C68">
        <v>0.16</v>
      </c>
    </row>
    <row r="69" spans="1:3" x14ac:dyDescent="0.3">
      <c r="A69" t="s">
        <v>5999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02FA24-07F9-434A-BDE9-14D8F0248A41}">
  <dimension ref="A1:K624"/>
  <sheetViews>
    <sheetView workbookViewId="0">
      <selection activeCell="P19" sqref="P19"/>
    </sheetView>
  </sheetViews>
  <sheetFormatPr defaultRowHeight="14.4" x14ac:dyDescent="0.3"/>
  <cols>
    <col min="2" max="2" width="13.77734375" customWidth="1"/>
    <col min="9" max="9" width="13.77734375" customWidth="1"/>
  </cols>
  <sheetData>
    <row r="1" spans="1:11" x14ac:dyDescent="0.3">
      <c r="A1" t="s">
        <v>2858</v>
      </c>
      <c r="B1" t="s">
        <v>13</v>
      </c>
      <c r="C1" t="s">
        <v>25</v>
      </c>
      <c r="I1" t="s">
        <v>13</v>
      </c>
      <c r="J1" t="s">
        <v>2859</v>
      </c>
      <c r="K1" t="s">
        <v>2860</v>
      </c>
    </row>
    <row r="2" spans="1:11" x14ac:dyDescent="0.3">
      <c r="A2">
        <v>1</v>
      </c>
      <c r="B2">
        <v>2012</v>
      </c>
      <c r="C2">
        <v>734</v>
      </c>
      <c r="I2">
        <v>1994</v>
      </c>
      <c r="J2">
        <f>COUNTIF($B$2:$B$624, I2)</f>
        <v>1</v>
      </c>
      <c r="K2">
        <f>SUMIF($B$2:$B$624, I2, $C$2:$C$624)</f>
        <v>0</v>
      </c>
    </row>
    <row r="3" spans="1:11" x14ac:dyDescent="0.3">
      <c r="A3">
        <f>+A2+1</f>
        <v>2</v>
      </c>
      <c r="B3">
        <v>1996</v>
      </c>
      <c r="C3">
        <v>660</v>
      </c>
      <c r="I3">
        <v>1996</v>
      </c>
      <c r="J3">
        <f t="shared" ref="J3:J26" si="0">COUNTIF($B$2:$B$624, I3)</f>
        <v>1</v>
      </c>
      <c r="K3">
        <f t="shared" ref="K3:K26" si="1">SUMIF($B$2:$B$624, I3, $C$2:$C$624)</f>
        <v>660</v>
      </c>
    </row>
    <row r="4" spans="1:11" x14ac:dyDescent="0.3">
      <c r="A4">
        <f t="shared" ref="A4:A67" si="2">+A3+1</f>
        <v>3</v>
      </c>
      <c r="B4">
        <v>2014</v>
      </c>
      <c r="C4">
        <v>204</v>
      </c>
      <c r="I4">
        <v>1998</v>
      </c>
      <c r="J4">
        <f t="shared" si="0"/>
        <v>1</v>
      </c>
      <c r="K4">
        <f t="shared" si="1"/>
        <v>1</v>
      </c>
    </row>
    <row r="5" spans="1:11" x14ac:dyDescent="0.3">
      <c r="A5">
        <f t="shared" si="2"/>
        <v>4</v>
      </c>
      <c r="B5">
        <v>2013</v>
      </c>
      <c r="C5">
        <v>186</v>
      </c>
      <c r="I5">
        <v>1999</v>
      </c>
      <c r="J5">
        <f t="shared" si="0"/>
        <v>5</v>
      </c>
      <c r="K5">
        <f t="shared" si="1"/>
        <v>36</v>
      </c>
    </row>
    <row r="6" spans="1:11" x14ac:dyDescent="0.3">
      <c r="A6">
        <f t="shared" si="2"/>
        <v>5</v>
      </c>
      <c r="B6">
        <v>2015</v>
      </c>
      <c r="C6">
        <v>154</v>
      </c>
      <c r="I6">
        <v>2001</v>
      </c>
      <c r="J6">
        <f t="shared" si="0"/>
        <v>1</v>
      </c>
      <c r="K6">
        <f t="shared" si="1"/>
        <v>94</v>
      </c>
    </row>
    <row r="7" spans="1:11" x14ac:dyDescent="0.3">
      <c r="A7">
        <f t="shared" si="2"/>
        <v>6</v>
      </c>
      <c r="B7">
        <v>2020</v>
      </c>
      <c r="C7">
        <v>118</v>
      </c>
      <c r="I7">
        <v>2004</v>
      </c>
      <c r="J7">
        <f t="shared" si="0"/>
        <v>1</v>
      </c>
      <c r="K7">
        <f t="shared" si="1"/>
        <v>9</v>
      </c>
    </row>
    <row r="8" spans="1:11" x14ac:dyDescent="0.3">
      <c r="A8">
        <f t="shared" si="2"/>
        <v>7</v>
      </c>
      <c r="B8">
        <v>2019</v>
      </c>
      <c r="C8">
        <v>107</v>
      </c>
      <c r="I8">
        <v>2005</v>
      </c>
      <c r="J8">
        <f t="shared" si="0"/>
        <v>1</v>
      </c>
      <c r="K8">
        <f t="shared" si="1"/>
        <v>77</v>
      </c>
    </row>
    <row r="9" spans="1:11" x14ac:dyDescent="0.3">
      <c r="A9">
        <f t="shared" si="2"/>
        <v>8</v>
      </c>
      <c r="B9">
        <v>2018</v>
      </c>
      <c r="C9">
        <v>105</v>
      </c>
      <c r="I9">
        <v>2006</v>
      </c>
      <c r="J9">
        <f t="shared" si="0"/>
        <v>5</v>
      </c>
      <c r="K9">
        <f t="shared" si="1"/>
        <v>95</v>
      </c>
    </row>
    <row r="10" spans="1:11" x14ac:dyDescent="0.3">
      <c r="A10">
        <f t="shared" si="2"/>
        <v>9</v>
      </c>
      <c r="B10">
        <v>2001</v>
      </c>
      <c r="C10">
        <v>94</v>
      </c>
      <c r="I10">
        <v>2007</v>
      </c>
      <c r="J10">
        <f t="shared" si="0"/>
        <v>4</v>
      </c>
      <c r="K10">
        <f t="shared" si="1"/>
        <v>57</v>
      </c>
    </row>
    <row r="11" spans="1:11" x14ac:dyDescent="0.3">
      <c r="A11">
        <f t="shared" si="2"/>
        <v>10</v>
      </c>
      <c r="B11">
        <v>2018</v>
      </c>
      <c r="C11">
        <v>91</v>
      </c>
      <c r="I11">
        <v>2008</v>
      </c>
      <c r="J11">
        <f t="shared" si="0"/>
        <v>6</v>
      </c>
      <c r="K11">
        <f t="shared" si="1"/>
        <v>37</v>
      </c>
    </row>
    <row r="12" spans="1:11" x14ac:dyDescent="0.3">
      <c r="A12">
        <f t="shared" si="2"/>
        <v>11</v>
      </c>
      <c r="B12">
        <v>2018</v>
      </c>
      <c r="C12">
        <v>87</v>
      </c>
      <c r="I12">
        <v>2009</v>
      </c>
      <c r="J12">
        <f t="shared" si="0"/>
        <v>3</v>
      </c>
      <c r="K12">
        <f t="shared" si="1"/>
        <v>25</v>
      </c>
    </row>
    <row r="13" spans="1:11" x14ac:dyDescent="0.3">
      <c r="A13">
        <f t="shared" si="2"/>
        <v>12</v>
      </c>
      <c r="B13">
        <v>2016</v>
      </c>
      <c r="C13">
        <v>87</v>
      </c>
      <c r="I13">
        <v>2010</v>
      </c>
      <c r="J13">
        <f t="shared" si="0"/>
        <v>8</v>
      </c>
      <c r="K13">
        <f t="shared" si="1"/>
        <v>188</v>
      </c>
    </row>
    <row r="14" spans="1:11" x14ac:dyDescent="0.3">
      <c r="A14">
        <f t="shared" si="2"/>
        <v>13</v>
      </c>
      <c r="B14">
        <v>2019</v>
      </c>
      <c r="C14">
        <v>86</v>
      </c>
      <c r="I14">
        <v>2011</v>
      </c>
      <c r="J14">
        <f t="shared" si="0"/>
        <v>9</v>
      </c>
      <c r="K14">
        <f t="shared" si="1"/>
        <v>178</v>
      </c>
    </row>
    <row r="15" spans="1:11" x14ac:dyDescent="0.3">
      <c r="A15">
        <f t="shared" si="2"/>
        <v>14</v>
      </c>
      <c r="B15">
        <v>2018</v>
      </c>
      <c r="C15">
        <v>83</v>
      </c>
      <c r="I15">
        <v>2012</v>
      </c>
      <c r="J15">
        <f t="shared" si="0"/>
        <v>16</v>
      </c>
      <c r="K15">
        <f t="shared" si="1"/>
        <v>884</v>
      </c>
    </row>
    <row r="16" spans="1:11" x14ac:dyDescent="0.3">
      <c r="A16">
        <f t="shared" si="2"/>
        <v>15</v>
      </c>
      <c r="B16">
        <v>2011</v>
      </c>
      <c r="C16">
        <v>83</v>
      </c>
      <c r="I16">
        <v>2013</v>
      </c>
      <c r="J16">
        <f t="shared" si="0"/>
        <v>10</v>
      </c>
      <c r="K16">
        <f t="shared" si="1"/>
        <v>303</v>
      </c>
    </row>
    <row r="17" spans="1:11" x14ac:dyDescent="0.3">
      <c r="A17">
        <f t="shared" si="2"/>
        <v>16</v>
      </c>
      <c r="B17">
        <v>2005</v>
      </c>
      <c r="C17">
        <v>77</v>
      </c>
      <c r="I17">
        <v>2014</v>
      </c>
      <c r="J17">
        <f t="shared" si="0"/>
        <v>18</v>
      </c>
      <c r="K17">
        <f t="shared" si="1"/>
        <v>310</v>
      </c>
    </row>
    <row r="18" spans="1:11" x14ac:dyDescent="0.3">
      <c r="A18">
        <f t="shared" si="2"/>
        <v>17</v>
      </c>
      <c r="B18">
        <v>2010</v>
      </c>
      <c r="C18">
        <v>72</v>
      </c>
      <c r="I18">
        <v>2015</v>
      </c>
      <c r="J18">
        <f t="shared" si="0"/>
        <v>19</v>
      </c>
      <c r="K18">
        <f t="shared" si="1"/>
        <v>347</v>
      </c>
    </row>
    <row r="19" spans="1:11" x14ac:dyDescent="0.3">
      <c r="A19">
        <f t="shared" si="2"/>
        <v>18</v>
      </c>
      <c r="B19">
        <v>2013</v>
      </c>
      <c r="C19">
        <v>70</v>
      </c>
      <c r="I19">
        <v>2016</v>
      </c>
      <c r="J19">
        <f t="shared" si="0"/>
        <v>28</v>
      </c>
      <c r="K19">
        <f t="shared" si="1"/>
        <v>367</v>
      </c>
    </row>
    <row r="20" spans="1:11" x14ac:dyDescent="0.3">
      <c r="A20">
        <f t="shared" si="2"/>
        <v>19</v>
      </c>
      <c r="B20">
        <v>2011</v>
      </c>
      <c r="C20">
        <v>69</v>
      </c>
      <c r="I20">
        <v>2017</v>
      </c>
      <c r="J20">
        <f t="shared" si="0"/>
        <v>43</v>
      </c>
      <c r="K20">
        <f t="shared" si="1"/>
        <v>335</v>
      </c>
    </row>
    <row r="21" spans="1:11" x14ac:dyDescent="0.3">
      <c r="A21">
        <f t="shared" si="2"/>
        <v>20</v>
      </c>
      <c r="B21">
        <v>2019</v>
      </c>
      <c r="C21">
        <v>61</v>
      </c>
      <c r="I21">
        <v>2018</v>
      </c>
      <c r="J21">
        <f t="shared" si="0"/>
        <v>38</v>
      </c>
      <c r="K21">
        <f t="shared" si="1"/>
        <v>582</v>
      </c>
    </row>
    <row r="22" spans="1:11" x14ac:dyDescent="0.3">
      <c r="A22">
        <f t="shared" si="2"/>
        <v>21</v>
      </c>
      <c r="B22">
        <v>2006</v>
      </c>
      <c r="C22">
        <v>58</v>
      </c>
      <c r="I22">
        <v>2019</v>
      </c>
      <c r="J22">
        <f t="shared" si="0"/>
        <v>60</v>
      </c>
      <c r="K22">
        <f t="shared" si="1"/>
        <v>582</v>
      </c>
    </row>
    <row r="23" spans="1:11" x14ac:dyDescent="0.3">
      <c r="A23">
        <f t="shared" si="2"/>
        <v>22</v>
      </c>
      <c r="B23">
        <v>2010</v>
      </c>
      <c r="C23">
        <v>50</v>
      </c>
      <c r="I23">
        <v>2020</v>
      </c>
      <c r="J23">
        <f t="shared" si="0"/>
        <v>42</v>
      </c>
      <c r="K23">
        <f t="shared" si="1"/>
        <v>368</v>
      </c>
    </row>
    <row r="24" spans="1:11" x14ac:dyDescent="0.3">
      <c r="A24">
        <f t="shared" si="2"/>
        <v>23</v>
      </c>
      <c r="B24">
        <v>2010</v>
      </c>
      <c r="C24">
        <v>50</v>
      </c>
      <c r="I24">
        <v>2021</v>
      </c>
      <c r="J24">
        <f t="shared" si="0"/>
        <v>62</v>
      </c>
      <c r="K24">
        <f t="shared" si="1"/>
        <v>431</v>
      </c>
    </row>
    <row r="25" spans="1:11" x14ac:dyDescent="0.3">
      <c r="A25">
        <f t="shared" si="2"/>
        <v>24</v>
      </c>
      <c r="B25">
        <v>2018</v>
      </c>
      <c r="C25">
        <v>48</v>
      </c>
      <c r="I25">
        <v>2022</v>
      </c>
      <c r="J25">
        <f t="shared" si="0"/>
        <v>84</v>
      </c>
      <c r="K25">
        <f t="shared" si="1"/>
        <v>348</v>
      </c>
    </row>
    <row r="26" spans="1:11" x14ac:dyDescent="0.3">
      <c r="A26">
        <f t="shared" si="2"/>
        <v>25</v>
      </c>
      <c r="B26">
        <v>2015</v>
      </c>
      <c r="C26">
        <v>47</v>
      </c>
      <c r="I26">
        <v>2023</v>
      </c>
      <c r="J26">
        <f t="shared" si="0"/>
        <v>67</v>
      </c>
      <c r="K26">
        <f t="shared" si="1"/>
        <v>130</v>
      </c>
    </row>
    <row r="27" spans="1:11" x14ac:dyDescent="0.3">
      <c r="A27">
        <f t="shared" si="2"/>
        <v>26</v>
      </c>
      <c r="B27">
        <v>2022</v>
      </c>
      <c r="C27">
        <v>45</v>
      </c>
      <c r="I27">
        <v>2024</v>
      </c>
      <c r="J27">
        <f>COUNTIF($B$2:$B$624, I27)</f>
        <v>90</v>
      </c>
      <c r="K27">
        <f>SUMIF($B$2:$B$624, I27, $C$2:$C$624)</f>
        <v>42</v>
      </c>
    </row>
    <row r="28" spans="1:11" x14ac:dyDescent="0.3">
      <c r="A28">
        <f t="shared" si="2"/>
        <v>27</v>
      </c>
      <c r="B28">
        <v>2012</v>
      </c>
      <c r="C28">
        <v>43</v>
      </c>
    </row>
    <row r="29" spans="1:11" x14ac:dyDescent="0.3">
      <c r="A29">
        <f t="shared" si="2"/>
        <v>28</v>
      </c>
      <c r="B29">
        <v>2019</v>
      </c>
      <c r="C29">
        <v>42</v>
      </c>
    </row>
    <row r="30" spans="1:11" x14ac:dyDescent="0.3">
      <c r="A30">
        <f t="shared" si="2"/>
        <v>29</v>
      </c>
      <c r="B30">
        <v>2016</v>
      </c>
      <c r="C30">
        <v>42</v>
      </c>
    </row>
    <row r="31" spans="1:11" x14ac:dyDescent="0.3">
      <c r="A31">
        <f t="shared" si="2"/>
        <v>30</v>
      </c>
      <c r="B31">
        <v>2015</v>
      </c>
      <c r="C31">
        <v>42</v>
      </c>
    </row>
    <row r="32" spans="1:11" x14ac:dyDescent="0.3">
      <c r="A32">
        <f t="shared" si="2"/>
        <v>31</v>
      </c>
      <c r="B32">
        <v>2021</v>
      </c>
      <c r="C32">
        <v>41</v>
      </c>
    </row>
    <row r="33" spans="1:3" x14ac:dyDescent="0.3">
      <c r="A33">
        <f t="shared" si="2"/>
        <v>32</v>
      </c>
      <c r="B33">
        <v>2019</v>
      </c>
      <c r="C33">
        <v>41</v>
      </c>
    </row>
    <row r="34" spans="1:3" x14ac:dyDescent="0.3">
      <c r="A34">
        <f t="shared" si="2"/>
        <v>33</v>
      </c>
      <c r="B34">
        <v>2017</v>
      </c>
      <c r="C34">
        <v>39</v>
      </c>
    </row>
    <row r="35" spans="1:3" x14ac:dyDescent="0.3">
      <c r="A35">
        <f t="shared" si="2"/>
        <v>34</v>
      </c>
      <c r="B35">
        <v>2017</v>
      </c>
      <c r="C35">
        <v>39</v>
      </c>
    </row>
    <row r="36" spans="1:3" x14ac:dyDescent="0.3">
      <c r="A36">
        <f t="shared" si="2"/>
        <v>35</v>
      </c>
      <c r="B36">
        <v>2020</v>
      </c>
      <c r="C36">
        <v>38</v>
      </c>
    </row>
    <row r="37" spans="1:3" x14ac:dyDescent="0.3">
      <c r="A37">
        <f t="shared" si="2"/>
        <v>36</v>
      </c>
      <c r="B37">
        <v>2014</v>
      </c>
      <c r="C37">
        <v>36</v>
      </c>
    </row>
    <row r="38" spans="1:3" x14ac:dyDescent="0.3">
      <c r="A38">
        <f t="shared" si="2"/>
        <v>37</v>
      </c>
      <c r="B38">
        <v>2015</v>
      </c>
      <c r="C38">
        <v>34</v>
      </c>
    </row>
    <row r="39" spans="1:3" x14ac:dyDescent="0.3">
      <c r="A39">
        <f t="shared" si="2"/>
        <v>38</v>
      </c>
      <c r="B39">
        <v>2013</v>
      </c>
      <c r="C39">
        <v>33</v>
      </c>
    </row>
    <row r="40" spans="1:3" x14ac:dyDescent="0.3">
      <c r="A40">
        <f t="shared" si="2"/>
        <v>39</v>
      </c>
      <c r="B40">
        <v>2021</v>
      </c>
      <c r="C40">
        <v>31</v>
      </c>
    </row>
    <row r="41" spans="1:3" x14ac:dyDescent="0.3">
      <c r="A41">
        <f t="shared" si="2"/>
        <v>40</v>
      </c>
      <c r="B41">
        <v>2019</v>
      </c>
      <c r="C41">
        <v>31</v>
      </c>
    </row>
    <row r="42" spans="1:3" x14ac:dyDescent="0.3">
      <c r="A42">
        <f t="shared" si="2"/>
        <v>41</v>
      </c>
      <c r="B42">
        <v>2020</v>
      </c>
      <c r="C42">
        <v>30</v>
      </c>
    </row>
    <row r="43" spans="1:3" x14ac:dyDescent="0.3">
      <c r="A43">
        <f t="shared" si="2"/>
        <v>42</v>
      </c>
      <c r="B43">
        <v>2012</v>
      </c>
      <c r="C43">
        <v>30</v>
      </c>
    </row>
    <row r="44" spans="1:3" x14ac:dyDescent="0.3">
      <c r="A44">
        <f t="shared" si="2"/>
        <v>43</v>
      </c>
      <c r="B44">
        <v>2021</v>
      </c>
      <c r="C44">
        <v>29</v>
      </c>
    </row>
    <row r="45" spans="1:3" x14ac:dyDescent="0.3">
      <c r="A45">
        <f t="shared" si="2"/>
        <v>44</v>
      </c>
      <c r="B45">
        <v>2016</v>
      </c>
      <c r="C45">
        <v>28</v>
      </c>
    </row>
    <row r="46" spans="1:3" x14ac:dyDescent="0.3">
      <c r="A46">
        <f t="shared" si="2"/>
        <v>45</v>
      </c>
      <c r="B46">
        <v>2019</v>
      </c>
      <c r="C46">
        <v>27</v>
      </c>
    </row>
    <row r="47" spans="1:3" x14ac:dyDescent="0.3">
      <c r="A47">
        <f t="shared" si="2"/>
        <v>46</v>
      </c>
      <c r="B47">
        <v>2007</v>
      </c>
      <c r="C47">
        <v>27</v>
      </c>
    </row>
    <row r="48" spans="1:3" x14ac:dyDescent="0.3">
      <c r="A48">
        <f t="shared" si="2"/>
        <v>47</v>
      </c>
      <c r="B48">
        <v>1999</v>
      </c>
      <c r="C48">
        <v>27</v>
      </c>
    </row>
    <row r="49" spans="1:3" x14ac:dyDescent="0.3">
      <c r="A49">
        <f t="shared" si="2"/>
        <v>48</v>
      </c>
      <c r="B49">
        <v>2017</v>
      </c>
      <c r="C49">
        <v>26</v>
      </c>
    </row>
    <row r="50" spans="1:3" x14ac:dyDescent="0.3">
      <c r="A50">
        <f t="shared" si="2"/>
        <v>49</v>
      </c>
      <c r="B50">
        <v>2016</v>
      </c>
      <c r="C50">
        <v>26</v>
      </c>
    </row>
    <row r="51" spans="1:3" x14ac:dyDescent="0.3">
      <c r="A51">
        <f t="shared" si="2"/>
        <v>50</v>
      </c>
      <c r="B51">
        <v>2014</v>
      </c>
      <c r="C51">
        <v>26</v>
      </c>
    </row>
    <row r="52" spans="1:3" x14ac:dyDescent="0.3">
      <c r="A52">
        <f t="shared" si="2"/>
        <v>51</v>
      </c>
      <c r="B52">
        <v>2021</v>
      </c>
      <c r="C52">
        <v>25</v>
      </c>
    </row>
    <row r="53" spans="1:3" x14ac:dyDescent="0.3">
      <c r="A53">
        <f t="shared" si="2"/>
        <v>52</v>
      </c>
      <c r="B53">
        <v>2007</v>
      </c>
      <c r="C53">
        <v>25</v>
      </c>
    </row>
    <row r="54" spans="1:3" x14ac:dyDescent="0.3">
      <c r="A54">
        <f t="shared" si="2"/>
        <v>53</v>
      </c>
      <c r="B54">
        <v>2021</v>
      </c>
      <c r="C54">
        <v>24</v>
      </c>
    </row>
    <row r="55" spans="1:3" x14ac:dyDescent="0.3">
      <c r="A55">
        <f t="shared" si="2"/>
        <v>54</v>
      </c>
      <c r="B55">
        <v>2017</v>
      </c>
      <c r="C55">
        <v>24</v>
      </c>
    </row>
    <row r="56" spans="1:3" x14ac:dyDescent="0.3">
      <c r="A56">
        <f t="shared" si="2"/>
        <v>55</v>
      </c>
      <c r="B56">
        <v>2016</v>
      </c>
      <c r="C56">
        <v>24</v>
      </c>
    </row>
    <row r="57" spans="1:3" x14ac:dyDescent="0.3">
      <c r="A57">
        <f t="shared" si="2"/>
        <v>56</v>
      </c>
      <c r="B57">
        <v>2017</v>
      </c>
      <c r="C57">
        <v>23</v>
      </c>
    </row>
    <row r="58" spans="1:3" x14ac:dyDescent="0.3">
      <c r="A58">
        <f t="shared" si="2"/>
        <v>57</v>
      </c>
      <c r="B58">
        <v>2017</v>
      </c>
      <c r="C58">
        <v>23</v>
      </c>
    </row>
    <row r="59" spans="1:3" x14ac:dyDescent="0.3">
      <c r="A59">
        <f t="shared" si="2"/>
        <v>58</v>
      </c>
      <c r="B59">
        <v>2016</v>
      </c>
      <c r="C59">
        <v>23</v>
      </c>
    </row>
    <row r="60" spans="1:3" x14ac:dyDescent="0.3">
      <c r="A60">
        <f t="shared" si="2"/>
        <v>59</v>
      </c>
      <c r="B60">
        <v>2012</v>
      </c>
      <c r="C60">
        <v>23</v>
      </c>
    </row>
    <row r="61" spans="1:3" x14ac:dyDescent="0.3">
      <c r="A61">
        <f t="shared" si="2"/>
        <v>60</v>
      </c>
      <c r="B61">
        <v>2022</v>
      </c>
      <c r="C61">
        <v>22</v>
      </c>
    </row>
    <row r="62" spans="1:3" x14ac:dyDescent="0.3">
      <c r="A62">
        <f t="shared" si="2"/>
        <v>61</v>
      </c>
      <c r="B62">
        <v>2018</v>
      </c>
      <c r="C62">
        <v>22</v>
      </c>
    </row>
    <row r="63" spans="1:3" x14ac:dyDescent="0.3">
      <c r="A63">
        <f t="shared" si="2"/>
        <v>62</v>
      </c>
      <c r="B63">
        <v>2017</v>
      </c>
      <c r="C63">
        <v>22</v>
      </c>
    </row>
    <row r="64" spans="1:3" x14ac:dyDescent="0.3">
      <c r="A64">
        <f t="shared" si="2"/>
        <v>63</v>
      </c>
      <c r="B64">
        <v>2016</v>
      </c>
      <c r="C64">
        <v>22</v>
      </c>
    </row>
    <row r="65" spans="1:3" x14ac:dyDescent="0.3">
      <c r="A65">
        <f t="shared" si="2"/>
        <v>64</v>
      </c>
      <c r="B65">
        <v>2006</v>
      </c>
      <c r="C65">
        <v>22</v>
      </c>
    </row>
    <row r="66" spans="1:3" x14ac:dyDescent="0.3">
      <c r="A66">
        <f t="shared" si="2"/>
        <v>65</v>
      </c>
      <c r="B66">
        <v>2022</v>
      </c>
      <c r="C66">
        <v>21</v>
      </c>
    </row>
    <row r="67" spans="1:3" x14ac:dyDescent="0.3">
      <c r="A67">
        <f t="shared" si="2"/>
        <v>66</v>
      </c>
      <c r="B67">
        <v>2021</v>
      </c>
      <c r="C67">
        <v>21</v>
      </c>
    </row>
    <row r="68" spans="1:3" x14ac:dyDescent="0.3">
      <c r="A68">
        <f t="shared" ref="A68:A131" si="3">+A67+1</f>
        <v>67</v>
      </c>
      <c r="B68">
        <v>2016</v>
      </c>
      <c r="C68">
        <v>21</v>
      </c>
    </row>
    <row r="69" spans="1:3" x14ac:dyDescent="0.3">
      <c r="A69">
        <f t="shared" si="3"/>
        <v>68</v>
      </c>
      <c r="B69">
        <v>2022</v>
      </c>
      <c r="C69">
        <v>20</v>
      </c>
    </row>
    <row r="70" spans="1:3" x14ac:dyDescent="0.3">
      <c r="A70">
        <f t="shared" si="3"/>
        <v>69</v>
      </c>
      <c r="B70">
        <v>2020</v>
      </c>
      <c r="C70">
        <v>20</v>
      </c>
    </row>
    <row r="71" spans="1:3" x14ac:dyDescent="0.3">
      <c r="A71">
        <f t="shared" si="3"/>
        <v>70</v>
      </c>
      <c r="B71">
        <v>2019</v>
      </c>
      <c r="C71">
        <v>20</v>
      </c>
    </row>
    <row r="72" spans="1:3" x14ac:dyDescent="0.3">
      <c r="A72">
        <f t="shared" si="3"/>
        <v>71</v>
      </c>
      <c r="B72">
        <v>2012</v>
      </c>
      <c r="C72">
        <v>20</v>
      </c>
    </row>
    <row r="73" spans="1:3" x14ac:dyDescent="0.3">
      <c r="A73">
        <f t="shared" si="3"/>
        <v>72</v>
      </c>
      <c r="B73">
        <v>2021</v>
      </c>
      <c r="C73">
        <v>19</v>
      </c>
    </row>
    <row r="74" spans="1:3" x14ac:dyDescent="0.3">
      <c r="A74">
        <f t="shared" si="3"/>
        <v>73</v>
      </c>
      <c r="B74">
        <v>2022</v>
      </c>
      <c r="C74">
        <v>19</v>
      </c>
    </row>
    <row r="75" spans="1:3" x14ac:dyDescent="0.3">
      <c r="A75">
        <f t="shared" si="3"/>
        <v>74</v>
      </c>
      <c r="B75">
        <v>2019</v>
      </c>
      <c r="C75">
        <v>19</v>
      </c>
    </row>
    <row r="76" spans="1:3" x14ac:dyDescent="0.3">
      <c r="A76">
        <f t="shared" si="3"/>
        <v>75</v>
      </c>
      <c r="B76">
        <v>2019</v>
      </c>
      <c r="C76">
        <v>19</v>
      </c>
    </row>
    <row r="77" spans="1:3" x14ac:dyDescent="0.3">
      <c r="A77">
        <f t="shared" si="3"/>
        <v>76</v>
      </c>
      <c r="B77">
        <v>2015</v>
      </c>
      <c r="C77">
        <v>19</v>
      </c>
    </row>
    <row r="78" spans="1:3" x14ac:dyDescent="0.3">
      <c r="A78">
        <f t="shared" si="3"/>
        <v>77</v>
      </c>
      <c r="B78">
        <v>2012</v>
      </c>
      <c r="C78">
        <v>19</v>
      </c>
    </row>
    <row r="79" spans="1:3" x14ac:dyDescent="0.3">
      <c r="A79">
        <f t="shared" si="3"/>
        <v>78</v>
      </c>
      <c r="B79">
        <v>2018</v>
      </c>
      <c r="C79">
        <v>18</v>
      </c>
    </row>
    <row r="80" spans="1:3" x14ac:dyDescent="0.3">
      <c r="A80">
        <f t="shared" si="3"/>
        <v>79</v>
      </c>
      <c r="B80">
        <v>2016</v>
      </c>
      <c r="C80">
        <v>18</v>
      </c>
    </row>
    <row r="81" spans="1:3" x14ac:dyDescent="0.3">
      <c r="A81">
        <f t="shared" si="3"/>
        <v>80</v>
      </c>
      <c r="B81">
        <v>2009</v>
      </c>
      <c r="C81">
        <v>18</v>
      </c>
    </row>
    <row r="82" spans="1:3" x14ac:dyDescent="0.3">
      <c r="A82">
        <f t="shared" si="3"/>
        <v>81</v>
      </c>
      <c r="B82">
        <v>2021</v>
      </c>
      <c r="C82">
        <v>17</v>
      </c>
    </row>
    <row r="83" spans="1:3" x14ac:dyDescent="0.3">
      <c r="A83">
        <f t="shared" si="3"/>
        <v>82</v>
      </c>
      <c r="B83">
        <v>2021</v>
      </c>
      <c r="C83">
        <v>17</v>
      </c>
    </row>
    <row r="84" spans="1:3" x14ac:dyDescent="0.3">
      <c r="A84">
        <f t="shared" si="3"/>
        <v>83</v>
      </c>
      <c r="B84">
        <v>2019</v>
      </c>
      <c r="C84">
        <v>17</v>
      </c>
    </row>
    <row r="85" spans="1:3" x14ac:dyDescent="0.3">
      <c r="A85">
        <f t="shared" si="3"/>
        <v>84</v>
      </c>
      <c r="B85">
        <v>2017</v>
      </c>
      <c r="C85">
        <v>17</v>
      </c>
    </row>
    <row r="86" spans="1:3" x14ac:dyDescent="0.3">
      <c r="A86">
        <f t="shared" si="3"/>
        <v>85</v>
      </c>
      <c r="B86">
        <v>2015</v>
      </c>
      <c r="C86">
        <v>17</v>
      </c>
    </row>
    <row r="87" spans="1:3" x14ac:dyDescent="0.3">
      <c r="A87">
        <f t="shared" si="3"/>
        <v>86</v>
      </c>
      <c r="B87">
        <v>2014</v>
      </c>
      <c r="C87">
        <v>17</v>
      </c>
    </row>
    <row r="88" spans="1:3" x14ac:dyDescent="0.3">
      <c r="A88">
        <f t="shared" si="3"/>
        <v>87</v>
      </c>
      <c r="B88">
        <v>2021</v>
      </c>
      <c r="C88">
        <v>16</v>
      </c>
    </row>
    <row r="89" spans="1:3" x14ac:dyDescent="0.3">
      <c r="A89">
        <f t="shared" si="3"/>
        <v>88</v>
      </c>
      <c r="B89">
        <v>2020</v>
      </c>
      <c r="C89">
        <v>16</v>
      </c>
    </row>
    <row r="90" spans="1:3" x14ac:dyDescent="0.3">
      <c r="A90">
        <f t="shared" si="3"/>
        <v>89</v>
      </c>
      <c r="B90">
        <v>2017</v>
      </c>
      <c r="C90">
        <v>16</v>
      </c>
    </row>
    <row r="91" spans="1:3" x14ac:dyDescent="0.3">
      <c r="A91">
        <f t="shared" si="3"/>
        <v>90</v>
      </c>
      <c r="B91">
        <v>2022</v>
      </c>
      <c r="C91">
        <v>15</v>
      </c>
    </row>
    <row r="92" spans="1:3" x14ac:dyDescent="0.3">
      <c r="A92">
        <f t="shared" si="3"/>
        <v>91</v>
      </c>
      <c r="B92">
        <v>2021</v>
      </c>
      <c r="C92">
        <v>15</v>
      </c>
    </row>
    <row r="93" spans="1:3" x14ac:dyDescent="0.3">
      <c r="A93">
        <f t="shared" si="3"/>
        <v>92</v>
      </c>
      <c r="B93">
        <v>2021</v>
      </c>
      <c r="C93">
        <v>15</v>
      </c>
    </row>
    <row r="94" spans="1:3" x14ac:dyDescent="0.3">
      <c r="A94">
        <f t="shared" si="3"/>
        <v>93</v>
      </c>
      <c r="B94">
        <v>2018</v>
      </c>
      <c r="C94">
        <v>15</v>
      </c>
    </row>
    <row r="95" spans="1:3" x14ac:dyDescent="0.3">
      <c r="A95">
        <f t="shared" si="3"/>
        <v>94</v>
      </c>
      <c r="B95">
        <v>2011</v>
      </c>
      <c r="C95">
        <v>15</v>
      </c>
    </row>
    <row r="96" spans="1:3" x14ac:dyDescent="0.3">
      <c r="A96">
        <f t="shared" si="3"/>
        <v>95</v>
      </c>
      <c r="B96">
        <v>2008</v>
      </c>
      <c r="C96">
        <v>15</v>
      </c>
    </row>
    <row r="97" spans="1:3" x14ac:dyDescent="0.3">
      <c r="A97">
        <f t="shared" si="3"/>
        <v>96</v>
      </c>
      <c r="B97">
        <v>2020</v>
      </c>
      <c r="C97">
        <v>14</v>
      </c>
    </row>
    <row r="98" spans="1:3" x14ac:dyDescent="0.3">
      <c r="A98">
        <f t="shared" si="3"/>
        <v>97</v>
      </c>
      <c r="B98">
        <v>2020</v>
      </c>
      <c r="C98">
        <v>14</v>
      </c>
    </row>
    <row r="99" spans="1:3" x14ac:dyDescent="0.3">
      <c r="A99">
        <f t="shared" si="3"/>
        <v>98</v>
      </c>
      <c r="B99">
        <v>2018</v>
      </c>
      <c r="C99">
        <v>14</v>
      </c>
    </row>
    <row r="100" spans="1:3" x14ac:dyDescent="0.3">
      <c r="A100">
        <f t="shared" si="3"/>
        <v>99</v>
      </c>
      <c r="B100">
        <v>2017</v>
      </c>
      <c r="C100">
        <v>14</v>
      </c>
    </row>
    <row r="101" spans="1:3" x14ac:dyDescent="0.3">
      <c r="A101">
        <f t="shared" si="3"/>
        <v>100</v>
      </c>
      <c r="B101">
        <v>2017</v>
      </c>
      <c r="C101">
        <v>14</v>
      </c>
    </row>
    <row r="102" spans="1:3" x14ac:dyDescent="0.3">
      <c r="A102">
        <f t="shared" si="3"/>
        <v>101</v>
      </c>
      <c r="B102">
        <v>2017</v>
      </c>
      <c r="C102">
        <v>14</v>
      </c>
    </row>
    <row r="103" spans="1:3" x14ac:dyDescent="0.3">
      <c r="A103">
        <f t="shared" si="3"/>
        <v>102</v>
      </c>
      <c r="B103">
        <v>2022</v>
      </c>
      <c r="C103">
        <v>13</v>
      </c>
    </row>
    <row r="104" spans="1:3" x14ac:dyDescent="0.3">
      <c r="A104">
        <f t="shared" si="3"/>
        <v>103</v>
      </c>
      <c r="B104">
        <v>2021</v>
      </c>
      <c r="C104">
        <v>13</v>
      </c>
    </row>
    <row r="105" spans="1:3" x14ac:dyDescent="0.3">
      <c r="A105">
        <f t="shared" si="3"/>
        <v>104</v>
      </c>
      <c r="B105">
        <v>2020</v>
      </c>
      <c r="C105">
        <v>13</v>
      </c>
    </row>
    <row r="106" spans="1:3" x14ac:dyDescent="0.3">
      <c r="A106">
        <f t="shared" si="3"/>
        <v>105</v>
      </c>
      <c r="B106">
        <v>2019</v>
      </c>
      <c r="C106">
        <v>13</v>
      </c>
    </row>
    <row r="107" spans="1:3" x14ac:dyDescent="0.3">
      <c r="A107">
        <f t="shared" si="3"/>
        <v>106</v>
      </c>
      <c r="B107">
        <v>2021</v>
      </c>
      <c r="C107">
        <v>13</v>
      </c>
    </row>
    <row r="108" spans="1:3" x14ac:dyDescent="0.3">
      <c r="A108">
        <f t="shared" si="3"/>
        <v>107</v>
      </c>
      <c r="B108">
        <v>2018</v>
      </c>
      <c r="C108">
        <v>13</v>
      </c>
    </row>
    <row r="109" spans="1:3" x14ac:dyDescent="0.3">
      <c r="A109">
        <f t="shared" si="3"/>
        <v>108</v>
      </c>
      <c r="B109">
        <v>2015</v>
      </c>
      <c r="C109">
        <v>13</v>
      </c>
    </row>
    <row r="110" spans="1:3" x14ac:dyDescent="0.3">
      <c r="A110">
        <f t="shared" si="3"/>
        <v>109</v>
      </c>
      <c r="B110">
        <v>2008</v>
      </c>
      <c r="C110">
        <v>13</v>
      </c>
    </row>
    <row r="111" spans="1:3" x14ac:dyDescent="0.3">
      <c r="A111">
        <f t="shared" si="3"/>
        <v>110</v>
      </c>
      <c r="B111">
        <v>2021</v>
      </c>
      <c r="C111">
        <v>12</v>
      </c>
    </row>
    <row r="112" spans="1:3" x14ac:dyDescent="0.3">
      <c r="A112">
        <f t="shared" si="3"/>
        <v>111</v>
      </c>
      <c r="B112">
        <v>2020</v>
      </c>
      <c r="C112">
        <v>12</v>
      </c>
    </row>
    <row r="113" spans="1:3" x14ac:dyDescent="0.3">
      <c r="A113">
        <f t="shared" si="3"/>
        <v>112</v>
      </c>
      <c r="B113">
        <v>2020</v>
      </c>
      <c r="C113">
        <v>12</v>
      </c>
    </row>
    <row r="114" spans="1:3" x14ac:dyDescent="0.3">
      <c r="A114">
        <f t="shared" si="3"/>
        <v>113</v>
      </c>
      <c r="B114">
        <v>2018</v>
      </c>
      <c r="C114">
        <v>12</v>
      </c>
    </row>
    <row r="115" spans="1:3" x14ac:dyDescent="0.3">
      <c r="A115">
        <f t="shared" si="3"/>
        <v>114</v>
      </c>
      <c r="B115">
        <v>2016</v>
      </c>
      <c r="C115">
        <v>12</v>
      </c>
    </row>
    <row r="116" spans="1:3" x14ac:dyDescent="0.3">
      <c r="A116">
        <f t="shared" si="3"/>
        <v>115</v>
      </c>
      <c r="B116">
        <v>2006</v>
      </c>
      <c r="C116">
        <v>12</v>
      </c>
    </row>
    <row r="117" spans="1:3" x14ac:dyDescent="0.3">
      <c r="A117">
        <f t="shared" si="3"/>
        <v>116</v>
      </c>
      <c r="B117">
        <v>2022</v>
      </c>
      <c r="C117">
        <v>11</v>
      </c>
    </row>
    <row r="118" spans="1:3" x14ac:dyDescent="0.3">
      <c r="A118">
        <f t="shared" si="3"/>
        <v>117</v>
      </c>
      <c r="B118">
        <v>2021</v>
      </c>
      <c r="C118">
        <v>11</v>
      </c>
    </row>
    <row r="119" spans="1:3" x14ac:dyDescent="0.3">
      <c r="A119">
        <f t="shared" si="3"/>
        <v>118</v>
      </c>
      <c r="B119">
        <v>2020</v>
      </c>
      <c r="C119">
        <v>11</v>
      </c>
    </row>
    <row r="120" spans="1:3" x14ac:dyDescent="0.3">
      <c r="A120">
        <f t="shared" si="3"/>
        <v>119</v>
      </c>
      <c r="B120">
        <v>2019</v>
      </c>
      <c r="C120">
        <v>11</v>
      </c>
    </row>
    <row r="121" spans="1:3" x14ac:dyDescent="0.3">
      <c r="A121">
        <f t="shared" si="3"/>
        <v>120</v>
      </c>
      <c r="B121">
        <v>2015</v>
      </c>
      <c r="C121">
        <v>11</v>
      </c>
    </row>
    <row r="122" spans="1:3" x14ac:dyDescent="0.3">
      <c r="A122">
        <f t="shared" si="3"/>
        <v>121</v>
      </c>
      <c r="B122">
        <v>2022</v>
      </c>
      <c r="C122">
        <v>10</v>
      </c>
    </row>
    <row r="123" spans="1:3" x14ac:dyDescent="0.3">
      <c r="A123">
        <f t="shared" si="3"/>
        <v>122</v>
      </c>
      <c r="B123">
        <v>2022</v>
      </c>
      <c r="C123">
        <v>10</v>
      </c>
    </row>
    <row r="124" spans="1:3" x14ac:dyDescent="0.3">
      <c r="A124">
        <f t="shared" si="3"/>
        <v>123</v>
      </c>
      <c r="B124">
        <v>2022</v>
      </c>
      <c r="C124">
        <v>10</v>
      </c>
    </row>
    <row r="125" spans="1:3" x14ac:dyDescent="0.3">
      <c r="A125">
        <f t="shared" si="3"/>
        <v>124</v>
      </c>
      <c r="B125">
        <v>2021</v>
      </c>
      <c r="C125">
        <v>10</v>
      </c>
    </row>
    <row r="126" spans="1:3" x14ac:dyDescent="0.3">
      <c r="A126">
        <f t="shared" si="3"/>
        <v>125</v>
      </c>
      <c r="B126">
        <v>2018</v>
      </c>
      <c r="C126">
        <v>10</v>
      </c>
    </row>
    <row r="127" spans="1:3" x14ac:dyDescent="0.3">
      <c r="A127">
        <f t="shared" si="3"/>
        <v>126</v>
      </c>
      <c r="B127">
        <v>2018</v>
      </c>
      <c r="C127">
        <v>10</v>
      </c>
    </row>
    <row r="128" spans="1:3" x14ac:dyDescent="0.3">
      <c r="A128">
        <f t="shared" si="3"/>
        <v>127</v>
      </c>
      <c r="B128">
        <v>2016</v>
      </c>
      <c r="C128">
        <v>10</v>
      </c>
    </row>
    <row r="129" spans="1:3" x14ac:dyDescent="0.3">
      <c r="A129">
        <f t="shared" si="3"/>
        <v>128</v>
      </c>
      <c r="B129">
        <v>2023</v>
      </c>
      <c r="C129">
        <v>9</v>
      </c>
    </row>
    <row r="130" spans="1:3" x14ac:dyDescent="0.3">
      <c r="A130">
        <f t="shared" si="3"/>
        <v>129</v>
      </c>
      <c r="B130">
        <v>2022</v>
      </c>
      <c r="C130">
        <v>9</v>
      </c>
    </row>
    <row r="131" spans="1:3" x14ac:dyDescent="0.3">
      <c r="A131">
        <f t="shared" si="3"/>
        <v>130</v>
      </c>
      <c r="B131">
        <v>2021</v>
      </c>
      <c r="C131">
        <v>9</v>
      </c>
    </row>
    <row r="132" spans="1:3" x14ac:dyDescent="0.3">
      <c r="A132">
        <f t="shared" ref="A132:A195" si="4">+A131+1</f>
        <v>131</v>
      </c>
      <c r="B132">
        <v>2020</v>
      </c>
      <c r="C132">
        <v>9</v>
      </c>
    </row>
    <row r="133" spans="1:3" x14ac:dyDescent="0.3">
      <c r="A133">
        <f t="shared" si="4"/>
        <v>132</v>
      </c>
      <c r="B133">
        <v>2018</v>
      </c>
      <c r="C133">
        <v>9</v>
      </c>
    </row>
    <row r="134" spans="1:3" x14ac:dyDescent="0.3">
      <c r="A134">
        <f t="shared" si="4"/>
        <v>133</v>
      </c>
      <c r="B134">
        <v>2017</v>
      </c>
      <c r="C134">
        <v>9</v>
      </c>
    </row>
    <row r="135" spans="1:3" x14ac:dyDescent="0.3">
      <c r="A135">
        <f t="shared" si="4"/>
        <v>134</v>
      </c>
      <c r="B135">
        <v>2016</v>
      </c>
      <c r="C135">
        <v>9</v>
      </c>
    </row>
    <row r="136" spans="1:3" x14ac:dyDescent="0.3">
      <c r="A136">
        <f t="shared" si="4"/>
        <v>135</v>
      </c>
      <c r="B136">
        <v>2016</v>
      </c>
      <c r="C136">
        <v>9</v>
      </c>
    </row>
    <row r="137" spans="1:3" x14ac:dyDescent="0.3">
      <c r="A137">
        <f t="shared" si="4"/>
        <v>136</v>
      </c>
      <c r="B137">
        <v>2014</v>
      </c>
      <c r="C137">
        <v>9</v>
      </c>
    </row>
    <row r="138" spans="1:3" x14ac:dyDescent="0.3">
      <c r="A138">
        <f t="shared" si="4"/>
        <v>137</v>
      </c>
      <c r="B138">
        <v>2011</v>
      </c>
      <c r="C138">
        <v>9</v>
      </c>
    </row>
    <row r="139" spans="1:3" x14ac:dyDescent="0.3">
      <c r="A139">
        <f t="shared" si="4"/>
        <v>138</v>
      </c>
      <c r="B139">
        <v>2004</v>
      </c>
      <c r="C139">
        <v>9</v>
      </c>
    </row>
    <row r="140" spans="1:3" x14ac:dyDescent="0.3">
      <c r="A140">
        <f t="shared" si="4"/>
        <v>139</v>
      </c>
      <c r="B140">
        <v>2022</v>
      </c>
      <c r="C140">
        <v>8</v>
      </c>
    </row>
    <row r="141" spans="1:3" x14ac:dyDescent="0.3">
      <c r="A141">
        <f t="shared" si="4"/>
        <v>140</v>
      </c>
      <c r="B141">
        <v>2022</v>
      </c>
      <c r="C141">
        <v>8</v>
      </c>
    </row>
    <row r="142" spans="1:3" x14ac:dyDescent="0.3">
      <c r="A142">
        <f t="shared" si="4"/>
        <v>141</v>
      </c>
      <c r="B142">
        <v>2022</v>
      </c>
      <c r="C142">
        <v>8</v>
      </c>
    </row>
    <row r="143" spans="1:3" x14ac:dyDescent="0.3">
      <c r="A143">
        <f t="shared" si="4"/>
        <v>142</v>
      </c>
      <c r="B143">
        <v>2022</v>
      </c>
      <c r="C143">
        <v>8</v>
      </c>
    </row>
    <row r="144" spans="1:3" x14ac:dyDescent="0.3">
      <c r="A144">
        <f t="shared" si="4"/>
        <v>143</v>
      </c>
      <c r="B144">
        <v>2021</v>
      </c>
      <c r="C144">
        <v>8</v>
      </c>
    </row>
    <row r="145" spans="1:3" x14ac:dyDescent="0.3">
      <c r="A145">
        <f t="shared" si="4"/>
        <v>144</v>
      </c>
      <c r="B145">
        <v>2019</v>
      </c>
      <c r="C145">
        <v>8</v>
      </c>
    </row>
    <row r="146" spans="1:3" x14ac:dyDescent="0.3">
      <c r="A146">
        <f t="shared" si="4"/>
        <v>145</v>
      </c>
      <c r="B146">
        <v>2019</v>
      </c>
      <c r="C146">
        <v>8</v>
      </c>
    </row>
    <row r="147" spans="1:3" x14ac:dyDescent="0.3">
      <c r="A147">
        <f t="shared" si="4"/>
        <v>146</v>
      </c>
      <c r="B147">
        <v>2019</v>
      </c>
      <c r="C147">
        <v>8</v>
      </c>
    </row>
    <row r="148" spans="1:3" x14ac:dyDescent="0.3">
      <c r="A148">
        <f t="shared" si="4"/>
        <v>147</v>
      </c>
      <c r="B148">
        <v>2019</v>
      </c>
      <c r="C148">
        <v>8</v>
      </c>
    </row>
    <row r="149" spans="1:3" x14ac:dyDescent="0.3">
      <c r="A149">
        <f t="shared" si="4"/>
        <v>148</v>
      </c>
      <c r="B149">
        <v>2016</v>
      </c>
      <c r="C149">
        <v>8</v>
      </c>
    </row>
    <row r="150" spans="1:3" x14ac:dyDescent="0.3">
      <c r="A150">
        <f t="shared" si="4"/>
        <v>149</v>
      </c>
      <c r="B150">
        <v>2013</v>
      </c>
      <c r="C150">
        <v>8</v>
      </c>
    </row>
    <row r="151" spans="1:3" x14ac:dyDescent="0.3">
      <c r="A151">
        <f t="shared" si="4"/>
        <v>150</v>
      </c>
      <c r="B151">
        <v>2024</v>
      </c>
      <c r="C151">
        <v>7</v>
      </c>
    </row>
    <row r="152" spans="1:3" x14ac:dyDescent="0.3">
      <c r="A152">
        <f t="shared" si="4"/>
        <v>151</v>
      </c>
      <c r="B152">
        <v>2023</v>
      </c>
      <c r="C152">
        <v>7</v>
      </c>
    </row>
    <row r="153" spans="1:3" x14ac:dyDescent="0.3">
      <c r="A153">
        <f t="shared" si="4"/>
        <v>152</v>
      </c>
      <c r="B153">
        <v>2023</v>
      </c>
      <c r="C153">
        <v>7</v>
      </c>
    </row>
    <row r="154" spans="1:3" x14ac:dyDescent="0.3">
      <c r="A154">
        <f t="shared" si="4"/>
        <v>153</v>
      </c>
      <c r="B154">
        <v>2023</v>
      </c>
      <c r="C154">
        <v>7</v>
      </c>
    </row>
    <row r="155" spans="1:3" x14ac:dyDescent="0.3">
      <c r="A155">
        <f t="shared" si="4"/>
        <v>154</v>
      </c>
      <c r="B155">
        <v>2022</v>
      </c>
      <c r="C155">
        <v>7</v>
      </c>
    </row>
    <row r="156" spans="1:3" x14ac:dyDescent="0.3">
      <c r="A156">
        <f t="shared" si="4"/>
        <v>155</v>
      </c>
      <c r="B156">
        <v>2019</v>
      </c>
      <c r="C156">
        <v>7</v>
      </c>
    </row>
    <row r="157" spans="1:3" x14ac:dyDescent="0.3">
      <c r="A157">
        <f t="shared" si="4"/>
        <v>156</v>
      </c>
      <c r="B157">
        <v>2019</v>
      </c>
      <c r="C157">
        <v>7</v>
      </c>
    </row>
    <row r="158" spans="1:3" x14ac:dyDescent="0.3">
      <c r="A158">
        <f t="shared" si="4"/>
        <v>157</v>
      </c>
      <c r="B158">
        <v>2018</v>
      </c>
      <c r="C158">
        <v>7</v>
      </c>
    </row>
    <row r="159" spans="1:3" x14ac:dyDescent="0.3">
      <c r="A159">
        <f t="shared" si="4"/>
        <v>158</v>
      </c>
      <c r="B159">
        <v>2016</v>
      </c>
      <c r="C159">
        <v>7</v>
      </c>
    </row>
    <row r="160" spans="1:3" x14ac:dyDescent="0.3">
      <c r="A160">
        <f t="shared" si="4"/>
        <v>159</v>
      </c>
      <c r="B160">
        <v>2016</v>
      </c>
      <c r="C160">
        <v>7</v>
      </c>
    </row>
    <row r="161" spans="1:3" x14ac:dyDescent="0.3">
      <c r="A161">
        <f t="shared" si="4"/>
        <v>160</v>
      </c>
      <c r="B161">
        <v>2015</v>
      </c>
      <c r="C161">
        <v>7</v>
      </c>
    </row>
    <row r="162" spans="1:3" x14ac:dyDescent="0.3">
      <c r="A162">
        <f t="shared" si="4"/>
        <v>161</v>
      </c>
      <c r="B162">
        <v>2010</v>
      </c>
      <c r="C162">
        <v>7</v>
      </c>
    </row>
    <row r="163" spans="1:3" x14ac:dyDescent="0.3">
      <c r="A163">
        <f t="shared" si="4"/>
        <v>162</v>
      </c>
      <c r="B163">
        <v>2009</v>
      </c>
      <c r="C163">
        <v>7</v>
      </c>
    </row>
    <row r="164" spans="1:3" x14ac:dyDescent="0.3">
      <c r="A164">
        <f t="shared" si="4"/>
        <v>163</v>
      </c>
      <c r="B164">
        <v>1999</v>
      </c>
      <c r="C164">
        <v>7</v>
      </c>
    </row>
    <row r="165" spans="1:3" x14ac:dyDescent="0.3">
      <c r="A165">
        <f t="shared" si="4"/>
        <v>164</v>
      </c>
      <c r="B165">
        <v>2023</v>
      </c>
      <c r="C165">
        <v>6</v>
      </c>
    </row>
    <row r="166" spans="1:3" x14ac:dyDescent="0.3">
      <c r="A166">
        <f t="shared" si="4"/>
        <v>165</v>
      </c>
      <c r="B166">
        <v>2023</v>
      </c>
      <c r="C166">
        <v>6</v>
      </c>
    </row>
    <row r="167" spans="1:3" x14ac:dyDescent="0.3">
      <c r="A167">
        <f t="shared" si="4"/>
        <v>166</v>
      </c>
      <c r="B167">
        <v>2022</v>
      </c>
      <c r="C167">
        <v>6</v>
      </c>
    </row>
    <row r="168" spans="1:3" x14ac:dyDescent="0.3">
      <c r="A168">
        <f t="shared" si="4"/>
        <v>167</v>
      </c>
      <c r="B168">
        <v>2022</v>
      </c>
      <c r="C168">
        <v>6</v>
      </c>
    </row>
    <row r="169" spans="1:3" x14ac:dyDescent="0.3">
      <c r="A169">
        <f t="shared" si="4"/>
        <v>168</v>
      </c>
      <c r="B169">
        <v>2022</v>
      </c>
      <c r="C169">
        <v>6</v>
      </c>
    </row>
    <row r="170" spans="1:3" x14ac:dyDescent="0.3">
      <c r="A170">
        <f t="shared" si="4"/>
        <v>169</v>
      </c>
      <c r="B170">
        <v>2021</v>
      </c>
      <c r="C170">
        <v>6</v>
      </c>
    </row>
    <row r="171" spans="1:3" x14ac:dyDescent="0.3">
      <c r="A171">
        <f t="shared" si="4"/>
        <v>170</v>
      </c>
      <c r="B171">
        <v>2021</v>
      </c>
      <c r="C171">
        <v>6</v>
      </c>
    </row>
    <row r="172" spans="1:3" x14ac:dyDescent="0.3">
      <c r="A172">
        <f t="shared" si="4"/>
        <v>171</v>
      </c>
      <c r="B172">
        <v>2020</v>
      </c>
      <c r="C172">
        <v>6</v>
      </c>
    </row>
    <row r="173" spans="1:3" x14ac:dyDescent="0.3">
      <c r="A173">
        <f t="shared" si="4"/>
        <v>172</v>
      </c>
      <c r="B173">
        <v>2020</v>
      </c>
      <c r="C173">
        <v>6</v>
      </c>
    </row>
    <row r="174" spans="1:3" x14ac:dyDescent="0.3">
      <c r="A174">
        <f t="shared" si="4"/>
        <v>173</v>
      </c>
      <c r="B174">
        <v>2020</v>
      </c>
      <c r="C174">
        <v>6</v>
      </c>
    </row>
    <row r="175" spans="1:3" x14ac:dyDescent="0.3">
      <c r="A175">
        <f t="shared" si="4"/>
        <v>174</v>
      </c>
      <c r="B175">
        <v>2020</v>
      </c>
      <c r="C175">
        <v>6</v>
      </c>
    </row>
    <row r="176" spans="1:3" x14ac:dyDescent="0.3">
      <c r="A176">
        <f t="shared" si="4"/>
        <v>175</v>
      </c>
      <c r="B176">
        <v>2017</v>
      </c>
      <c r="C176">
        <v>6</v>
      </c>
    </row>
    <row r="177" spans="1:3" x14ac:dyDescent="0.3">
      <c r="A177">
        <f t="shared" si="4"/>
        <v>176</v>
      </c>
      <c r="B177">
        <v>2017</v>
      </c>
      <c r="C177">
        <v>6</v>
      </c>
    </row>
    <row r="178" spans="1:3" x14ac:dyDescent="0.3">
      <c r="A178">
        <f t="shared" si="4"/>
        <v>177</v>
      </c>
      <c r="B178">
        <v>2010</v>
      </c>
      <c r="C178">
        <v>6</v>
      </c>
    </row>
    <row r="179" spans="1:3" x14ac:dyDescent="0.3">
      <c r="A179">
        <f t="shared" si="4"/>
        <v>178</v>
      </c>
      <c r="B179">
        <v>2023</v>
      </c>
      <c r="C179">
        <v>5</v>
      </c>
    </row>
    <row r="180" spans="1:3" x14ac:dyDescent="0.3">
      <c r="A180">
        <f t="shared" si="4"/>
        <v>179</v>
      </c>
      <c r="B180">
        <v>2022</v>
      </c>
      <c r="C180">
        <v>5</v>
      </c>
    </row>
    <row r="181" spans="1:3" x14ac:dyDescent="0.3">
      <c r="A181">
        <f t="shared" si="4"/>
        <v>180</v>
      </c>
      <c r="B181">
        <v>2022</v>
      </c>
      <c r="C181">
        <v>5</v>
      </c>
    </row>
    <row r="182" spans="1:3" x14ac:dyDescent="0.3">
      <c r="A182">
        <f t="shared" si="4"/>
        <v>181</v>
      </c>
      <c r="B182">
        <v>2022</v>
      </c>
      <c r="C182">
        <v>5</v>
      </c>
    </row>
    <row r="183" spans="1:3" x14ac:dyDescent="0.3">
      <c r="A183">
        <f t="shared" si="4"/>
        <v>182</v>
      </c>
      <c r="B183">
        <v>2022</v>
      </c>
      <c r="C183">
        <v>5</v>
      </c>
    </row>
    <row r="184" spans="1:3" x14ac:dyDescent="0.3">
      <c r="A184">
        <f t="shared" si="4"/>
        <v>183</v>
      </c>
      <c r="B184">
        <v>2022</v>
      </c>
      <c r="C184">
        <v>5</v>
      </c>
    </row>
    <row r="185" spans="1:3" x14ac:dyDescent="0.3">
      <c r="A185">
        <f t="shared" si="4"/>
        <v>184</v>
      </c>
      <c r="B185">
        <v>2021</v>
      </c>
      <c r="C185">
        <v>5</v>
      </c>
    </row>
    <row r="186" spans="1:3" x14ac:dyDescent="0.3">
      <c r="A186">
        <f t="shared" si="4"/>
        <v>185</v>
      </c>
      <c r="B186">
        <v>2021</v>
      </c>
      <c r="C186">
        <v>5</v>
      </c>
    </row>
    <row r="187" spans="1:3" x14ac:dyDescent="0.3">
      <c r="A187">
        <f t="shared" si="4"/>
        <v>186</v>
      </c>
      <c r="B187">
        <v>2021</v>
      </c>
      <c r="C187">
        <v>5</v>
      </c>
    </row>
    <row r="188" spans="1:3" x14ac:dyDescent="0.3">
      <c r="A188">
        <f t="shared" si="4"/>
        <v>187</v>
      </c>
      <c r="B188">
        <v>2019</v>
      </c>
      <c r="C188">
        <v>5</v>
      </c>
    </row>
    <row r="189" spans="1:3" x14ac:dyDescent="0.3">
      <c r="A189">
        <f t="shared" si="4"/>
        <v>188</v>
      </c>
      <c r="B189">
        <v>2019</v>
      </c>
      <c r="C189">
        <v>5</v>
      </c>
    </row>
    <row r="190" spans="1:3" x14ac:dyDescent="0.3">
      <c r="A190">
        <f t="shared" si="4"/>
        <v>189</v>
      </c>
      <c r="B190">
        <v>2018</v>
      </c>
      <c r="C190">
        <v>5</v>
      </c>
    </row>
    <row r="191" spans="1:3" x14ac:dyDescent="0.3">
      <c r="A191">
        <f t="shared" si="4"/>
        <v>190</v>
      </c>
      <c r="B191">
        <v>2017</v>
      </c>
      <c r="C191">
        <v>5</v>
      </c>
    </row>
    <row r="192" spans="1:3" x14ac:dyDescent="0.3">
      <c r="A192">
        <f t="shared" si="4"/>
        <v>191</v>
      </c>
      <c r="B192">
        <v>2017</v>
      </c>
      <c r="C192">
        <v>5</v>
      </c>
    </row>
    <row r="193" spans="1:3" x14ac:dyDescent="0.3">
      <c r="A193">
        <f t="shared" si="4"/>
        <v>192</v>
      </c>
      <c r="B193">
        <v>2016</v>
      </c>
      <c r="C193">
        <v>5</v>
      </c>
    </row>
    <row r="194" spans="1:3" x14ac:dyDescent="0.3">
      <c r="A194">
        <f t="shared" si="4"/>
        <v>193</v>
      </c>
      <c r="B194">
        <v>2012</v>
      </c>
      <c r="C194">
        <v>5</v>
      </c>
    </row>
    <row r="195" spans="1:3" x14ac:dyDescent="0.3">
      <c r="A195">
        <f t="shared" si="4"/>
        <v>194</v>
      </c>
      <c r="B195">
        <v>2007</v>
      </c>
      <c r="C195">
        <v>5</v>
      </c>
    </row>
    <row r="196" spans="1:3" x14ac:dyDescent="0.3">
      <c r="A196">
        <f t="shared" ref="A196:A259" si="5">+A195+1</f>
        <v>195</v>
      </c>
      <c r="B196">
        <v>2024</v>
      </c>
      <c r="C196">
        <v>4</v>
      </c>
    </row>
    <row r="197" spans="1:3" x14ac:dyDescent="0.3">
      <c r="A197">
        <f t="shared" si="5"/>
        <v>196</v>
      </c>
      <c r="B197">
        <v>2024</v>
      </c>
      <c r="C197">
        <v>4</v>
      </c>
    </row>
    <row r="198" spans="1:3" x14ac:dyDescent="0.3">
      <c r="A198">
        <f t="shared" si="5"/>
        <v>197</v>
      </c>
      <c r="B198">
        <v>2023</v>
      </c>
      <c r="C198">
        <v>4</v>
      </c>
    </row>
    <row r="199" spans="1:3" x14ac:dyDescent="0.3">
      <c r="A199">
        <f t="shared" si="5"/>
        <v>198</v>
      </c>
      <c r="B199">
        <v>2024</v>
      </c>
      <c r="C199">
        <v>4</v>
      </c>
    </row>
    <row r="200" spans="1:3" x14ac:dyDescent="0.3">
      <c r="A200">
        <f t="shared" si="5"/>
        <v>199</v>
      </c>
      <c r="B200">
        <v>2023</v>
      </c>
      <c r="C200">
        <v>4</v>
      </c>
    </row>
    <row r="201" spans="1:3" x14ac:dyDescent="0.3">
      <c r="A201">
        <f t="shared" si="5"/>
        <v>200</v>
      </c>
      <c r="B201">
        <v>2023</v>
      </c>
      <c r="C201">
        <v>4</v>
      </c>
    </row>
    <row r="202" spans="1:3" x14ac:dyDescent="0.3">
      <c r="A202">
        <f t="shared" si="5"/>
        <v>201</v>
      </c>
      <c r="B202">
        <v>2022</v>
      </c>
      <c r="C202">
        <v>4</v>
      </c>
    </row>
    <row r="203" spans="1:3" x14ac:dyDescent="0.3">
      <c r="A203">
        <f t="shared" si="5"/>
        <v>202</v>
      </c>
      <c r="B203">
        <v>2022</v>
      </c>
      <c r="C203">
        <v>4</v>
      </c>
    </row>
    <row r="204" spans="1:3" x14ac:dyDescent="0.3">
      <c r="A204">
        <f t="shared" si="5"/>
        <v>203</v>
      </c>
      <c r="B204">
        <v>2022</v>
      </c>
      <c r="C204">
        <v>4</v>
      </c>
    </row>
    <row r="205" spans="1:3" x14ac:dyDescent="0.3">
      <c r="A205">
        <f t="shared" si="5"/>
        <v>204</v>
      </c>
      <c r="B205">
        <v>2021</v>
      </c>
      <c r="C205">
        <v>4</v>
      </c>
    </row>
    <row r="206" spans="1:3" x14ac:dyDescent="0.3">
      <c r="A206">
        <f t="shared" si="5"/>
        <v>205</v>
      </c>
      <c r="B206">
        <v>2021</v>
      </c>
      <c r="C206">
        <v>4</v>
      </c>
    </row>
    <row r="207" spans="1:3" x14ac:dyDescent="0.3">
      <c r="A207">
        <f t="shared" si="5"/>
        <v>206</v>
      </c>
      <c r="B207">
        <v>2021</v>
      </c>
      <c r="C207">
        <v>4</v>
      </c>
    </row>
    <row r="208" spans="1:3" x14ac:dyDescent="0.3">
      <c r="A208">
        <f t="shared" si="5"/>
        <v>207</v>
      </c>
      <c r="B208">
        <v>2021</v>
      </c>
      <c r="C208">
        <v>4</v>
      </c>
    </row>
    <row r="209" spans="1:3" x14ac:dyDescent="0.3">
      <c r="A209">
        <f t="shared" si="5"/>
        <v>208</v>
      </c>
      <c r="B209">
        <v>2021</v>
      </c>
      <c r="C209">
        <v>4</v>
      </c>
    </row>
    <row r="210" spans="1:3" x14ac:dyDescent="0.3">
      <c r="A210">
        <f t="shared" si="5"/>
        <v>209</v>
      </c>
      <c r="B210">
        <v>2020</v>
      </c>
      <c r="C210">
        <v>4</v>
      </c>
    </row>
    <row r="211" spans="1:3" x14ac:dyDescent="0.3">
      <c r="A211">
        <f t="shared" si="5"/>
        <v>210</v>
      </c>
      <c r="B211">
        <v>2020</v>
      </c>
      <c r="C211">
        <v>4</v>
      </c>
    </row>
    <row r="212" spans="1:3" x14ac:dyDescent="0.3">
      <c r="A212">
        <f t="shared" si="5"/>
        <v>211</v>
      </c>
      <c r="B212">
        <v>2020</v>
      </c>
      <c r="C212">
        <v>4</v>
      </c>
    </row>
    <row r="213" spans="1:3" x14ac:dyDescent="0.3">
      <c r="A213">
        <f t="shared" si="5"/>
        <v>212</v>
      </c>
      <c r="B213">
        <v>2020</v>
      </c>
      <c r="C213">
        <v>4</v>
      </c>
    </row>
    <row r="214" spans="1:3" x14ac:dyDescent="0.3">
      <c r="A214">
        <f t="shared" si="5"/>
        <v>213</v>
      </c>
      <c r="B214">
        <v>2019</v>
      </c>
      <c r="C214">
        <v>4</v>
      </c>
    </row>
    <row r="215" spans="1:3" x14ac:dyDescent="0.3">
      <c r="A215">
        <f t="shared" si="5"/>
        <v>214</v>
      </c>
      <c r="B215">
        <v>2019</v>
      </c>
      <c r="C215">
        <v>4</v>
      </c>
    </row>
    <row r="216" spans="1:3" x14ac:dyDescent="0.3">
      <c r="A216">
        <f t="shared" si="5"/>
        <v>215</v>
      </c>
      <c r="B216">
        <v>2018</v>
      </c>
      <c r="C216">
        <v>4</v>
      </c>
    </row>
    <row r="217" spans="1:3" x14ac:dyDescent="0.3">
      <c r="A217">
        <f t="shared" si="5"/>
        <v>216</v>
      </c>
      <c r="B217">
        <v>2018</v>
      </c>
      <c r="C217">
        <v>4</v>
      </c>
    </row>
    <row r="218" spans="1:3" x14ac:dyDescent="0.3">
      <c r="A218">
        <f t="shared" si="5"/>
        <v>217</v>
      </c>
      <c r="B218">
        <v>2018</v>
      </c>
      <c r="C218">
        <v>4</v>
      </c>
    </row>
    <row r="219" spans="1:3" x14ac:dyDescent="0.3">
      <c r="A219">
        <f t="shared" si="5"/>
        <v>218</v>
      </c>
      <c r="B219">
        <v>2017</v>
      </c>
      <c r="C219">
        <v>4</v>
      </c>
    </row>
    <row r="220" spans="1:3" x14ac:dyDescent="0.3">
      <c r="A220">
        <f t="shared" si="5"/>
        <v>219</v>
      </c>
      <c r="B220">
        <v>2014</v>
      </c>
      <c r="C220">
        <v>4</v>
      </c>
    </row>
    <row r="221" spans="1:3" x14ac:dyDescent="0.3">
      <c r="A221">
        <f t="shared" si="5"/>
        <v>220</v>
      </c>
      <c r="B221">
        <v>2013</v>
      </c>
      <c r="C221">
        <v>4</v>
      </c>
    </row>
    <row r="222" spans="1:3" x14ac:dyDescent="0.3">
      <c r="A222">
        <f t="shared" si="5"/>
        <v>221</v>
      </c>
      <c r="B222">
        <v>2008</v>
      </c>
      <c r="C222">
        <v>4</v>
      </c>
    </row>
    <row r="223" spans="1:3" x14ac:dyDescent="0.3">
      <c r="A223">
        <f t="shared" si="5"/>
        <v>222</v>
      </c>
      <c r="B223">
        <v>2024</v>
      </c>
      <c r="C223">
        <v>3</v>
      </c>
    </row>
    <row r="224" spans="1:3" x14ac:dyDescent="0.3">
      <c r="A224">
        <f t="shared" si="5"/>
        <v>223</v>
      </c>
      <c r="B224">
        <v>2024</v>
      </c>
      <c r="C224">
        <v>3</v>
      </c>
    </row>
    <row r="225" spans="1:3" x14ac:dyDescent="0.3">
      <c r="A225">
        <f t="shared" si="5"/>
        <v>224</v>
      </c>
      <c r="B225">
        <v>2023</v>
      </c>
      <c r="C225">
        <v>3</v>
      </c>
    </row>
    <row r="226" spans="1:3" x14ac:dyDescent="0.3">
      <c r="A226">
        <f t="shared" si="5"/>
        <v>225</v>
      </c>
      <c r="B226">
        <v>2023</v>
      </c>
      <c r="C226">
        <v>3</v>
      </c>
    </row>
    <row r="227" spans="1:3" x14ac:dyDescent="0.3">
      <c r="A227">
        <f t="shared" si="5"/>
        <v>226</v>
      </c>
      <c r="B227">
        <v>2023</v>
      </c>
      <c r="C227">
        <v>3</v>
      </c>
    </row>
    <row r="228" spans="1:3" x14ac:dyDescent="0.3">
      <c r="A228">
        <f t="shared" si="5"/>
        <v>227</v>
      </c>
      <c r="B228">
        <v>2023</v>
      </c>
      <c r="C228">
        <v>3</v>
      </c>
    </row>
    <row r="229" spans="1:3" x14ac:dyDescent="0.3">
      <c r="A229">
        <f t="shared" si="5"/>
        <v>228</v>
      </c>
      <c r="B229">
        <v>2023</v>
      </c>
      <c r="C229">
        <v>3</v>
      </c>
    </row>
    <row r="230" spans="1:3" x14ac:dyDescent="0.3">
      <c r="A230">
        <f t="shared" si="5"/>
        <v>229</v>
      </c>
      <c r="B230">
        <v>2023</v>
      </c>
      <c r="C230">
        <v>3</v>
      </c>
    </row>
    <row r="231" spans="1:3" x14ac:dyDescent="0.3">
      <c r="A231">
        <f t="shared" si="5"/>
        <v>230</v>
      </c>
      <c r="B231">
        <v>2023</v>
      </c>
      <c r="C231">
        <v>3</v>
      </c>
    </row>
    <row r="232" spans="1:3" x14ac:dyDescent="0.3">
      <c r="A232">
        <f t="shared" si="5"/>
        <v>231</v>
      </c>
      <c r="B232">
        <v>2023</v>
      </c>
      <c r="C232">
        <v>3</v>
      </c>
    </row>
    <row r="233" spans="1:3" x14ac:dyDescent="0.3">
      <c r="A233">
        <f t="shared" si="5"/>
        <v>232</v>
      </c>
      <c r="B233">
        <v>2022</v>
      </c>
      <c r="C233">
        <v>3</v>
      </c>
    </row>
    <row r="234" spans="1:3" x14ac:dyDescent="0.3">
      <c r="A234">
        <f t="shared" si="5"/>
        <v>233</v>
      </c>
      <c r="B234">
        <v>2023</v>
      </c>
      <c r="C234">
        <v>3</v>
      </c>
    </row>
    <row r="235" spans="1:3" x14ac:dyDescent="0.3">
      <c r="A235">
        <f t="shared" si="5"/>
        <v>234</v>
      </c>
      <c r="B235">
        <v>2023</v>
      </c>
      <c r="C235">
        <v>3</v>
      </c>
    </row>
    <row r="236" spans="1:3" x14ac:dyDescent="0.3">
      <c r="A236">
        <f t="shared" si="5"/>
        <v>235</v>
      </c>
      <c r="B236">
        <v>2022</v>
      </c>
      <c r="C236">
        <v>3</v>
      </c>
    </row>
    <row r="237" spans="1:3" x14ac:dyDescent="0.3">
      <c r="A237">
        <f t="shared" si="5"/>
        <v>236</v>
      </c>
      <c r="B237">
        <v>2023</v>
      </c>
      <c r="C237">
        <v>3</v>
      </c>
    </row>
    <row r="238" spans="1:3" x14ac:dyDescent="0.3">
      <c r="A238">
        <f t="shared" si="5"/>
        <v>237</v>
      </c>
      <c r="B238">
        <v>2022</v>
      </c>
      <c r="C238">
        <v>3</v>
      </c>
    </row>
    <row r="239" spans="1:3" x14ac:dyDescent="0.3">
      <c r="A239">
        <f t="shared" si="5"/>
        <v>238</v>
      </c>
      <c r="B239">
        <v>2023</v>
      </c>
      <c r="C239">
        <v>3</v>
      </c>
    </row>
    <row r="240" spans="1:3" x14ac:dyDescent="0.3">
      <c r="A240">
        <f t="shared" si="5"/>
        <v>239</v>
      </c>
      <c r="B240">
        <v>2023</v>
      </c>
      <c r="C240">
        <v>3</v>
      </c>
    </row>
    <row r="241" spans="1:3" x14ac:dyDescent="0.3">
      <c r="A241">
        <f t="shared" si="5"/>
        <v>240</v>
      </c>
      <c r="B241">
        <v>2022</v>
      </c>
      <c r="C241">
        <v>3</v>
      </c>
    </row>
    <row r="242" spans="1:3" x14ac:dyDescent="0.3">
      <c r="A242">
        <f t="shared" si="5"/>
        <v>241</v>
      </c>
      <c r="B242">
        <v>2022</v>
      </c>
      <c r="C242">
        <v>3</v>
      </c>
    </row>
    <row r="243" spans="1:3" x14ac:dyDescent="0.3">
      <c r="A243">
        <f t="shared" si="5"/>
        <v>242</v>
      </c>
      <c r="B243">
        <v>2021</v>
      </c>
      <c r="C243">
        <v>3</v>
      </c>
    </row>
    <row r="244" spans="1:3" x14ac:dyDescent="0.3">
      <c r="A244">
        <f t="shared" si="5"/>
        <v>243</v>
      </c>
      <c r="B244">
        <v>2021</v>
      </c>
      <c r="C244">
        <v>3</v>
      </c>
    </row>
    <row r="245" spans="1:3" x14ac:dyDescent="0.3">
      <c r="A245">
        <f t="shared" si="5"/>
        <v>244</v>
      </c>
      <c r="B245">
        <v>2021</v>
      </c>
      <c r="C245">
        <v>3</v>
      </c>
    </row>
    <row r="246" spans="1:3" x14ac:dyDescent="0.3">
      <c r="A246">
        <f t="shared" si="5"/>
        <v>245</v>
      </c>
      <c r="B246">
        <v>2021</v>
      </c>
      <c r="C246">
        <v>3</v>
      </c>
    </row>
    <row r="247" spans="1:3" x14ac:dyDescent="0.3">
      <c r="A247">
        <f t="shared" si="5"/>
        <v>246</v>
      </c>
      <c r="B247">
        <v>2021</v>
      </c>
      <c r="C247">
        <v>3</v>
      </c>
    </row>
    <row r="248" spans="1:3" x14ac:dyDescent="0.3">
      <c r="A248">
        <f t="shared" si="5"/>
        <v>247</v>
      </c>
      <c r="B248">
        <v>2021</v>
      </c>
      <c r="C248">
        <v>3</v>
      </c>
    </row>
    <row r="249" spans="1:3" x14ac:dyDescent="0.3">
      <c r="A249">
        <f t="shared" si="5"/>
        <v>248</v>
      </c>
      <c r="B249">
        <v>2021</v>
      </c>
      <c r="C249">
        <v>3</v>
      </c>
    </row>
    <row r="250" spans="1:3" x14ac:dyDescent="0.3">
      <c r="A250">
        <f t="shared" si="5"/>
        <v>249</v>
      </c>
      <c r="B250">
        <v>2021</v>
      </c>
      <c r="C250">
        <v>3</v>
      </c>
    </row>
    <row r="251" spans="1:3" x14ac:dyDescent="0.3">
      <c r="A251">
        <f t="shared" si="5"/>
        <v>250</v>
      </c>
      <c r="B251">
        <v>2020</v>
      </c>
      <c r="C251">
        <v>3</v>
      </c>
    </row>
    <row r="252" spans="1:3" x14ac:dyDescent="0.3">
      <c r="A252">
        <f t="shared" si="5"/>
        <v>251</v>
      </c>
      <c r="B252">
        <v>2020</v>
      </c>
      <c r="C252">
        <v>3</v>
      </c>
    </row>
    <row r="253" spans="1:3" x14ac:dyDescent="0.3">
      <c r="A253">
        <f t="shared" si="5"/>
        <v>252</v>
      </c>
      <c r="B253">
        <v>2020</v>
      </c>
      <c r="C253">
        <v>3</v>
      </c>
    </row>
    <row r="254" spans="1:3" x14ac:dyDescent="0.3">
      <c r="A254">
        <f t="shared" si="5"/>
        <v>253</v>
      </c>
      <c r="B254">
        <v>2020</v>
      </c>
      <c r="C254">
        <v>3</v>
      </c>
    </row>
    <row r="255" spans="1:3" x14ac:dyDescent="0.3">
      <c r="A255">
        <f t="shared" si="5"/>
        <v>254</v>
      </c>
      <c r="B255">
        <v>2019</v>
      </c>
      <c r="C255">
        <v>3</v>
      </c>
    </row>
    <row r="256" spans="1:3" x14ac:dyDescent="0.3">
      <c r="A256">
        <f t="shared" si="5"/>
        <v>255</v>
      </c>
      <c r="B256">
        <v>2019</v>
      </c>
      <c r="C256">
        <v>3</v>
      </c>
    </row>
    <row r="257" spans="1:3" x14ac:dyDescent="0.3">
      <c r="A257">
        <f t="shared" si="5"/>
        <v>256</v>
      </c>
      <c r="B257">
        <v>2018</v>
      </c>
      <c r="C257">
        <v>3</v>
      </c>
    </row>
    <row r="258" spans="1:3" x14ac:dyDescent="0.3">
      <c r="A258">
        <f t="shared" si="5"/>
        <v>257</v>
      </c>
      <c r="B258">
        <v>2018</v>
      </c>
      <c r="C258">
        <v>3</v>
      </c>
    </row>
    <row r="259" spans="1:3" x14ac:dyDescent="0.3">
      <c r="A259">
        <f t="shared" si="5"/>
        <v>258</v>
      </c>
      <c r="B259">
        <v>2018</v>
      </c>
      <c r="C259">
        <v>3</v>
      </c>
    </row>
    <row r="260" spans="1:3" x14ac:dyDescent="0.3">
      <c r="A260">
        <f t="shared" ref="A260:A323" si="6">+A259+1</f>
        <v>259</v>
      </c>
      <c r="B260">
        <v>2018</v>
      </c>
      <c r="C260">
        <v>3</v>
      </c>
    </row>
    <row r="261" spans="1:3" x14ac:dyDescent="0.3">
      <c r="A261">
        <f t="shared" si="6"/>
        <v>260</v>
      </c>
      <c r="B261">
        <v>2017</v>
      </c>
      <c r="C261">
        <v>3</v>
      </c>
    </row>
    <row r="262" spans="1:3" x14ac:dyDescent="0.3">
      <c r="A262">
        <f t="shared" si="6"/>
        <v>261</v>
      </c>
      <c r="B262">
        <v>2017</v>
      </c>
      <c r="C262">
        <v>3</v>
      </c>
    </row>
    <row r="263" spans="1:3" x14ac:dyDescent="0.3">
      <c r="A263">
        <f t="shared" si="6"/>
        <v>262</v>
      </c>
      <c r="B263">
        <v>2017</v>
      </c>
      <c r="C263">
        <v>3</v>
      </c>
    </row>
    <row r="264" spans="1:3" x14ac:dyDescent="0.3">
      <c r="A264">
        <f t="shared" si="6"/>
        <v>263</v>
      </c>
      <c r="B264">
        <v>2017</v>
      </c>
      <c r="C264">
        <v>3</v>
      </c>
    </row>
    <row r="265" spans="1:3" x14ac:dyDescent="0.3">
      <c r="A265">
        <f t="shared" si="6"/>
        <v>264</v>
      </c>
      <c r="B265">
        <v>2017</v>
      </c>
      <c r="C265">
        <v>3</v>
      </c>
    </row>
    <row r="266" spans="1:3" x14ac:dyDescent="0.3">
      <c r="A266">
        <f t="shared" si="6"/>
        <v>265</v>
      </c>
      <c r="B266">
        <v>2017</v>
      </c>
      <c r="C266">
        <v>3</v>
      </c>
    </row>
    <row r="267" spans="1:3" x14ac:dyDescent="0.3">
      <c r="A267">
        <f t="shared" si="6"/>
        <v>266</v>
      </c>
      <c r="B267">
        <v>2014</v>
      </c>
      <c r="C267">
        <v>3</v>
      </c>
    </row>
    <row r="268" spans="1:3" x14ac:dyDescent="0.3">
      <c r="A268">
        <f t="shared" si="6"/>
        <v>267</v>
      </c>
      <c r="B268">
        <v>2014</v>
      </c>
      <c r="C268">
        <v>3</v>
      </c>
    </row>
    <row r="269" spans="1:3" x14ac:dyDescent="0.3">
      <c r="A269">
        <f t="shared" si="6"/>
        <v>268</v>
      </c>
      <c r="B269">
        <v>2012</v>
      </c>
      <c r="C269">
        <v>3</v>
      </c>
    </row>
    <row r="270" spans="1:3" x14ac:dyDescent="0.3">
      <c r="A270">
        <f t="shared" si="6"/>
        <v>269</v>
      </c>
      <c r="B270">
        <v>2012</v>
      </c>
      <c r="C270">
        <v>3</v>
      </c>
    </row>
    <row r="271" spans="1:3" x14ac:dyDescent="0.3">
      <c r="A271">
        <f t="shared" si="6"/>
        <v>270</v>
      </c>
      <c r="B271">
        <v>2010</v>
      </c>
      <c r="C271">
        <v>3</v>
      </c>
    </row>
    <row r="272" spans="1:3" x14ac:dyDescent="0.3">
      <c r="A272">
        <f t="shared" si="6"/>
        <v>271</v>
      </c>
      <c r="B272">
        <v>2024</v>
      </c>
      <c r="C272">
        <v>2</v>
      </c>
    </row>
    <row r="273" spans="1:3" x14ac:dyDescent="0.3">
      <c r="A273">
        <f t="shared" si="6"/>
        <v>272</v>
      </c>
      <c r="B273">
        <v>2024</v>
      </c>
      <c r="C273">
        <v>2</v>
      </c>
    </row>
    <row r="274" spans="1:3" x14ac:dyDescent="0.3">
      <c r="A274">
        <f t="shared" si="6"/>
        <v>273</v>
      </c>
      <c r="B274">
        <v>2023</v>
      </c>
      <c r="C274">
        <v>2</v>
      </c>
    </row>
    <row r="275" spans="1:3" x14ac:dyDescent="0.3">
      <c r="A275">
        <f t="shared" si="6"/>
        <v>274</v>
      </c>
      <c r="B275">
        <v>2023</v>
      </c>
      <c r="C275">
        <v>2</v>
      </c>
    </row>
    <row r="276" spans="1:3" x14ac:dyDescent="0.3">
      <c r="A276">
        <f t="shared" si="6"/>
        <v>275</v>
      </c>
      <c r="B276">
        <v>2023</v>
      </c>
      <c r="C276">
        <v>2</v>
      </c>
    </row>
    <row r="277" spans="1:3" x14ac:dyDescent="0.3">
      <c r="A277">
        <f t="shared" si="6"/>
        <v>276</v>
      </c>
      <c r="B277">
        <v>2023</v>
      </c>
      <c r="C277">
        <v>2</v>
      </c>
    </row>
    <row r="278" spans="1:3" x14ac:dyDescent="0.3">
      <c r="A278">
        <f t="shared" si="6"/>
        <v>277</v>
      </c>
      <c r="B278">
        <v>2023</v>
      </c>
      <c r="C278">
        <v>2</v>
      </c>
    </row>
    <row r="279" spans="1:3" x14ac:dyDescent="0.3">
      <c r="A279">
        <f t="shared" si="6"/>
        <v>278</v>
      </c>
      <c r="B279">
        <v>2024</v>
      </c>
      <c r="C279">
        <v>2</v>
      </c>
    </row>
    <row r="280" spans="1:3" x14ac:dyDescent="0.3">
      <c r="A280">
        <f t="shared" si="6"/>
        <v>279</v>
      </c>
      <c r="B280">
        <v>2023</v>
      </c>
      <c r="C280">
        <v>2</v>
      </c>
    </row>
    <row r="281" spans="1:3" x14ac:dyDescent="0.3">
      <c r="A281">
        <f t="shared" si="6"/>
        <v>280</v>
      </c>
      <c r="B281">
        <v>2023</v>
      </c>
      <c r="C281">
        <v>2</v>
      </c>
    </row>
    <row r="282" spans="1:3" x14ac:dyDescent="0.3">
      <c r="A282">
        <f t="shared" si="6"/>
        <v>281</v>
      </c>
      <c r="B282">
        <v>2023</v>
      </c>
      <c r="C282">
        <v>2</v>
      </c>
    </row>
    <row r="283" spans="1:3" x14ac:dyDescent="0.3">
      <c r="A283">
        <f t="shared" si="6"/>
        <v>282</v>
      </c>
      <c r="B283">
        <v>2023</v>
      </c>
      <c r="C283">
        <v>2</v>
      </c>
    </row>
    <row r="284" spans="1:3" x14ac:dyDescent="0.3">
      <c r="A284">
        <f t="shared" si="6"/>
        <v>283</v>
      </c>
      <c r="B284">
        <v>2022</v>
      </c>
      <c r="C284">
        <v>2</v>
      </c>
    </row>
    <row r="285" spans="1:3" x14ac:dyDescent="0.3">
      <c r="A285">
        <f t="shared" si="6"/>
        <v>284</v>
      </c>
      <c r="B285">
        <v>2024</v>
      </c>
      <c r="C285">
        <v>2</v>
      </c>
    </row>
    <row r="286" spans="1:3" x14ac:dyDescent="0.3">
      <c r="A286">
        <f t="shared" si="6"/>
        <v>285</v>
      </c>
      <c r="B286">
        <v>2022</v>
      </c>
      <c r="C286">
        <v>2</v>
      </c>
    </row>
    <row r="287" spans="1:3" x14ac:dyDescent="0.3">
      <c r="A287">
        <f t="shared" si="6"/>
        <v>286</v>
      </c>
      <c r="B287">
        <v>2022</v>
      </c>
      <c r="C287">
        <v>2</v>
      </c>
    </row>
    <row r="288" spans="1:3" x14ac:dyDescent="0.3">
      <c r="A288">
        <f t="shared" si="6"/>
        <v>287</v>
      </c>
      <c r="B288">
        <v>2022</v>
      </c>
      <c r="C288">
        <v>2</v>
      </c>
    </row>
    <row r="289" spans="1:3" x14ac:dyDescent="0.3">
      <c r="A289">
        <f t="shared" si="6"/>
        <v>288</v>
      </c>
      <c r="B289">
        <v>2022</v>
      </c>
      <c r="C289">
        <v>2</v>
      </c>
    </row>
    <row r="290" spans="1:3" x14ac:dyDescent="0.3">
      <c r="A290">
        <f t="shared" si="6"/>
        <v>289</v>
      </c>
      <c r="B290">
        <v>2022</v>
      </c>
      <c r="C290">
        <v>2</v>
      </c>
    </row>
    <row r="291" spans="1:3" x14ac:dyDescent="0.3">
      <c r="A291">
        <f t="shared" si="6"/>
        <v>290</v>
      </c>
      <c r="B291">
        <v>2022</v>
      </c>
      <c r="C291">
        <v>2</v>
      </c>
    </row>
    <row r="292" spans="1:3" x14ac:dyDescent="0.3">
      <c r="A292">
        <f t="shared" si="6"/>
        <v>291</v>
      </c>
      <c r="B292">
        <v>2022</v>
      </c>
      <c r="C292">
        <v>2</v>
      </c>
    </row>
    <row r="293" spans="1:3" x14ac:dyDescent="0.3">
      <c r="A293">
        <f t="shared" si="6"/>
        <v>292</v>
      </c>
      <c r="B293">
        <v>2022</v>
      </c>
      <c r="C293">
        <v>2</v>
      </c>
    </row>
    <row r="294" spans="1:3" x14ac:dyDescent="0.3">
      <c r="A294">
        <f t="shared" si="6"/>
        <v>293</v>
      </c>
      <c r="B294">
        <v>2022</v>
      </c>
      <c r="C294">
        <v>2</v>
      </c>
    </row>
    <row r="295" spans="1:3" x14ac:dyDescent="0.3">
      <c r="A295">
        <f t="shared" si="6"/>
        <v>294</v>
      </c>
      <c r="B295">
        <v>2021</v>
      </c>
      <c r="C295">
        <v>2</v>
      </c>
    </row>
    <row r="296" spans="1:3" x14ac:dyDescent="0.3">
      <c r="A296">
        <f t="shared" si="6"/>
        <v>295</v>
      </c>
      <c r="B296">
        <v>2021</v>
      </c>
      <c r="C296">
        <v>2</v>
      </c>
    </row>
    <row r="297" spans="1:3" x14ac:dyDescent="0.3">
      <c r="A297">
        <f t="shared" si="6"/>
        <v>296</v>
      </c>
      <c r="B297">
        <v>2021</v>
      </c>
      <c r="C297">
        <v>2</v>
      </c>
    </row>
    <row r="298" spans="1:3" x14ac:dyDescent="0.3">
      <c r="A298">
        <f t="shared" si="6"/>
        <v>297</v>
      </c>
      <c r="B298">
        <v>2020</v>
      </c>
      <c r="C298">
        <v>2</v>
      </c>
    </row>
    <row r="299" spans="1:3" x14ac:dyDescent="0.3">
      <c r="A299">
        <f t="shared" si="6"/>
        <v>298</v>
      </c>
      <c r="B299">
        <v>2020</v>
      </c>
      <c r="C299">
        <v>2</v>
      </c>
    </row>
    <row r="300" spans="1:3" x14ac:dyDescent="0.3">
      <c r="A300">
        <f t="shared" si="6"/>
        <v>299</v>
      </c>
      <c r="B300">
        <v>2019</v>
      </c>
      <c r="C300">
        <v>2</v>
      </c>
    </row>
    <row r="301" spans="1:3" x14ac:dyDescent="0.3">
      <c r="A301">
        <f t="shared" si="6"/>
        <v>300</v>
      </c>
      <c r="B301">
        <v>2019</v>
      </c>
      <c r="C301">
        <v>2</v>
      </c>
    </row>
    <row r="302" spans="1:3" x14ac:dyDescent="0.3">
      <c r="A302">
        <f t="shared" si="6"/>
        <v>301</v>
      </c>
      <c r="B302">
        <v>2019</v>
      </c>
      <c r="C302">
        <v>2</v>
      </c>
    </row>
    <row r="303" spans="1:3" x14ac:dyDescent="0.3">
      <c r="A303">
        <f t="shared" si="6"/>
        <v>302</v>
      </c>
      <c r="B303">
        <v>2019</v>
      </c>
      <c r="C303">
        <v>2</v>
      </c>
    </row>
    <row r="304" spans="1:3" x14ac:dyDescent="0.3">
      <c r="A304">
        <f t="shared" si="6"/>
        <v>303</v>
      </c>
      <c r="B304">
        <v>2019</v>
      </c>
      <c r="C304">
        <v>2</v>
      </c>
    </row>
    <row r="305" spans="1:3" x14ac:dyDescent="0.3">
      <c r="A305">
        <f t="shared" si="6"/>
        <v>304</v>
      </c>
      <c r="B305">
        <v>2018</v>
      </c>
      <c r="C305">
        <v>2</v>
      </c>
    </row>
    <row r="306" spans="1:3" x14ac:dyDescent="0.3">
      <c r="A306">
        <f t="shared" si="6"/>
        <v>305</v>
      </c>
      <c r="B306">
        <v>2018</v>
      </c>
      <c r="C306">
        <v>2</v>
      </c>
    </row>
    <row r="307" spans="1:3" x14ac:dyDescent="0.3">
      <c r="A307">
        <f t="shared" si="6"/>
        <v>306</v>
      </c>
      <c r="B307">
        <v>2018</v>
      </c>
      <c r="C307">
        <v>2</v>
      </c>
    </row>
    <row r="308" spans="1:3" x14ac:dyDescent="0.3">
      <c r="A308">
        <f t="shared" si="6"/>
        <v>307</v>
      </c>
      <c r="B308">
        <v>2017</v>
      </c>
      <c r="C308">
        <v>2</v>
      </c>
    </row>
    <row r="309" spans="1:3" x14ac:dyDescent="0.3">
      <c r="A309">
        <f t="shared" si="6"/>
        <v>308</v>
      </c>
      <c r="B309">
        <v>2017</v>
      </c>
      <c r="C309">
        <v>2</v>
      </c>
    </row>
    <row r="310" spans="1:3" x14ac:dyDescent="0.3">
      <c r="A310">
        <f t="shared" si="6"/>
        <v>309</v>
      </c>
      <c r="B310">
        <v>2016</v>
      </c>
      <c r="C310">
        <v>2</v>
      </c>
    </row>
    <row r="311" spans="1:3" x14ac:dyDescent="0.3">
      <c r="A311">
        <f t="shared" si="6"/>
        <v>310</v>
      </c>
      <c r="B311">
        <v>2016</v>
      </c>
      <c r="C311">
        <v>2</v>
      </c>
    </row>
    <row r="312" spans="1:3" x14ac:dyDescent="0.3">
      <c r="A312">
        <f t="shared" si="6"/>
        <v>311</v>
      </c>
      <c r="B312">
        <v>2016</v>
      </c>
      <c r="C312">
        <v>2</v>
      </c>
    </row>
    <row r="313" spans="1:3" x14ac:dyDescent="0.3">
      <c r="A313">
        <f t="shared" si="6"/>
        <v>312</v>
      </c>
      <c r="B313">
        <v>2016</v>
      </c>
      <c r="C313">
        <v>2</v>
      </c>
    </row>
    <row r="314" spans="1:3" x14ac:dyDescent="0.3">
      <c r="A314">
        <f t="shared" si="6"/>
        <v>313</v>
      </c>
      <c r="B314">
        <v>2015</v>
      </c>
      <c r="C314">
        <v>2</v>
      </c>
    </row>
    <row r="315" spans="1:3" x14ac:dyDescent="0.3">
      <c r="A315">
        <f t="shared" si="6"/>
        <v>314</v>
      </c>
      <c r="B315">
        <v>2014</v>
      </c>
      <c r="C315">
        <v>2</v>
      </c>
    </row>
    <row r="316" spans="1:3" x14ac:dyDescent="0.3">
      <c r="A316">
        <f t="shared" si="6"/>
        <v>315</v>
      </c>
      <c r="B316">
        <v>2014</v>
      </c>
      <c r="C316">
        <v>2</v>
      </c>
    </row>
    <row r="317" spans="1:3" x14ac:dyDescent="0.3">
      <c r="A317">
        <f t="shared" si="6"/>
        <v>316</v>
      </c>
      <c r="B317">
        <v>2013</v>
      </c>
      <c r="C317">
        <v>2</v>
      </c>
    </row>
    <row r="318" spans="1:3" x14ac:dyDescent="0.3">
      <c r="A318">
        <f t="shared" si="6"/>
        <v>317</v>
      </c>
      <c r="B318">
        <v>2012</v>
      </c>
      <c r="C318">
        <v>2</v>
      </c>
    </row>
    <row r="319" spans="1:3" x14ac:dyDescent="0.3">
      <c r="A319">
        <f t="shared" si="6"/>
        <v>318</v>
      </c>
      <c r="B319">
        <v>2008</v>
      </c>
      <c r="C319">
        <v>2</v>
      </c>
    </row>
    <row r="320" spans="1:3" x14ac:dyDescent="0.3">
      <c r="A320">
        <f t="shared" si="6"/>
        <v>319</v>
      </c>
      <c r="B320">
        <v>2008</v>
      </c>
      <c r="C320">
        <v>2</v>
      </c>
    </row>
    <row r="321" spans="1:3" x14ac:dyDescent="0.3">
      <c r="A321">
        <f t="shared" si="6"/>
        <v>320</v>
      </c>
      <c r="B321">
        <v>2006</v>
      </c>
      <c r="C321">
        <v>2</v>
      </c>
    </row>
    <row r="322" spans="1:3" x14ac:dyDescent="0.3">
      <c r="A322">
        <f t="shared" si="6"/>
        <v>321</v>
      </c>
      <c r="B322">
        <v>2024</v>
      </c>
      <c r="C322">
        <v>1</v>
      </c>
    </row>
    <row r="323" spans="1:3" x14ac:dyDescent="0.3">
      <c r="A323">
        <f t="shared" si="6"/>
        <v>322</v>
      </c>
      <c r="B323">
        <v>2024</v>
      </c>
      <c r="C323">
        <v>1</v>
      </c>
    </row>
    <row r="324" spans="1:3" x14ac:dyDescent="0.3">
      <c r="A324">
        <f t="shared" ref="A324:A387" si="7">+A323+1</f>
        <v>323</v>
      </c>
      <c r="B324">
        <v>2024</v>
      </c>
      <c r="C324">
        <v>1</v>
      </c>
    </row>
    <row r="325" spans="1:3" x14ac:dyDescent="0.3">
      <c r="A325">
        <f t="shared" si="7"/>
        <v>324</v>
      </c>
      <c r="B325">
        <v>2024</v>
      </c>
      <c r="C325">
        <v>1</v>
      </c>
    </row>
    <row r="326" spans="1:3" x14ac:dyDescent="0.3">
      <c r="A326">
        <f t="shared" si="7"/>
        <v>325</v>
      </c>
      <c r="B326">
        <v>2024</v>
      </c>
      <c r="C326">
        <v>1</v>
      </c>
    </row>
    <row r="327" spans="1:3" x14ac:dyDescent="0.3">
      <c r="A327">
        <f t="shared" si="7"/>
        <v>326</v>
      </c>
      <c r="B327">
        <v>2024</v>
      </c>
      <c r="C327">
        <v>1</v>
      </c>
    </row>
    <row r="328" spans="1:3" x14ac:dyDescent="0.3">
      <c r="A328">
        <f t="shared" si="7"/>
        <v>327</v>
      </c>
      <c r="B328">
        <v>2024</v>
      </c>
      <c r="C328">
        <v>1</v>
      </c>
    </row>
    <row r="329" spans="1:3" x14ac:dyDescent="0.3">
      <c r="A329">
        <f t="shared" si="7"/>
        <v>328</v>
      </c>
      <c r="B329">
        <v>2024</v>
      </c>
      <c r="C329">
        <v>1</v>
      </c>
    </row>
    <row r="330" spans="1:3" x14ac:dyDescent="0.3">
      <c r="A330">
        <f t="shared" si="7"/>
        <v>329</v>
      </c>
      <c r="B330">
        <v>2023</v>
      </c>
      <c r="C330">
        <v>1</v>
      </c>
    </row>
    <row r="331" spans="1:3" x14ac:dyDescent="0.3">
      <c r="A331">
        <f t="shared" si="7"/>
        <v>330</v>
      </c>
      <c r="B331">
        <v>2023</v>
      </c>
      <c r="C331">
        <v>1</v>
      </c>
    </row>
    <row r="332" spans="1:3" x14ac:dyDescent="0.3">
      <c r="A332">
        <f t="shared" si="7"/>
        <v>331</v>
      </c>
      <c r="B332">
        <v>2024</v>
      </c>
      <c r="C332">
        <v>1</v>
      </c>
    </row>
    <row r="333" spans="1:3" x14ac:dyDescent="0.3">
      <c r="A333">
        <f t="shared" si="7"/>
        <v>332</v>
      </c>
      <c r="B333">
        <v>2023</v>
      </c>
      <c r="C333">
        <v>1</v>
      </c>
    </row>
    <row r="334" spans="1:3" x14ac:dyDescent="0.3">
      <c r="A334">
        <f t="shared" si="7"/>
        <v>333</v>
      </c>
      <c r="B334">
        <v>2023</v>
      </c>
      <c r="C334">
        <v>1</v>
      </c>
    </row>
    <row r="335" spans="1:3" x14ac:dyDescent="0.3">
      <c r="A335">
        <f t="shared" si="7"/>
        <v>334</v>
      </c>
      <c r="B335">
        <v>2023</v>
      </c>
      <c r="C335">
        <v>1</v>
      </c>
    </row>
    <row r="336" spans="1:3" x14ac:dyDescent="0.3">
      <c r="A336">
        <f t="shared" si="7"/>
        <v>335</v>
      </c>
      <c r="B336">
        <v>2023</v>
      </c>
      <c r="C336">
        <v>1</v>
      </c>
    </row>
    <row r="337" spans="1:3" x14ac:dyDescent="0.3">
      <c r="A337">
        <f t="shared" si="7"/>
        <v>336</v>
      </c>
      <c r="B337">
        <v>2023</v>
      </c>
      <c r="C337">
        <v>1</v>
      </c>
    </row>
    <row r="338" spans="1:3" x14ac:dyDescent="0.3">
      <c r="A338">
        <f t="shared" si="7"/>
        <v>337</v>
      </c>
      <c r="B338">
        <v>2023</v>
      </c>
      <c r="C338">
        <v>1</v>
      </c>
    </row>
    <row r="339" spans="1:3" x14ac:dyDescent="0.3">
      <c r="A339">
        <f t="shared" si="7"/>
        <v>338</v>
      </c>
      <c r="B339">
        <v>2023</v>
      </c>
      <c r="C339">
        <v>1</v>
      </c>
    </row>
    <row r="340" spans="1:3" x14ac:dyDescent="0.3">
      <c r="A340">
        <f t="shared" si="7"/>
        <v>339</v>
      </c>
      <c r="B340">
        <v>2023</v>
      </c>
      <c r="C340">
        <v>1</v>
      </c>
    </row>
    <row r="341" spans="1:3" x14ac:dyDescent="0.3">
      <c r="A341">
        <f t="shared" si="7"/>
        <v>340</v>
      </c>
      <c r="B341">
        <v>2023</v>
      </c>
      <c r="C341">
        <v>1</v>
      </c>
    </row>
    <row r="342" spans="1:3" x14ac:dyDescent="0.3">
      <c r="A342">
        <f t="shared" si="7"/>
        <v>341</v>
      </c>
      <c r="B342">
        <v>2023</v>
      </c>
      <c r="C342">
        <v>1</v>
      </c>
    </row>
    <row r="343" spans="1:3" x14ac:dyDescent="0.3">
      <c r="A343">
        <f t="shared" si="7"/>
        <v>342</v>
      </c>
      <c r="B343">
        <v>2023</v>
      </c>
      <c r="C343">
        <v>1</v>
      </c>
    </row>
    <row r="344" spans="1:3" x14ac:dyDescent="0.3">
      <c r="A344">
        <f t="shared" si="7"/>
        <v>343</v>
      </c>
      <c r="B344">
        <v>2022</v>
      </c>
      <c r="C344">
        <v>1</v>
      </c>
    </row>
    <row r="345" spans="1:3" x14ac:dyDescent="0.3">
      <c r="A345">
        <f t="shared" si="7"/>
        <v>344</v>
      </c>
      <c r="B345">
        <v>2023</v>
      </c>
      <c r="C345">
        <v>1</v>
      </c>
    </row>
    <row r="346" spans="1:3" x14ac:dyDescent="0.3">
      <c r="A346">
        <f t="shared" si="7"/>
        <v>345</v>
      </c>
      <c r="B346">
        <v>2022</v>
      </c>
      <c r="C346">
        <v>1</v>
      </c>
    </row>
    <row r="347" spans="1:3" x14ac:dyDescent="0.3">
      <c r="A347">
        <f t="shared" si="7"/>
        <v>346</v>
      </c>
      <c r="B347">
        <v>2022</v>
      </c>
      <c r="C347">
        <v>1</v>
      </c>
    </row>
    <row r="348" spans="1:3" x14ac:dyDescent="0.3">
      <c r="A348">
        <f t="shared" si="7"/>
        <v>347</v>
      </c>
      <c r="B348">
        <v>2022</v>
      </c>
      <c r="C348">
        <v>1</v>
      </c>
    </row>
    <row r="349" spans="1:3" x14ac:dyDescent="0.3">
      <c r="A349">
        <f t="shared" si="7"/>
        <v>348</v>
      </c>
      <c r="B349">
        <v>2022</v>
      </c>
      <c r="C349">
        <v>1</v>
      </c>
    </row>
    <row r="350" spans="1:3" x14ac:dyDescent="0.3">
      <c r="A350">
        <f t="shared" si="7"/>
        <v>349</v>
      </c>
      <c r="B350">
        <v>2022</v>
      </c>
      <c r="C350">
        <v>1</v>
      </c>
    </row>
    <row r="351" spans="1:3" x14ac:dyDescent="0.3">
      <c r="A351">
        <f t="shared" si="7"/>
        <v>350</v>
      </c>
      <c r="B351">
        <v>2022</v>
      </c>
      <c r="C351">
        <v>1</v>
      </c>
    </row>
    <row r="352" spans="1:3" x14ac:dyDescent="0.3">
      <c r="A352">
        <f t="shared" si="7"/>
        <v>351</v>
      </c>
      <c r="B352">
        <v>2022</v>
      </c>
      <c r="C352">
        <v>1</v>
      </c>
    </row>
    <row r="353" spans="1:3" x14ac:dyDescent="0.3">
      <c r="A353">
        <f t="shared" si="7"/>
        <v>352</v>
      </c>
      <c r="B353">
        <v>2022</v>
      </c>
      <c r="C353">
        <v>1</v>
      </c>
    </row>
    <row r="354" spans="1:3" x14ac:dyDescent="0.3">
      <c r="A354">
        <f t="shared" si="7"/>
        <v>353</v>
      </c>
      <c r="B354">
        <v>2022</v>
      </c>
      <c r="C354">
        <v>1</v>
      </c>
    </row>
    <row r="355" spans="1:3" x14ac:dyDescent="0.3">
      <c r="A355">
        <f t="shared" si="7"/>
        <v>354</v>
      </c>
      <c r="B355">
        <v>2022</v>
      </c>
      <c r="C355">
        <v>1</v>
      </c>
    </row>
    <row r="356" spans="1:3" x14ac:dyDescent="0.3">
      <c r="A356">
        <f t="shared" si="7"/>
        <v>355</v>
      </c>
      <c r="B356">
        <v>2022</v>
      </c>
      <c r="C356">
        <v>1</v>
      </c>
    </row>
    <row r="357" spans="1:3" x14ac:dyDescent="0.3">
      <c r="A357">
        <f t="shared" si="7"/>
        <v>356</v>
      </c>
      <c r="B357">
        <v>2021</v>
      </c>
      <c r="C357">
        <v>1</v>
      </c>
    </row>
    <row r="358" spans="1:3" x14ac:dyDescent="0.3">
      <c r="A358">
        <f t="shared" si="7"/>
        <v>357</v>
      </c>
      <c r="B358">
        <v>2021</v>
      </c>
      <c r="C358">
        <v>1</v>
      </c>
    </row>
    <row r="359" spans="1:3" x14ac:dyDescent="0.3">
      <c r="A359">
        <f t="shared" si="7"/>
        <v>358</v>
      </c>
      <c r="B359">
        <v>2022</v>
      </c>
      <c r="C359">
        <v>1</v>
      </c>
    </row>
    <row r="360" spans="1:3" x14ac:dyDescent="0.3">
      <c r="A360">
        <f t="shared" si="7"/>
        <v>359</v>
      </c>
      <c r="B360">
        <v>2022</v>
      </c>
      <c r="C360">
        <v>1</v>
      </c>
    </row>
    <row r="361" spans="1:3" x14ac:dyDescent="0.3">
      <c r="A361">
        <f t="shared" si="7"/>
        <v>360</v>
      </c>
      <c r="B361">
        <v>2021</v>
      </c>
      <c r="C361">
        <v>1</v>
      </c>
    </row>
    <row r="362" spans="1:3" x14ac:dyDescent="0.3">
      <c r="A362">
        <f t="shared" si="7"/>
        <v>361</v>
      </c>
      <c r="B362">
        <v>2021</v>
      </c>
      <c r="C362">
        <v>1</v>
      </c>
    </row>
    <row r="363" spans="1:3" x14ac:dyDescent="0.3">
      <c r="A363">
        <f t="shared" si="7"/>
        <v>362</v>
      </c>
      <c r="B363">
        <v>2021</v>
      </c>
      <c r="C363">
        <v>1</v>
      </c>
    </row>
    <row r="364" spans="1:3" x14ac:dyDescent="0.3">
      <c r="A364">
        <f t="shared" si="7"/>
        <v>363</v>
      </c>
      <c r="B364">
        <v>2021</v>
      </c>
      <c r="C364">
        <v>1</v>
      </c>
    </row>
    <row r="365" spans="1:3" x14ac:dyDescent="0.3">
      <c r="A365">
        <f t="shared" si="7"/>
        <v>364</v>
      </c>
      <c r="B365">
        <v>2021</v>
      </c>
      <c r="C365">
        <v>1</v>
      </c>
    </row>
    <row r="366" spans="1:3" x14ac:dyDescent="0.3">
      <c r="A366">
        <f t="shared" si="7"/>
        <v>365</v>
      </c>
      <c r="B366">
        <v>2021</v>
      </c>
      <c r="C366">
        <v>1</v>
      </c>
    </row>
    <row r="367" spans="1:3" x14ac:dyDescent="0.3">
      <c r="A367">
        <f t="shared" si="7"/>
        <v>366</v>
      </c>
      <c r="B367">
        <v>2020</v>
      </c>
      <c r="C367">
        <v>1</v>
      </c>
    </row>
    <row r="368" spans="1:3" x14ac:dyDescent="0.3">
      <c r="A368">
        <f t="shared" si="7"/>
        <v>367</v>
      </c>
      <c r="B368">
        <v>2020</v>
      </c>
      <c r="C368">
        <v>1</v>
      </c>
    </row>
    <row r="369" spans="1:3" x14ac:dyDescent="0.3">
      <c r="A369">
        <f t="shared" si="7"/>
        <v>368</v>
      </c>
      <c r="B369">
        <v>2020</v>
      </c>
      <c r="C369">
        <v>1</v>
      </c>
    </row>
    <row r="370" spans="1:3" x14ac:dyDescent="0.3">
      <c r="A370">
        <f t="shared" si="7"/>
        <v>369</v>
      </c>
      <c r="B370">
        <v>2020</v>
      </c>
      <c r="C370">
        <v>1</v>
      </c>
    </row>
    <row r="371" spans="1:3" x14ac:dyDescent="0.3">
      <c r="A371">
        <f t="shared" si="7"/>
        <v>370</v>
      </c>
      <c r="B371">
        <v>2020</v>
      </c>
      <c r="C371">
        <v>1</v>
      </c>
    </row>
    <row r="372" spans="1:3" x14ac:dyDescent="0.3">
      <c r="A372">
        <f t="shared" si="7"/>
        <v>371</v>
      </c>
      <c r="B372">
        <v>2019</v>
      </c>
      <c r="C372">
        <v>1</v>
      </c>
    </row>
    <row r="373" spans="1:3" x14ac:dyDescent="0.3">
      <c r="A373">
        <f t="shared" si="7"/>
        <v>372</v>
      </c>
      <c r="B373">
        <v>2019</v>
      </c>
      <c r="C373">
        <v>1</v>
      </c>
    </row>
    <row r="374" spans="1:3" x14ac:dyDescent="0.3">
      <c r="A374">
        <f t="shared" si="7"/>
        <v>373</v>
      </c>
      <c r="B374">
        <v>2019</v>
      </c>
      <c r="C374">
        <v>1</v>
      </c>
    </row>
    <row r="375" spans="1:3" x14ac:dyDescent="0.3">
      <c r="A375">
        <f t="shared" si="7"/>
        <v>374</v>
      </c>
      <c r="B375">
        <v>2019</v>
      </c>
      <c r="C375">
        <v>1</v>
      </c>
    </row>
    <row r="376" spans="1:3" x14ac:dyDescent="0.3">
      <c r="A376">
        <f t="shared" si="7"/>
        <v>375</v>
      </c>
      <c r="B376">
        <v>2019</v>
      </c>
      <c r="C376">
        <v>1</v>
      </c>
    </row>
    <row r="377" spans="1:3" x14ac:dyDescent="0.3">
      <c r="A377">
        <f t="shared" si="7"/>
        <v>376</v>
      </c>
      <c r="B377">
        <v>2019</v>
      </c>
      <c r="C377">
        <v>1</v>
      </c>
    </row>
    <row r="378" spans="1:3" x14ac:dyDescent="0.3">
      <c r="A378">
        <f t="shared" si="7"/>
        <v>377</v>
      </c>
      <c r="B378">
        <v>2019</v>
      </c>
      <c r="C378">
        <v>1</v>
      </c>
    </row>
    <row r="379" spans="1:3" x14ac:dyDescent="0.3">
      <c r="A379">
        <f t="shared" si="7"/>
        <v>378</v>
      </c>
      <c r="B379">
        <v>2019</v>
      </c>
      <c r="C379">
        <v>1</v>
      </c>
    </row>
    <row r="380" spans="1:3" x14ac:dyDescent="0.3">
      <c r="A380">
        <f t="shared" si="7"/>
        <v>379</v>
      </c>
      <c r="B380">
        <v>2018</v>
      </c>
      <c r="C380">
        <v>1</v>
      </c>
    </row>
    <row r="381" spans="1:3" x14ac:dyDescent="0.3">
      <c r="A381">
        <f t="shared" si="7"/>
        <v>380</v>
      </c>
      <c r="B381">
        <v>2018</v>
      </c>
      <c r="C381">
        <v>1</v>
      </c>
    </row>
    <row r="382" spans="1:3" x14ac:dyDescent="0.3">
      <c r="A382">
        <f t="shared" si="7"/>
        <v>381</v>
      </c>
      <c r="B382">
        <v>2018</v>
      </c>
      <c r="C382">
        <v>1</v>
      </c>
    </row>
    <row r="383" spans="1:3" x14ac:dyDescent="0.3">
      <c r="A383">
        <f t="shared" si="7"/>
        <v>382</v>
      </c>
      <c r="B383">
        <v>2017</v>
      </c>
      <c r="C383">
        <v>1</v>
      </c>
    </row>
    <row r="384" spans="1:3" x14ac:dyDescent="0.3">
      <c r="A384">
        <f t="shared" si="7"/>
        <v>383</v>
      </c>
      <c r="B384">
        <v>2017</v>
      </c>
      <c r="C384">
        <v>1</v>
      </c>
    </row>
    <row r="385" spans="1:3" x14ac:dyDescent="0.3">
      <c r="A385">
        <f t="shared" si="7"/>
        <v>384</v>
      </c>
      <c r="B385">
        <v>2017</v>
      </c>
      <c r="C385">
        <v>1</v>
      </c>
    </row>
    <row r="386" spans="1:3" x14ac:dyDescent="0.3">
      <c r="A386">
        <f t="shared" si="7"/>
        <v>385</v>
      </c>
      <c r="B386">
        <v>2017</v>
      </c>
      <c r="C386">
        <v>1</v>
      </c>
    </row>
    <row r="387" spans="1:3" x14ac:dyDescent="0.3">
      <c r="A387">
        <f t="shared" si="7"/>
        <v>386</v>
      </c>
      <c r="B387">
        <v>2017</v>
      </c>
      <c r="C387">
        <v>1</v>
      </c>
    </row>
    <row r="388" spans="1:3" x14ac:dyDescent="0.3">
      <c r="A388">
        <f t="shared" ref="A388:A451" si="8">+A387+1</f>
        <v>387</v>
      </c>
      <c r="B388">
        <v>2017</v>
      </c>
      <c r="C388">
        <v>1</v>
      </c>
    </row>
    <row r="389" spans="1:3" x14ac:dyDescent="0.3">
      <c r="A389">
        <f t="shared" si="8"/>
        <v>388</v>
      </c>
      <c r="B389">
        <v>2017</v>
      </c>
      <c r="C389">
        <v>1</v>
      </c>
    </row>
    <row r="390" spans="1:3" x14ac:dyDescent="0.3">
      <c r="A390">
        <f t="shared" si="8"/>
        <v>389</v>
      </c>
      <c r="B390">
        <v>2016</v>
      </c>
      <c r="C390">
        <v>1</v>
      </c>
    </row>
    <row r="391" spans="1:3" x14ac:dyDescent="0.3">
      <c r="A391">
        <f t="shared" si="8"/>
        <v>390</v>
      </c>
      <c r="B391">
        <v>2015</v>
      </c>
      <c r="C391">
        <v>1</v>
      </c>
    </row>
    <row r="392" spans="1:3" x14ac:dyDescent="0.3">
      <c r="A392">
        <f t="shared" si="8"/>
        <v>391</v>
      </c>
      <c r="B392">
        <v>2014</v>
      </c>
      <c r="C392">
        <v>1</v>
      </c>
    </row>
    <row r="393" spans="1:3" x14ac:dyDescent="0.3">
      <c r="A393">
        <f t="shared" si="8"/>
        <v>392</v>
      </c>
      <c r="B393">
        <v>2014</v>
      </c>
      <c r="C393">
        <v>1</v>
      </c>
    </row>
    <row r="394" spans="1:3" x14ac:dyDescent="0.3">
      <c r="A394">
        <f t="shared" si="8"/>
        <v>393</v>
      </c>
      <c r="B394">
        <v>2014</v>
      </c>
      <c r="C394">
        <v>1</v>
      </c>
    </row>
    <row r="395" spans="1:3" x14ac:dyDescent="0.3">
      <c r="A395">
        <f t="shared" si="8"/>
        <v>394</v>
      </c>
      <c r="B395">
        <v>2014</v>
      </c>
      <c r="C395">
        <v>1</v>
      </c>
    </row>
    <row r="396" spans="1:3" x14ac:dyDescent="0.3">
      <c r="A396">
        <f t="shared" si="8"/>
        <v>395</v>
      </c>
      <c r="B396">
        <v>2012</v>
      </c>
      <c r="C396">
        <v>1</v>
      </c>
    </row>
    <row r="397" spans="1:3" x14ac:dyDescent="0.3">
      <c r="A397">
        <f t="shared" si="8"/>
        <v>396</v>
      </c>
      <c r="B397">
        <v>2012</v>
      </c>
      <c r="C397">
        <v>1</v>
      </c>
    </row>
    <row r="398" spans="1:3" x14ac:dyDescent="0.3">
      <c r="A398">
        <f t="shared" si="8"/>
        <v>397</v>
      </c>
      <c r="B398">
        <v>2011</v>
      </c>
      <c r="C398">
        <v>1</v>
      </c>
    </row>
    <row r="399" spans="1:3" x14ac:dyDescent="0.3">
      <c r="A399">
        <f t="shared" si="8"/>
        <v>398</v>
      </c>
      <c r="B399">
        <v>2011</v>
      </c>
      <c r="C399">
        <v>1</v>
      </c>
    </row>
    <row r="400" spans="1:3" x14ac:dyDescent="0.3">
      <c r="A400">
        <f t="shared" si="8"/>
        <v>399</v>
      </c>
      <c r="B400">
        <v>2008</v>
      </c>
      <c r="C400">
        <v>1</v>
      </c>
    </row>
    <row r="401" spans="1:3" x14ac:dyDescent="0.3">
      <c r="A401">
        <f t="shared" si="8"/>
        <v>400</v>
      </c>
      <c r="B401">
        <v>2006</v>
      </c>
      <c r="C401">
        <v>1</v>
      </c>
    </row>
    <row r="402" spans="1:3" x14ac:dyDescent="0.3">
      <c r="A402">
        <f t="shared" si="8"/>
        <v>401</v>
      </c>
      <c r="B402">
        <v>1999</v>
      </c>
      <c r="C402">
        <v>1</v>
      </c>
    </row>
    <row r="403" spans="1:3" x14ac:dyDescent="0.3">
      <c r="A403">
        <f t="shared" si="8"/>
        <v>402</v>
      </c>
      <c r="B403">
        <v>1999</v>
      </c>
      <c r="C403">
        <v>1</v>
      </c>
    </row>
    <row r="404" spans="1:3" x14ac:dyDescent="0.3">
      <c r="A404">
        <f t="shared" si="8"/>
        <v>403</v>
      </c>
      <c r="B404">
        <v>1998</v>
      </c>
      <c r="C404">
        <v>1</v>
      </c>
    </row>
    <row r="405" spans="1:3" x14ac:dyDescent="0.3">
      <c r="A405">
        <f t="shared" si="8"/>
        <v>404</v>
      </c>
      <c r="B405">
        <v>2024</v>
      </c>
      <c r="C405">
        <v>0</v>
      </c>
    </row>
    <row r="406" spans="1:3" x14ac:dyDescent="0.3">
      <c r="A406">
        <f t="shared" si="8"/>
        <v>405</v>
      </c>
      <c r="B406">
        <v>2024</v>
      </c>
      <c r="C406">
        <v>0</v>
      </c>
    </row>
    <row r="407" spans="1:3" x14ac:dyDescent="0.3">
      <c r="A407">
        <f t="shared" si="8"/>
        <v>406</v>
      </c>
      <c r="B407">
        <v>2024</v>
      </c>
      <c r="C407">
        <v>0</v>
      </c>
    </row>
    <row r="408" spans="1:3" x14ac:dyDescent="0.3">
      <c r="A408">
        <f t="shared" si="8"/>
        <v>407</v>
      </c>
      <c r="B408">
        <v>2024</v>
      </c>
      <c r="C408">
        <v>0</v>
      </c>
    </row>
    <row r="409" spans="1:3" x14ac:dyDescent="0.3">
      <c r="A409">
        <f t="shared" si="8"/>
        <v>408</v>
      </c>
      <c r="B409">
        <v>2024</v>
      </c>
      <c r="C409">
        <v>0</v>
      </c>
    </row>
    <row r="410" spans="1:3" x14ac:dyDescent="0.3">
      <c r="A410">
        <f t="shared" si="8"/>
        <v>409</v>
      </c>
      <c r="B410">
        <v>2024</v>
      </c>
      <c r="C410">
        <v>0</v>
      </c>
    </row>
    <row r="411" spans="1:3" x14ac:dyDescent="0.3">
      <c r="A411">
        <f t="shared" si="8"/>
        <v>410</v>
      </c>
      <c r="B411">
        <v>2024</v>
      </c>
      <c r="C411">
        <v>0</v>
      </c>
    </row>
    <row r="412" spans="1:3" x14ac:dyDescent="0.3">
      <c r="A412">
        <f t="shared" si="8"/>
        <v>411</v>
      </c>
      <c r="B412">
        <v>2024</v>
      </c>
      <c r="C412">
        <v>0</v>
      </c>
    </row>
    <row r="413" spans="1:3" x14ac:dyDescent="0.3">
      <c r="A413">
        <f t="shared" si="8"/>
        <v>412</v>
      </c>
      <c r="B413">
        <v>2024</v>
      </c>
      <c r="C413">
        <v>0</v>
      </c>
    </row>
    <row r="414" spans="1:3" x14ac:dyDescent="0.3">
      <c r="A414">
        <f t="shared" si="8"/>
        <v>413</v>
      </c>
      <c r="B414">
        <v>2024</v>
      </c>
      <c r="C414">
        <v>0</v>
      </c>
    </row>
    <row r="415" spans="1:3" x14ac:dyDescent="0.3">
      <c r="A415">
        <f t="shared" si="8"/>
        <v>414</v>
      </c>
      <c r="B415">
        <v>2024</v>
      </c>
      <c r="C415">
        <v>0</v>
      </c>
    </row>
    <row r="416" spans="1:3" x14ac:dyDescent="0.3">
      <c r="A416">
        <f t="shared" si="8"/>
        <v>415</v>
      </c>
      <c r="B416">
        <v>2024</v>
      </c>
      <c r="C416">
        <v>0</v>
      </c>
    </row>
    <row r="417" spans="1:3" x14ac:dyDescent="0.3">
      <c r="A417">
        <f t="shared" si="8"/>
        <v>416</v>
      </c>
      <c r="B417">
        <v>2024</v>
      </c>
      <c r="C417">
        <v>0</v>
      </c>
    </row>
    <row r="418" spans="1:3" x14ac:dyDescent="0.3">
      <c r="A418">
        <f t="shared" si="8"/>
        <v>417</v>
      </c>
      <c r="B418">
        <v>2024</v>
      </c>
      <c r="C418">
        <v>0</v>
      </c>
    </row>
    <row r="419" spans="1:3" x14ac:dyDescent="0.3">
      <c r="A419">
        <f t="shared" si="8"/>
        <v>418</v>
      </c>
      <c r="B419">
        <v>2024</v>
      </c>
      <c r="C419">
        <v>0</v>
      </c>
    </row>
    <row r="420" spans="1:3" x14ac:dyDescent="0.3">
      <c r="A420">
        <f t="shared" si="8"/>
        <v>419</v>
      </c>
      <c r="B420">
        <v>2024</v>
      </c>
      <c r="C420">
        <v>0</v>
      </c>
    </row>
    <row r="421" spans="1:3" x14ac:dyDescent="0.3">
      <c r="A421">
        <f t="shared" si="8"/>
        <v>420</v>
      </c>
      <c r="B421">
        <v>2024</v>
      </c>
      <c r="C421">
        <v>0</v>
      </c>
    </row>
    <row r="422" spans="1:3" x14ac:dyDescent="0.3">
      <c r="A422">
        <f t="shared" si="8"/>
        <v>421</v>
      </c>
      <c r="B422">
        <v>2024</v>
      </c>
      <c r="C422">
        <v>0</v>
      </c>
    </row>
    <row r="423" spans="1:3" x14ac:dyDescent="0.3">
      <c r="A423">
        <f t="shared" si="8"/>
        <v>422</v>
      </c>
      <c r="B423">
        <v>2024</v>
      </c>
      <c r="C423">
        <v>0</v>
      </c>
    </row>
    <row r="424" spans="1:3" x14ac:dyDescent="0.3">
      <c r="A424">
        <f t="shared" si="8"/>
        <v>423</v>
      </c>
      <c r="B424">
        <v>2024</v>
      </c>
      <c r="C424">
        <v>0</v>
      </c>
    </row>
    <row r="425" spans="1:3" x14ac:dyDescent="0.3">
      <c r="A425">
        <f t="shared" si="8"/>
        <v>424</v>
      </c>
      <c r="B425">
        <v>2024</v>
      </c>
      <c r="C425">
        <v>0</v>
      </c>
    </row>
    <row r="426" spans="1:3" x14ac:dyDescent="0.3">
      <c r="A426">
        <f t="shared" si="8"/>
        <v>425</v>
      </c>
      <c r="B426">
        <v>2024</v>
      </c>
      <c r="C426">
        <v>0</v>
      </c>
    </row>
    <row r="427" spans="1:3" x14ac:dyDescent="0.3">
      <c r="A427">
        <f t="shared" si="8"/>
        <v>426</v>
      </c>
      <c r="B427">
        <v>2024</v>
      </c>
      <c r="C427">
        <v>0</v>
      </c>
    </row>
    <row r="428" spans="1:3" x14ac:dyDescent="0.3">
      <c r="A428">
        <f t="shared" si="8"/>
        <v>427</v>
      </c>
      <c r="B428">
        <v>2024</v>
      </c>
      <c r="C428">
        <v>0</v>
      </c>
    </row>
    <row r="429" spans="1:3" x14ac:dyDescent="0.3">
      <c r="A429">
        <f t="shared" si="8"/>
        <v>428</v>
      </c>
      <c r="B429">
        <v>2024</v>
      </c>
      <c r="C429">
        <v>0</v>
      </c>
    </row>
    <row r="430" spans="1:3" x14ac:dyDescent="0.3">
      <c r="A430">
        <f t="shared" si="8"/>
        <v>429</v>
      </c>
      <c r="B430">
        <v>2024</v>
      </c>
      <c r="C430">
        <v>0</v>
      </c>
    </row>
    <row r="431" spans="1:3" x14ac:dyDescent="0.3">
      <c r="A431">
        <f t="shared" si="8"/>
        <v>430</v>
      </c>
      <c r="B431">
        <v>2024</v>
      </c>
      <c r="C431">
        <v>0</v>
      </c>
    </row>
    <row r="432" spans="1:3" x14ac:dyDescent="0.3">
      <c r="A432">
        <f t="shared" si="8"/>
        <v>431</v>
      </c>
      <c r="B432">
        <v>2024</v>
      </c>
      <c r="C432">
        <v>0</v>
      </c>
    </row>
    <row r="433" spans="1:3" x14ac:dyDescent="0.3">
      <c r="A433">
        <f t="shared" si="8"/>
        <v>432</v>
      </c>
      <c r="B433">
        <v>2024</v>
      </c>
      <c r="C433">
        <v>0</v>
      </c>
    </row>
    <row r="434" spans="1:3" x14ac:dyDescent="0.3">
      <c r="A434">
        <f t="shared" si="8"/>
        <v>433</v>
      </c>
      <c r="B434">
        <v>2024</v>
      </c>
      <c r="C434">
        <v>0</v>
      </c>
    </row>
    <row r="435" spans="1:3" x14ac:dyDescent="0.3">
      <c r="A435">
        <f t="shared" si="8"/>
        <v>434</v>
      </c>
      <c r="B435">
        <v>2024</v>
      </c>
      <c r="C435">
        <v>0</v>
      </c>
    </row>
    <row r="436" spans="1:3" x14ac:dyDescent="0.3">
      <c r="A436">
        <f t="shared" si="8"/>
        <v>435</v>
      </c>
      <c r="B436">
        <v>2024</v>
      </c>
      <c r="C436">
        <v>0</v>
      </c>
    </row>
    <row r="437" spans="1:3" x14ac:dyDescent="0.3">
      <c r="A437">
        <f t="shared" si="8"/>
        <v>436</v>
      </c>
      <c r="B437">
        <v>2024</v>
      </c>
      <c r="C437">
        <v>0</v>
      </c>
    </row>
    <row r="438" spans="1:3" x14ac:dyDescent="0.3">
      <c r="A438">
        <f t="shared" si="8"/>
        <v>437</v>
      </c>
      <c r="B438">
        <v>2024</v>
      </c>
      <c r="C438">
        <v>0</v>
      </c>
    </row>
    <row r="439" spans="1:3" x14ac:dyDescent="0.3">
      <c r="A439">
        <f t="shared" si="8"/>
        <v>438</v>
      </c>
      <c r="B439">
        <v>2024</v>
      </c>
      <c r="C439">
        <v>0</v>
      </c>
    </row>
    <row r="440" spans="1:3" x14ac:dyDescent="0.3">
      <c r="A440">
        <f t="shared" si="8"/>
        <v>439</v>
      </c>
      <c r="B440">
        <v>2024</v>
      </c>
      <c r="C440">
        <v>0</v>
      </c>
    </row>
    <row r="441" spans="1:3" x14ac:dyDescent="0.3">
      <c r="A441">
        <f t="shared" si="8"/>
        <v>440</v>
      </c>
      <c r="B441">
        <v>2024</v>
      </c>
      <c r="C441">
        <v>0</v>
      </c>
    </row>
    <row r="442" spans="1:3" x14ac:dyDescent="0.3">
      <c r="A442">
        <f t="shared" si="8"/>
        <v>441</v>
      </c>
      <c r="B442">
        <v>2024</v>
      </c>
      <c r="C442">
        <v>0</v>
      </c>
    </row>
    <row r="443" spans="1:3" x14ac:dyDescent="0.3">
      <c r="A443">
        <f t="shared" si="8"/>
        <v>442</v>
      </c>
      <c r="B443">
        <v>2024</v>
      </c>
      <c r="C443">
        <v>0</v>
      </c>
    </row>
    <row r="444" spans="1:3" x14ac:dyDescent="0.3">
      <c r="A444">
        <f t="shared" si="8"/>
        <v>443</v>
      </c>
      <c r="B444">
        <v>2024</v>
      </c>
      <c r="C444">
        <v>0</v>
      </c>
    </row>
    <row r="445" spans="1:3" x14ac:dyDescent="0.3">
      <c r="A445">
        <f t="shared" si="8"/>
        <v>444</v>
      </c>
      <c r="B445">
        <v>2024</v>
      </c>
      <c r="C445">
        <v>0</v>
      </c>
    </row>
    <row r="446" spans="1:3" x14ac:dyDescent="0.3">
      <c r="A446">
        <f t="shared" si="8"/>
        <v>445</v>
      </c>
      <c r="B446">
        <v>2024</v>
      </c>
      <c r="C446">
        <v>0</v>
      </c>
    </row>
    <row r="447" spans="1:3" x14ac:dyDescent="0.3">
      <c r="A447">
        <f t="shared" si="8"/>
        <v>446</v>
      </c>
      <c r="B447">
        <v>2024</v>
      </c>
      <c r="C447">
        <v>0</v>
      </c>
    </row>
    <row r="448" spans="1:3" x14ac:dyDescent="0.3">
      <c r="A448">
        <f t="shared" si="8"/>
        <v>447</v>
      </c>
      <c r="B448">
        <v>2024</v>
      </c>
      <c r="C448">
        <v>0</v>
      </c>
    </row>
    <row r="449" spans="1:3" x14ac:dyDescent="0.3">
      <c r="A449">
        <f t="shared" si="8"/>
        <v>448</v>
      </c>
      <c r="B449">
        <v>2024</v>
      </c>
      <c r="C449">
        <v>0</v>
      </c>
    </row>
    <row r="450" spans="1:3" x14ac:dyDescent="0.3">
      <c r="A450">
        <f t="shared" si="8"/>
        <v>449</v>
      </c>
      <c r="B450">
        <v>2024</v>
      </c>
      <c r="C450">
        <v>0</v>
      </c>
    </row>
    <row r="451" spans="1:3" x14ac:dyDescent="0.3">
      <c r="A451">
        <f t="shared" si="8"/>
        <v>450</v>
      </c>
      <c r="B451">
        <v>2024</v>
      </c>
      <c r="C451">
        <v>0</v>
      </c>
    </row>
    <row r="452" spans="1:3" x14ac:dyDescent="0.3">
      <c r="A452">
        <f t="shared" ref="A452:A515" si="9">+A451+1</f>
        <v>451</v>
      </c>
      <c r="B452">
        <v>2024</v>
      </c>
      <c r="C452">
        <v>0</v>
      </c>
    </row>
    <row r="453" spans="1:3" x14ac:dyDescent="0.3">
      <c r="A453">
        <f t="shared" si="9"/>
        <v>452</v>
      </c>
      <c r="B453">
        <v>2024</v>
      </c>
      <c r="C453">
        <v>0</v>
      </c>
    </row>
    <row r="454" spans="1:3" x14ac:dyDescent="0.3">
      <c r="A454">
        <f t="shared" si="9"/>
        <v>453</v>
      </c>
      <c r="B454">
        <v>2024</v>
      </c>
      <c r="C454">
        <v>0</v>
      </c>
    </row>
    <row r="455" spans="1:3" x14ac:dyDescent="0.3">
      <c r="A455">
        <f t="shared" si="9"/>
        <v>454</v>
      </c>
      <c r="B455">
        <v>2024</v>
      </c>
      <c r="C455">
        <v>0</v>
      </c>
    </row>
    <row r="456" spans="1:3" x14ac:dyDescent="0.3">
      <c r="A456">
        <f t="shared" si="9"/>
        <v>455</v>
      </c>
      <c r="B456">
        <v>2024</v>
      </c>
      <c r="C456">
        <v>0</v>
      </c>
    </row>
    <row r="457" spans="1:3" x14ac:dyDescent="0.3">
      <c r="A457">
        <f t="shared" si="9"/>
        <v>456</v>
      </c>
      <c r="B457">
        <v>2024</v>
      </c>
      <c r="C457">
        <v>0</v>
      </c>
    </row>
    <row r="458" spans="1:3" x14ac:dyDescent="0.3">
      <c r="A458">
        <f t="shared" si="9"/>
        <v>457</v>
      </c>
      <c r="B458">
        <v>2024</v>
      </c>
      <c r="C458">
        <v>0</v>
      </c>
    </row>
    <row r="459" spans="1:3" x14ac:dyDescent="0.3">
      <c r="A459">
        <f t="shared" si="9"/>
        <v>458</v>
      </c>
      <c r="B459">
        <v>2024</v>
      </c>
      <c r="C459">
        <v>0</v>
      </c>
    </row>
    <row r="460" spans="1:3" x14ac:dyDescent="0.3">
      <c r="A460">
        <f t="shared" si="9"/>
        <v>459</v>
      </c>
      <c r="B460">
        <v>2024</v>
      </c>
      <c r="C460">
        <v>0</v>
      </c>
    </row>
    <row r="461" spans="1:3" x14ac:dyDescent="0.3">
      <c r="A461">
        <f t="shared" si="9"/>
        <v>460</v>
      </c>
      <c r="B461">
        <v>2024</v>
      </c>
      <c r="C461">
        <v>0</v>
      </c>
    </row>
    <row r="462" spans="1:3" x14ac:dyDescent="0.3">
      <c r="A462">
        <f t="shared" si="9"/>
        <v>461</v>
      </c>
      <c r="B462">
        <v>2024</v>
      </c>
      <c r="C462">
        <v>0</v>
      </c>
    </row>
    <row r="463" spans="1:3" x14ac:dyDescent="0.3">
      <c r="A463">
        <f t="shared" si="9"/>
        <v>462</v>
      </c>
      <c r="B463">
        <v>2024</v>
      </c>
      <c r="C463">
        <v>0</v>
      </c>
    </row>
    <row r="464" spans="1:3" x14ac:dyDescent="0.3">
      <c r="A464">
        <f t="shared" si="9"/>
        <v>463</v>
      </c>
      <c r="B464">
        <v>2024</v>
      </c>
      <c r="C464">
        <v>0</v>
      </c>
    </row>
    <row r="465" spans="1:3" x14ac:dyDescent="0.3">
      <c r="A465">
        <f t="shared" si="9"/>
        <v>464</v>
      </c>
      <c r="B465">
        <v>2024</v>
      </c>
      <c r="C465">
        <v>0</v>
      </c>
    </row>
    <row r="466" spans="1:3" x14ac:dyDescent="0.3">
      <c r="A466">
        <f t="shared" si="9"/>
        <v>465</v>
      </c>
      <c r="B466">
        <v>2024</v>
      </c>
      <c r="C466">
        <v>0</v>
      </c>
    </row>
    <row r="467" spans="1:3" x14ac:dyDescent="0.3">
      <c r="A467">
        <f t="shared" si="9"/>
        <v>466</v>
      </c>
      <c r="B467">
        <v>2024</v>
      </c>
      <c r="C467">
        <v>0</v>
      </c>
    </row>
    <row r="468" spans="1:3" x14ac:dyDescent="0.3">
      <c r="A468">
        <f t="shared" si="9"/>
        <v>467</v>
      </c>
      <c r="B468">
        <v>2024</v>
      </c>
      <c r="C468">
        <v>0</v>
      </c>
    </row>
    <row r="469" spans="1:3" x14ac:dyDescent="0.3">
      <c r="A469">
        <f t="shared" si="9"/>
        <v>468</v>
      </c>
      <c r="B469">
        <v>2024</v>
      </c>
      <c r="C469">
        <v>0</v>
      </c>
    </row>
    <row r="470" spans="1:3" x14ac:dyDescent="0.3">
      <c r="A470">
        <f t="shared" si="9"/>
        <v>469</v>
      </c>
      <c r="B470">
        <v>2024</v>
      </c>
      <c r="C470">
        <v>0</v>
      </c>
    </row>
    <row r="471" spans="1:3" x14ac:dyDescent="0.3">
      <c r="A471">
        <f t="shared" si="9"/>
        <v>470</v>
      </c>
      <c r="B471">
        <v>2024</v>
      </c>
      <c r="C471">
        <v>0</v>
      </c>
    </row>
    <row r="472" spans="1:3" x14ac:dyDescent="0.3">
      <c r="A472">
        <f t="shared" si="9"/>
        <v>471</v>
      </c>
      <c r="B472">
        <v>2024</v>
      </c>
      <c r="C472">
        <v>0</v>
      </c>
    </row>
    <row r="473" spans="1:3" x14ac:dyDescent="0.3">
      <c r="A473">
        <f t="shared" si="9"/>
        <v>472</v>
      </c>
      <c r="B473">
        <v>2024</v>
      </c>
      <c r="C473">
        <v>0</v>
      </c>
    </row>
    <row r="474" spans="1:3" x14ac:dyDescent="0.3">
      <c r="A474">
        <f t="shared" si="9"/>
        <v>473</v>
      </c>
      <c r="B474">
        <v>2023</v>
      </c>
      <c r="C474">
        <v>0</v>
      </c>
    </row>
    <row r="475" spans="1:3" x14ac:dyDescent="0.3">
      <c r="A475">
        <f t="shared" si="9"/>
        <v>474</v>
      </c>
      <c r="B475">
        <v>2024</v>
      </c>
      <c r="C475">
        <v>0</v>
      </c>
    </row>
    <row r="476" spans="1:3" x14ac:dyDescent="0.3">
      <c r="A476">
        <f t="shared" si="9"/>
        <v>475</v>
      </c>
      <c r="B476">
        <v>2023</v>
      </c>
      <c r="C476">
        <v>0</v>
      </c>
    </row>
    <row r="477" spans="1:3" x14ac:dyDescent="0.3">
      <c r="A477">
        <f t="shared" si="9"/>
        <v>476</v>
      </c>
      <c r="B477">
        <v>2023</v>
      </c>
      <c r="C477">
        <v>0</v>
      </c>
    </row>
    <row r="478" spans="1:3" x14ac:dyDescent="0.3">
      <c r="A478">
        <f t="shared" si="9"/>
        <v>477</v>
      </c>
      <c r="B478">
        <v>2023</v>
      </c>
      <c r="C478">
        <v>0</v>
      </c>
    </row>
    <row r="479" spans="1:3" x14ac:dyDescent="0.3">
      <c r="A479">
        <f t="shared" si="9"/>
        <v>478</v>
      </c>
      <c r="B479">
        <v>2023</v>
      </c>
      <c r="C479">
        <v>0</v>
      </c>
    </row>
    <row r="480" spans="1:3" x14ac:dyDescent="0.3">
      <c r="A480">
        <f t="shared" si="9"/>
        <v>479</v>
      </c>
      <c r="B480">
        <v>2023</v>
      </c>
      <c r="C480">
        <v>0</v>
      </c>
    </row>
    <row r="481" spans="1:3" x14ac:dyDescent="0.3">
      <c r="A481">
        <f t="shared" si="9"/>
        <v>480</v>
      </c>
      <c r="B481">
        <v>2024</v>
      </c>
      <c r="C481">
        <v>0</v>
      </c>
    </row>
    <row r="482" spans="1:3" x14ac:dyDescent="0.3">
      <c r="A482">
        <f t="shared" si="9"/>
        <v>481</v>
      </c>
      <c r="B482">
        <v>2023</v>
      </c>
      <c r="C482">
        <v>0</v>
      </c>
    </row>
    <row r="483" spans="1:3" x14ac:dyDescent="0.3">
      <c r="A483">
        <f t="shared" si="9"/>
        <v>482</v>
      </c>
      <c r="B483">
        <v>2023</v>
      </c>
      <c r="C483">
        <v>0</v>
      </c>
    </row>
    <row r="484" spans="1:3" x14ac:dyDescent="0.3">
      <c r="A484">
        <f t="shared" si="9"/>
        <v>483</v>
      </c>
      <c r="B484">
        <v>2023</v>
      </c>
      <c r="C484">
        <v>0</v>
      </c>
    </row>
    <row r="485" spans="1:3" x14ac:dyDescent="0.3">
      <c r="A485">
        <f t="shared" si="9"/>
        <v>484</v>
      </c>
      <c r="B485">
        <v>2023</v>
      </c>
      <c r="C485">
        <v>0</v>
      </c>
    </row>
    <row r="486" spans="1:3" x14ac:dyDescent="0.3">
      <c r="A486">
        <f t="shared" si="9"/>
        <v>485</v>
      </c>
      <c r="B486">
        <v>2023</v>
      </c>
      <c r="C486">
        <v>0</v>
      </c>
    </row>
    <row r="487" spans="1:3" x14ac:dyDescent="0.3">
      <c r="A487">
        <f t="shared" si="9"/>
        <v>486</v>
      </c>
      <c r="B487">
        <v>2023</v>
      </c>
      <c r="C487">
        <v>0</v>
      </c>
    </row>
    <row r="488" spans="1:3" x14ac:dyDescent="0.3">
      <c r="A488">
        <f t="shared" si="9"/>
        <v>487</v>
      </c>
      <c r="B488">
        <v>2023</v>
      </c>
      <c r="C488">
        <v>0</v>
      </c>
    </row>
    <row r="489" spans="1:3" x14ac:dyDescent="0.3">
      <c r="A489">
        <f t="shared" si="9"/>
        <v>488</v>
      </c>
      <c r="B489">
        <v>2023</v>
      </c>
      <c r="C489">
        <v>0</v>
      </c>
    </row>
    <row r="490" spans="1:3" x14ac:dyDescent="0.3">
      <c r="A490">
        <f t="shared" si="9"/>
        <v>489</v>
      </c>
      <c r="B490">
        <v>2023</v>
      </c>
      <c r="C490">
        <v>0</v>
      </c>
    </row>
    <row r="491" spans="1:3" x14ac:dyDescent="0.3">
      <c r="A491">
        <f t="shared" si="9"/>
        <v>490</v>
      </c>
      <c r="B491">
        <v>2023</v>
      </c>
      <c r="C491">
        <v>0</v>
      </c>
    </row>
    <row r="492" spans="1:3" x14ac:dyDescent="0.3">
      <c r="A492">
        <f t="shared" si="9"/>
        <v>491</v>
      </c>
      <c r="B492">
        <v>2023</v>
      </c>
      <c r="C492">
        <v>0</v>
      </c>
    </row>
    <row r="493" spans="1:3" x14ac:dyDescent="0.3">
      <c r="A493">
        <f t="shared" si="9"/>
        <v>492</v>
      </c>
      <c r="B493">
        <v>2023</v>
      </c>
      <c r="C493">
        <v>0</v>
      </c>
    </row>
    <row r="494" spans="1:3" x14ac:dyDescent="0.3">
      <c r="A494">
        <f t="shared" si="9"/>
        <v>493</v>
      </c>
      <c r="B494">
        <v>2023</v>
      </c>
      <c r="C494">
        <v>0</v>
      </c>
    </row>
    <row r="495" spans="1:3" x14ac:dyDescent="0.3">
      <c r="A495">
        <f t="shared" si="9"/>
        <v>494</v>
      </c>
      <c r="B495">
        <v>2023</v>
      </c>
      <c r="C495">
        <v>0</v>
      </c>
    </row>
    <row r="496" spans="1:3" x14ac:dyDescent="0.3">
      <c r="A496">
        <f t="shared" si="9"/>
        <v>495</v>
      </c>
      <c r="B496">
        <v>2022</v>
      </c>
      <c r="C496">
        <v>0</v>
      </c>
    </row>
    <row r="497" spans="1:3" x14ac:dyDescent="0.3">
      <c r="A497">
        <f t="shared" si="9"/>
        <v>496</v>
      </c>
      <c r="B497">
        <v>2022</v>
      </c>
      <c r="C497">
        <v>0</v>
      </c>
    </row>
    <row r="498" spans="1:3" x14ac:dyDescent="0.3">
      <c r="A498">
        <f t="shared" si="9"/>
        <v>497</v>
      </c>
      <c r="B498">
        <v>2022</v>
      </c>
      <c r="C498">
        <v>0</v>
      </c>
    </row>
    <row r="499" spans="1:3" x14ac:dyDescent="0.3">
      <c r="A499">
        <f t="shared" si="9"/>
        <v>498</v>
      </c>
      <c r="B499">
        <v>2022</v>
      </c>
      <c r="C499">
        <v>0</v>
      </c>
    </row>
    <row r="500" spans="1:3" x14ac:dyDescent="0.3">
      <c r="A500">
        <f t="shared" si="9"/>
        <v>499</v>
      </c>
      <c r="B500">
        <v>2022</v>
      </c>
      <c r="C500">
        <v>0</v>
      </c>
    </row>
    <row r="501" spans="1:3" x14ac:dyDescent="0.3">
      <c r="A501">
        <f t="shared" si="9"/>
        <v>500</v>
      </c>
      <c r="B501">
        <v>2022</v>
      </c>
      <c r="C501">
        <v>0</v>
      </c>
    </row>
    <row r="502" spans="1:3" x14ac:dyDescent="0.3">
      <c r="A502">
        <f t="shared" si="9"/>
        <v>501</v>
      </c>
      <c r="B502">
        <v>2022</v>
      </c>
      <c r="C502">
        <v>0</v>
      </c>
    </row>
    <row r="503" spans="1:3" x14ac:dyDescent="0.3">
      <c r="A503">
        <f t="shared" si="9"/>
        <v>502</v>
      </c>
      <c r="B503">
        <v>2022</v>
      </c>
      <c r="C503">
        <v>0</v>
      </c>
    </row>
    <row r="504" spans="1:3" x14ac:dyDescent="0.3">
      <c r="A504">
        <f t="shared" si="9"/>
        <v>503</v>
      </c>
      <c r="B504">
        <v>2022</v>
      </c>
      <c r="C504">
        <v>0</v>
      </c>
    </row>
    <row r="505" spans="1:3" x14ac:dyDescent="0.3">
      <c r="A505">
        <f t="shared" si="9"/>
        <v>504</v>
      </c>
      <c r="B505">
        <v>2022</v>
      </c>
      <c r="C505">
        <v>0</v>
      </c>
    </row>
    <row r="506" spans="1:3" x14ac:dyDescent="0.3">
      <c r="A506">
        <f t="shared" si="9"/>
        <v>505</v>
      </c>
      <c r="B506">
        <v>2023</v>
      </c>
      <c r="C506">
        <v>0</v>
      </c>
    </row>
    <row r="507" spans="1:3" x14ac:dyDescent="0.3">
      <c r="A507">
        <f t="shared" si="9"/>
        <v>506</v>
      </c>
      <c r="B507">
        <v>2022</v>
      </c>
      <c r="C507">
        <v>0</v>
      </c>
    </row>
    <row r="508" spans="1:3" x14ac:dyDescent="0.3">
      <c r="A508">
        <f t="shared" si="9"/>
        <v>507</v>
      </c>
      <c r="B508">
        <v>2022</v>
      </c>
      <c r="C508">
        <v>0</v>
      </c>
    </row>
    <row r="509" spans="1:3" x14ac:dyDescent="0.3">
      <c r="A509">
        <f t="shared" si="9"/>
        <v>508</v>
      </c>
      <c r="B509">
        <v>2022</v>
      </c>
      <c r="C509">
        <v>0</v>
      </c>
    </row>
    <row r="510" spans="1:3" x14ac:dyDescent="0.3">
      <c r="A510">
        <f t="shared" si="9"/>
        <v>509</v>
      </c>
      <c r="B510">
        <v>2022</v>
      </c>
      <c r="C510">
        <v>0</v>
      </c>
    </row>
    <row r="511" spans="1:3" x14ac:dyDescent="0.3">
      <c r="A511">
        <f t="shared" si="9"/>
        <v>510</v>
      </c>
      <c r="B511">
        <v>2022</v>
      </c>
      <c r="C511">
        <v>0</v>
      </c>
    </row>
    <row r="512" spans="1:3" x14ac:dyDescent="0.3">
      <c r="A512">
        <f t="shared" si="9"/>
        <v>511</v>
      </c>
      <c r="B512">
        <v>2022</v>
      </c>
      <c r="C512">
        <v>0</v>
      </c>
    </row>
    <row r="513" spans="1:3" x14ac:dyDescent="0.3">
      <c r="A513">
        <f t="shared" si="9"/>
        <v>512</v>
      </c>
      <c r="B513">
        <v>2022</v>
      </c>
      <c r="C513">
        <v>0</v>
      </c>
    </row>
    <row r="514" spans="1:3" x14ac:dyDescent="0.3">
      <c r="A514">
        <f t="shared" si="9"/>
        <v>513</v>
      </c>
      <c r="B514">
        <v>2022</v>
      </c>
      <c r="C514">
        <v>0</v>
      </c>
    </row>
    <row r="515" spans="1:3" x14ac:dyDescent="0.3">
      <c r="A515">
        <f t="shared" si="9"/>
        <v>514</v>
      </c>
      <c r="B515">
        <v>2022</v>
      </c>
      <c r="C515">
        <v>0</v>
      </c>
    </row>
    <row r="516" spans="1:3" x14ac:dyDescent="0.3">
      <c r="A516">
        <f t="shared" ref="A516:A579" si="10">+A515+1</f>
        <v>515</v>
      </c>
      <c r="B516">
        <v>2022</v>
      </c>
      <c r="C516">
        <v>0</v>
      </c>
    </row>
    <row r="517" spans="1:3" x14ac:dyDescent="0.3">
      <c r="A517">
        <f t="shared" si="10"/>
        <v>516</v>
      </c>
      <c r="B517">
        <v>2022</v>
      </c>
      <c r="C517">
        <v>0</v>
      </c>
    </row>
    <row r="518" spans="1:3" x14ac:dyDescent="0.3">
      <c r="A518">
        <f t="shared" si="10"/>
        <v>517</v>
      </c>
      <c r="B518">
        <v>2022</v>
      </c>
      <c r="C518">
        <v>0</v>
      </c>
    </row>
    <row r="519" spans="1:3" x14ac:dyDescent="0.3">
      <c r="A519">
        <f t="shared" si="10"/>
        <v>518</v>
      </c>
      <c r="B519">
        <v>2022</v>
      </c>
      <c r="C519">
        <v>0</v>
      </c>
    </row>
    <row r="520" spans="1:3" x14ac:dyDescent="0.3">
      <c r="A520">
        <f t="shared" si="10"/>
        <v>519</v>
      </c>
      <c r="B520">
        <v>2022</v>
      </c>
      <c r="C520">
        <v>0</v>
      </c>
    </row>
    <row r="521" spans="1:3" x14ac:dyDescent="0.3">
      <c r="A521">
        <f t="shared" si="10"/>
        <v>520</v>
      </c>
      <c r="B521">
        <v>2022</v>
      </c>
      <c r="C521">
        <v>0</v>
      </c>
    </row>
    <row r="522" spans="1:3" x14ac:dyDescent="0.3">
      <c r="A522">
        <f t="shared" si="10"/>
        <v>521</v>
      </c>
      <c r="B522">
        <v>2022</v>
      </c>
      <c r="C522">
        <v>0</v>
      </c>
    </row>
    <row r="523" spans="1:3" x14ac:dyDescent="0.3">
      <c r="A523">
        <f t="shared" si="10"/>
        <v>522</v>
      </c>
      <c r="B523">
        <v>2021</v>
      </c>
      <c r="C523">
        <v>0</v>
      </c>
    </row>
    <row r="524" spans="1:3" x14ac:dyDescent="0.3">
      <c r="A524">
        <f t="shared" si="10"/>
        <v>523</v>
      </c>
      <c r="B524">
        <v>2021</v>
      </c>
      <c r="C524">
        <v>0</v>
      </c>
    </row>
    <row r="525" spans="1:3" x14ac:dyDescent="0.3">
      <c r="A525">
        <f t="shared" si="10"/>
        <v>524</v>
      </c>
      <c r="B525">
        <v>2022</v>
      </c>
      <c r="C525">
        <v>0</v>
      </c>
    </row>
    <row r="526" spans="1:3" x14ac:dyDescent="0.3">
      <c r="A526">
        <f t="shared" si="10"/>
        <v>525</v>
      </c>
      <c r="B526">
        <v>2021</v>
      </c>
      <c r="C526">
        <v>0</v>
      </c>
    </row>
    <row r="527" spans="1:3" x14ac:dyDescent="0.3">
      <c r="A527">
        <f t="shared" si="10"/>
        <v>526</v>
      </c>
      <c r="B527">
        <v>2021</v>
      </c>
      <c r="C527">
        <v>0</v>
      </c>
    </row>
    <row r="528" spans="1:3" x14ac:dyDescent="0.3">
      <c r="A528">
        <f t="shared" si="10"/>
        <v>527</v>
      </c>
      <c r="B528">
        <v>2021</v>
      </c>
      <c r="C528">
        <v>0</v>
      </c>
    </row>
    <row r="529" spans="1:3" x14ac:dyDescent="0.3">
      <c r="A529">
        <f t="shared" si="10"/>
        <v>528</v>
      </c>
      <c r="B529">
        <v>2021</v>
      </c>
      <c r="C529">
        <v>0</v>
      </c>
    </row>
    <row r="530" spans="1:3" x14ac:dyDescent="0.3">
      <c r="A530">
        <f t="shared" si="10"/>
        <v>529</v>
      </c>
      <c r="B530">
        <v>2021</v>
      </c>
      <c r="C530">
        <v>0</v>
      </c>
    </row>
    <row r="531" spans="1:3" x14ac:dyDescent="0.3">
      <c r="A531">
        <f t="shared" si="10"/>
        <v>530</v>
      </c>
      <c r="B531">
        <v>2021</v>
      </c>
      <c r="C531">
        <v>0</v>
      </c>
    </row>
    <row r="532" spans="1:3" x14ac:dyDescent="0.3">
      <c r="A532">
        <f t="shared" si="10"/>
        <v>531</v>
      </c>
      <c r="B532">
        <v>2021</v>
      </c>
      <c r="C532">
        <v>0</v>
      </c>
    </row>
    <row r="533" spans="1:3" x14ac:dyDescent="0.3">
      <c r="A533">
        <f t="shared" si="10"/>
        <v>532</v>
      </c>
      <c r="B533">
        <v>2021</v>
      </c>
      <c r="C533">
        <v>0</v>
      </c>
    </row>
    <row r="534" spans="1:3" x14ac:dyDescent="0.3">
      <c r="A534">
        <f t="shared" si="10"/>
        <v>533</v>
      </c>
      <c r="B534">
        <v>2021</v>
      </c>
      <c r="C534">
        <v>0</v>
      </c>
    </row>
    <row r="535" spans="1:3" x14ac:dyDescent="0.3">
      <c r="A535">
        <f t="shared" si="10"/>
        <v>534</v>
      </c>
      <c r="B535">
        <v>2021</v>
      </c>
      <c r="C535">
        <v>0</v>
      </c>
    </row>
    <row r="536" spans="1:3" x14ac:dyDescent="0.3">
      <c r="A536">
        <f t="shared" si="10"/>
        <v>535</v>
      </c>
      <c r="B536">
        <v>2021</v>
      </c>
      <c r="C536">
        <v>0</v>
      </c>
    </row>
    <row r="537" spans="1:3" x14ac:dyDescent="0.3">
      <c r="A537">
        <f t="shared" si="10"/>
        <v>536</v>
      </c>
      <c r="B537">
        <v>2021</v>
      </c>
      <c r="C537">
        <v>0</v>
      </c>
    </row>
    <row r="538" spans="1:3" x14ac:dyDescent="0.3">
      <c r="A538">
        <f t="shared" si="10"/>
        <v>537</v>
      </c>
      <c r="B538">
        <v>2020</v>
      </c>
      <c r="C538">
        <v>0</v>
      </c>
    </row>
    <row r="539" spans="1:3" x14ac:dyDescent="0.3">
      <c r="A539">
        <f t="shared" si="10"/>
        <v>538</v>
      </c>
      <c r="B539">
        <v>2020</v>
      </c>
      <c r="C539">
        <v>0</v>
      </c>
    </row>
    <row r="540" spans="1:3" x14ac:dyDescent="0.3">
      <c r="A540">
        <f t="shared" si="10"/>
        <v>539</v>
      </c>
      <c r="B540">
        <v>2020</v>
      </c>
      <c r="C540">
        <v>0</v>
      </c>
    </row>
    <row r="541" spans="1:3" x14ac:dyDescent="0.3">
      <c r="A541">
        <f t="shared" si="10"/>
        <v>540</v>
      </c>
      <c r="B541">
        <v>2020</v>
      </c>
      <c r="C541">
        <v>0</v>
      </c>
    </row>
    <row r="542" spans="1:3" x14ac:dyDescent="0.3">
      <c r="A542">
        <f t="shared" si="10"/>
        <v>541</v>
      </c>
      <c r="B542">
        <v>2020</v>
      </c>
      <c r="C542">
        <v>0</v>
      </c>
    </row>
    <row r="543" spans="1:3" x14ac:dyDescent="0.3">
      <c r="A543">
        <f t="shared" si="10"/>
        <v>542</v>
      </c>
      <c r="B543">
        <v>2020</v>
      </c>
      <c r="C543">
        <v>0</v>
      </c>
    </row>
    <row r="544" spans="1:3" x14ac:dyDescent="0.3">
      <c r="A544">
        <f t="shared" si="10"/>
        <v>543</v>
      </c>
      <c r="B544">
        <v>2020</v>
      </c>
      <c r="C544">
        <v>0</v>
      </c>
    </row>
    <row r="545" spans="1:3" x14ac:dyDescent="0.3">
      <c r="A545">
        <f t="shared" si="10"/>
        <v>544</v>
      </c>
      <c r="B545">
        <v>2020</v>
      </c>
      <c r="C545">
        <v>0</v>
      </c>
    </row>
    <row r="546" spans="1:3" x14ac:dyDescent="0.3">
      <c r="A546">
        <f t="shared" si="10"/>
        <v>545</v>
      </c>
      <c r="B546">
        <v>2020</v>
      </c>
      <c r="C546">
        <v>0</v>
      </c>
    </row>
    <row r="547" spans="1:3" x14ac:dyDescent="0.3">
      <c r="A547">
        <f t="shared" si="10"/>
        <v>546</v>
      </c>
      <c r="B547">
        <v>2020</v>
      </c>
      <c r="C547">
        <v>0</v>
      </c>
    </row>
    <row r="548" spans="1:3" x14ac:dyDescent="0.3">
      <c r="A548">
        <f t="shared" si="10"/>
        <v>547</v>
      </c>
      <c r="B548">
        <v>2020</v>
      </c>
      <c r="C548">
        <v>0</v>
      </c>
    </row>
    <row r="549" spans="1:3" x14ac:dyDescent="0.3">
      <c r="A549">
        <f t="shared" si="10"/>
        <v>548</v>
      </c>
      <c r="B549">
        <v>2019</v>
      </c>
      <c r="C549">
        <v>0</v>
      </c>
    </row>
    <row r="550" spans="1:3" x14ac:dyDescent="0.3">
      <c r="A550">
        <f t="shared" si="10"/>
        <v>549</v>
      </c>
      <c r="B550">
        <v>2019</v>
      </c>
      <c r="C550">
        <v>0</v>
      </c>
    </row>
    <row r="551" spans="1:3" x14ac:dyDescent="0.3">
      <c r="A551">
        <f t="shared" si="10"/>
        <v>550</v>
      </c>
      <c r="B551">
        <v>2019</v>
      </c>
      <c r="C551">
        <v>0</v>
      </c>
    </row>
    <row r="552" spans="1:3" x14ac:dyDescent="0.3">
      <c r="A552">
        <f t="shared" si="10"/>
        <v>551</v>
      </c>
      <c r="B552">
        <v>2019</v>
      </c>
      <c r="C552">
        <v>0</v>
      </c>
    </row>
    <row r="553" spans="1:3" x14ac:dyDescent="0.3">
      <c r="A553">
        <f t="shared" si="10"/>
        <v>552</v>
      </c>
      <c r="B553">
        <v>2019</v>
      </c>
      <c r="C553">
        <v>0</v>
      </c>
    </row>
    <row r="554" spans="1:3" x14ac:dyDescent="0.3">
      <c r="A554">
        <f t="shared" si="10"/>
        <v>553</v>
      </c>
      <c r="B554">
        <v>2019</v>
      </c>
      <c r="C554">
        <v>0</v>
      </c>
    </row>
    <row r="555" spans="1:3" x14ac:dyDescent="0.3">
      <c r="A555">
        <f t="shared" si="10"/>
        <v>554</v>
      </c>
      <c r="B555">
        <v>2019</v>
      </c>
      <c r="C555">
        <v>0</v>
      </c>
    </row>
    <row r="556" spans="1:3" x14ac:dyDescent="0.3">
      <c r="A556">
        <f t="shared" si="10"/>
        <v>555</v>
      </c>
      <c r="B556">
        <v>2019</v>
      </c>
      <c r="C556">
        <v>0</v>
      </c>
    </row>
    <row r="557" spans="1:3" x14ac:dyDescent="0.3">
      <c r="A557">
        <f t="shared" si="10"/>
        <v>556</v>
      </c>
      <c r="B557">
        <v>2019</v>
      </c>
      <c r="C557">
        <v>0</v>
      </c>
    </row>
    <row r="558" spans="1:3" x14ac:dyDescent="0.3">
      <c r="A558">
        <f t="shared" si="10"/>
        <v>557</v>
      </c>
      <c r="B558">
        <v>2019</v>
      </c>
      <c r="C558">
        <v>0</v>
      </c>
    </row>
    <row r="559" spans="1:3" x14ac:dyDescent="0.3">
      <c r="A559">
        <f t="shared" si="10"/>
        <v>558</v>
      </c>
      <c r="B559">
        <v>2019</v>
      </c>
      <c r="C559">
        <v>0</v>
      </c>
    </row>
    <row r="560" spans="1:3" x14ac:dyDescent="0.3">
      <c r="A560">
        <f t="shared" si="10"/>
        <v>559</v>
      </c>
      <c r="B560">
        <v>2019</v>
      </c>
      <c r="C560">
        <v>0</v>
      </c>
    </row>
    <row r="561" spans="1:3" x14ac:dyDescent="0.3">
      <c r="A561">
        <f t="shared" si="10"/>
        <v>560</v>
      </c>
      <c r="B561">
        <v>2019</v>
      </c>
      <c r="C561">
        <v>0</v>
      </c>
    </row>
    <row r="562" spans="1:3" x14ac:dyDescent="0.3">
      <c r="A562">
        <f t="shared" si="10"/>
        <v>561</v>
      </c>
      <c r="B562">
        <v>2019</v>
      </c>
      <c r="C562">
        <v>0</v>
      </c>
    </row>
    <row r="563" spans="1:3" x14ac:dyDescent="0.3">
      <c r="A563">
        <f t="shared" si="10"/>
        <v>562</v>
      </c>
      <c r="B563">
        <v>2019</v>
      </c>
      <c r="C563">
        <v>0</v>
      </c>
    </row>
    <row r="564" spans="1:3" x14ac:dyDescent="0.3">
      <c r="A564">
        <f t="shared" si="10"/>
        <v>563</v>
      </c>
      <c r="B564">
        <v>2019</v>
      </c>
      <c r="C564">
        <v>0</v>
      </c>
    </row>
    <row r="565" spans="1:3" x14ac:dyDescent="0.3">
      <c r="A565">
        <f t="shared" si="10"/>
        <v>564</v>
      </c>
      <c r="B565">
        <v>2019</v>
      </c>
      <c r="C565">
        <v>0</v>
      </c>
    </row>
    <row r="566" spans="1:3" x14ac:dyDescent="0.3">
      <c r="A566">
        <f t="shared" si="10"/>
        <v>565</v>
      </c>
      <c r="B566">
        <v>2019</v>
      </c>
      <c r="C566">
        <v>0</v>
      </c>
    </row>
    <row r="567" spans="1:3" x14ac:dyDescent="0.3">
      <c r="A567">
        <f t="shared" si="10"/>
        <v>566</v>
      </c>
      <c r="B567">
        <v>2019</v>
      </c>
      <c r="C567">
        <v>0</v>
      </c>
    </row>
    <row r="568" spans="1:3" x14ac:dyDescent="0.3">
      <c r="A568">
        <f t="shared" si="10"/>
        <v>567</v>
      </c>
      <c r="B568">
        <v>2019</v>
      </c>
      <c r="C568">
        <v>0</v>
      </c>
    </row>
    <row r="569" spans="1:3" x14ac:dyDescent="0.3">
      <c r="A569">
        <f t="shared" si="10"/>
        <v>568</v>
      </c>
      <c r="B569">
        <v>2019</v>
      </c>
      <c r="C569">
        <v>0</v>
      </c>
    </row>
    <row r="570" spans="1:3" x14ac:dyDescent="0.3">
      <c r="A570">
        <f t="shared" si="10"/>
        <v>569</v>
      </c>
      <c r="B570">
        <v>2019</v>
      </c>
      <c r="C570">
        <v>0</v>
      </c>
    </row>
    <row r="571" spans="1:3" x14ac:dyDescent="0.3">
      <c r="A571">
        <f t="shared" si="10"/>
        <v>570</v>
      </c>
      <c r="B571">
        <v>2018</v>
      </c>
      <c r="C571">
        <v>0</v>
      </c>
    </row>
    <row r="572" spans="1:3" x14ac:dyDescent="0.3">
      <c r="A572">
        <f t="shared" si="10"/>
        <v>571</v>
      </c>
      <c r="B572">
        <v>2018</v>
      </c>
      <c r="C572">
        <v>0</v>
      </c>
    </row>
    <row r="573" spans="1:3" x14ac:dyDescent="0.3">
      <c r="A573">
        <f t="shared" si="10"/>
        <v>572</v>
      </c>
      <c r="B573">
        <v>2018</v>
      </c>
      <c r="C573">
        <v>0</v>
      </c>
    </row>
    <row r="574" spans="1:3" x14ac:dyDescent="0.3">
      <c r="A574">
        <f t="shared" si="10"/>
        <v>573</v>
      </c>
      <c r="B574">
        <v>2018</v>
      </c>
      <c r="C574">
        <v>0</v>
      </c>
    </row>
    <row r="575" spans="1:3" x14ac:dyDescent="0.3">
      <c r="A575">
        <f t="shared" si="10"/>
        <v>574</v>
      </c>
      <c r="B575">
        <v>2018</v>
      </c>
      <c r="C575">
        <v>0</v>
      </c>
    </row>
    <row r="576" spans="1:3" x14ac:dyDescent="0.3">
      <c r="A576">
        <f t="shared" si="10"/>
        <v>575</v>
      </c>
      <c r="B576">
        <v>2018</v>
      </c>
      <c r="C576">
        <v>0</v>
      </c>
    </row>
    <row r="577" spans="1:3" x14ac:dyDescent="0.3">
      <c r="A577">
        <f t="shared" si="10"/>
        <v>576</v>
      </c>
      <c r="B577">
        <v>2018</v>
      </c>
      <c r="C577">
        <v>0</v>
      </c>
    </row>
    <row r="578" spans="1:3" x14ac:dyDescent="0.3">
      <c r="A578">
        <f t="shared" si="10"/>
        <v>577</v>
      </c>
      <c r="B578">
        <v>2018</v>
      </c>
      <c r="C578">
        <v>0</v>
      </c>
    </row>
    <row r="579" spans="1:3" x14ac:dyDescent="0.3">
      <c r="A579">
        <f t="shared" si="10"/>
        <v>578</v>
      </c>
      <c r="B579">
        <v>2018</v>
      </c>
      <c r="C579">
        <v>0</v>
      </c>
    </row>
    <row r="580" spans="1:3" x14ac:dyDescent="0.3">
      <c r="A580">
        <f t="shared" ref="A580:A624" si="11">+A579+1</f>
        <v>579</v>
      </c>
      <c r="B580">
        <v>2017</v>
      </c>
      <c r="C580">
        <v>0</v>
      </c>
    </row>
    <row r="581" spans="1:3" x14ac:dyDescent="0.3">
      <c r="A581">
        <f t="shared" si="11"/>
        <v>580</v>
      </c>
      <c r="B581">
        <v>2017</v>
      </c>
      <c r="C581">
        <v>0</v>
      </c>
    </row>
    <row r="582" spans="1:3" x14ac:dyDescent="0.3">
      <c r="A582">
        <f t="shared" si="11"/>
        <v>581</v>
      </c>
      <c r="B582">
        <v>2017</v>
      </c>
      <c r="C582">
        <v>0</v>
      </c>
    </row>
    <row r="583" spans="1:3" x14ac:dyDescent="0.3">
      <c r="A583">
        <f t="shared" si="11"/>
        <v>582</v>
      </c>
      <c r="B583">
        <v>2017</v>
      </c>
      <c r="C583">
        <v>0</v>
      </c>
    </row>
    <row r="584" spans="1:3" x14ac:dyDescent="0.3">
      <c r="A584">
        <f t="shared" si="11"/>
        <v>583</v>
      </c>
      <c r="B584">
        <v>2017</v>
      </c>
      <c r="C584">
        <v>0</v>
      </c>
    </row>
    <row r="585" spans="1:3" x14ac:dyDescent="0.3">
      <c r="A585">
        <f t="shared" si="11"/>
        <v>584</v>
      </c>
      <c r="B585">
        <v>2017</v>
      </c>
      <c r="C585">
        <v>0</v>
      </c>
    </row>
    <row r="586" spans="1:3" x14ac:dyDescent="0.3">
      <c r="A586">
        <f t="shared" si="11"/>
        <v>585</v>
      </c>
      <c r="B586">
        <v>2017</v>
      </c>
      <c r="C586">
        <v>0</v>
      </c>
    </row>
    <row r="587" spans="1:3" x14ac:dyDescent="0.3">
      <c r="A587">
        <f t="shared" si="11"/>
        <v>586</v>
      </c>
      <c r="B587">
        <v>2017</v>
      </c>
      <c r="C587">
        <v>0</v>
      </c>
    </row>
    <row r="588" spans="1:3" x14ac:dyDescent="0.3">
      <c r="A588">
        <f t="shared" si="11"/>
        <v>587</v>
      </c>
      <c r="B588">
        <v>2017</v>
      </c>
      <c r="C588">
        <v>0</v>
      </c>
    </row>
    <row r="589" spans="1:3" x14ac:dyDescent="0.3">
      <c r="A589">
        <f t="shared" si="11"/>
        <v>588</v>
      </c>
      <c r="B589">
        <v>2017</v>
      </c>
      <c r="C589">
        <v>0</v>
      </c>
    </row>
    <row r="590" spans="1:3" x14ac:dyDescent="0.3">
      <c r="A590">
        <f t="shared" si="11"/>
        <v>589</v>
      </c>
      <c r="B590">
        <v>2016</v>
      </c>
      <c r="C590">
        <v>0</v>
      </c>
    </row>
    <row r="591" spans="1:3" x14ac:dyDescent="0.3">
      <c r="A591">
        <f t="shared" si="11"/>
        <v>590</v>
      </c>
      <c r="B591">
        <v>2016</v>
      </c>
      <c r="C591">
        <v>0</v>
      </c>
    </row>
    <row r="592" spans="1:3" x14ac:dyDescent="0.3">
      <c r="A592">
        <f t="shared" si="11"/>
        <v>591</v>
      </c>
      <c r="B592">
        <v>2016</v>
      </c>
      <c r="C592">
        <v>0</v>
      </c>
    </row>
    <row r="593" spans="1:3" x14ac:dyDescent="0.3">
      <c r="A593">
        <f t="shared" si="11"/>
        <v>592</v>
      </c>
      <c r="B593">
        <v>2016</v>
      </c>
      <c r="C593">
        <v>0</v>
      </c>
    </row>
    <row r="594" spans="1:3" x14ac:dyDescent="0.3">
      <c r="A594">
        <f t="shared" si="11"/>
        <v>593</v>
      </c>
      <c r="B594">
        <v>2016</v>
      </c>
      <c r="C594">
        <v>0</v>
      </c>
    </row>
    <row r="595" spans="1:3" x14ac:dyDescent="0.3">
      <c r="A595">
        <f t="shared" si="11"/>
        <v>594</v>
      </c>
      <c r="B595">
        <v>2016</v>
      </c>
      <c r="C595">
        <v>0</v>
      </c>
    </row>
    <row r="596" spans="1:3" x14ac:dyDescent="0.3">
      <c r="A596">
        <f t="shared" si="11"/>
        <v>595</v>
      </c>
      <c r="B596">
        <v>2015</v>
      </c>
      <c r="C596">
        <v>0</v>
      </c>
    </row>
    <row r="597" spans="1:3" x14ac:dyDescent="0.3">
      <c r="A597">
        <f t="shared" si="11"/>
        <v>596</v>
      </c>
      <c r="B597">
        <v>2015</v>
      </c>
      <c r="C597">
        <v>0</v>
      </c>
    </row>
    <row r="598" spans="1:3" x14ac:dyDescent="0.3">
      <c r="A598">
        <f t="shared" si="11"/>
        <v>597</v>
      </c>
      <c r="B598">
        <v>2015</v>
      </c>
      <c r="C598">
        <v>0</v>
      </c>
    </row>
    <row r="599" spans="1:3" x14ac:dyDescent="0.3">
      <c r="A599">
        <f t="shared" si="11"/>
        <v>598</v>
      </c>
      <c r="B599">
        <v>2015</v>
      </c>
      <c r="C599">
        <v>0</v>
      </c>
    </row>
    <row r="600" spans="1:3" x14ac:dyDescent="0.3">
      <c r="A600">
        <f t="shared" si="11"/>
        <v>599</v>
      </c>
      <c r="B600">
        <v>2015</v>
      </c>
      <c r="C600">
        <v>0</v>
      </c>
    </row>
    <row r="601" spans="1:3" x14ac:dyDescent="0.3">
      <c r="A601">
        <f t="shared" si="11"/>
        <v>600</v>
      </c>
      <c r="B601">
        <v>2015</v>
      </c>
      <c r="C601">
        <v>0</v>
      </c>
    </row>
    <row r="602" spans="1:3" x14ac:dyDescent="0.3">
      <c r="A602">
        <f t="shared" si="11"/>
        <v>601</v>
      </c>
      <c r="B602">
        <v>2015</v>
      </c>
      <c r="C602">
        <v>0</v>
      </c>
    </row>
    <row r="603" spans="1:3" x14ac:dyDescent="0.3">
      <c r="A603">
        <f t="shared" si="11"/>
        <v>602</v>
      </c>
      <c r="B603">
        <v>2015</v>
      </c>
      <c r="C603">
        <v>0</v>
      </c>
    </row>
    <row r="604" spans="1:3" x14ac:dyDescent="0.3">
      <c r="A604">
        <f t="shared" si="11"/>
        <v>603</v>
      </c>
      <c r="B604">
        <v>2014</v>
      </c>
      <c r="C604">
        <v>0</v>
      </c>
    </row>
    <row r="605" spans="1:3" x14ac:dyDescent="0.3">
      <c r="A605">
        <f t="shared" si="11"/>
        <v>604</v>
      </c>
      <c r="B605">
        <v>2014</v>
      </c>
      <c r="C605">
        <v>0</v>
      </c>
    </row>
    <row r="606" spans="1:3" x14ac:dyDescent="0.3">
      <c r="A606">
        <f t="shared" si="11"/>
        <v>605</v>
      </c>
      <c r="B606">
        <v>2014</v>
      </c>
      <c r="C606">
        <v>0</v>
      </c>
    </row>
    <row r="607" spans="1:3" x14ac:dyDescent="0.3">
      <c r="A607">
        <f t="shared" si="11"/>
        <v>606</v>
      </c>
      <c r="B607">
        <v>2014</v>
      </c>
      <c r="C607">
        <v>0</v>
      </c>
    </row>
    <row r="608" spans="1:3" x14ac:dyDescent="0.3">
      <c r="A608">
        <f t="shared" si="11"/>
        <v>607</v>
      </c>
      <c r="B608">
        <v>2013</v>
      </c>
      <c r="C608">
        <v>0</v>
      </c>
    </row>
    <row r="609" spans="1:3" x14ac:dyDescent="0.3">
      <c r="A609">
        <f t="shared" si="11"/>
        <v>608</v>
      </c>
      <c r="B609">
        <v>2013</v>
      </c>
      <c r="C609">
        <v>0</v>
      </c>
    </row>
    <row r="610" spans="1:3" x14ac:dyDescent="0.3">
      <c r="A610">
        <f t="shared" si="11"/>
        <v>609</v>
      </c>
      <c r="B610">
        <v>2013</v>
      </c>
      <c r="C610">
        <v>0</v>
      </c>
    </row>
    <row r="611" spans="1:3" x14ac:dyDescent="0.3">
      <c r="A611">
        <f t="shared" si="11"/>
        <v>610</v>
      </c>
      <c r="B611">
        <v>2013</v>
      </c>
      <c r="C611">
        <v>0</v>
      </c>
    </row>
    <row r="612" spans="1:3" x14ac:dyDescent="0.3">
      <c r="A612">
        <f t="shared" si="11"/>
        <v>611</v>
      </c>
      <c r="B612">
        <v>2012</v>
      </c>
      <c r="C612">
        <v>0</v>
      </c>
    </row>
    <row r="613" spans="1:3" x14ac:dyDescent="0.3">
      <c r="A613">
        <f t="shared" si="11"/>
        <v>612</v>
      </c>
      <c r="B613">
        <v>2012</v>
      </c>
      <c r="C613">
        <v>0</v>
      </c>
    </row>
    <row r="614" spans="1:3" x14ac:dyDescent="0.3">
      <c r="A614">
        <f t="shared" si="11"/>
        <v>613</v>
      </c>
      <c r="B614">
        <v>2012</v>
      </c>
      <c r="C614">
        <v>0</v>
      </c>
    </row>
    <row r="615" spans="1:3" x14ac:dyDescent="0.3">
      <c r="A615">
        <f t="shared" si="11"/>
        <v>614</v>
      </c>
      <c r="B615">
        <v>2012</v>
      </c>
      <c r="C615">
        <v>0</v>
      </c>
    </row>
    <row r="616" spans="1:3" x14ac:dyDescent="0.3">
      <c r="A616">
        <f t="shared" si="11"/>
        <v>615</v>
      </c>
      <c r="B616">
        <v>2011</v>
      </c>
      <c r="C616">
        <v>0</v>
      </c>
    </row>
    <row r="617" spans="1:3" x14ac:dyDescent="0.3">
      <c r="A617">
        <f t="shared" si="11"/>
        <v>616</v>
      </c>
      <c r="B617">
        <v>2011</v>
      </c>
      <c r="C617">
        <v>0</v>
      </c>
    </row>
    <row r="618" spans="1:3" x14ac:dyDescent="0.3">
      <c r="A618">
        <f t="shared" si="11"/>
        <v>617</v>
      </c>
      <c r="B618">
        <v>2011</v>
      </c>
      <c r="C618">
        <v>0</v>
      </c>
    </row>
    <row r="619" spans="1:3" x14ac:dyDescent="0.3">
      <c r="A619">
        <f t="shared" si="11"/>
        <v>618</v>
      </c>
      <c r="B619">
        <v>2010</v>
      </c>
      <c r="C619">
        <v>0</v>
      </c>
    </row>
    <row r="620" spans="1:3" x14ac:dyDescent="0.3">
      <c r="A620">
        <f t="shared" si="11"/>
        <v>619</v>
      </c>
      <c r="B620">
        <v>2010</v>
      </c>
      <c r="C620">
        <v>0</v>
      </c>
    </row>
    <row r="621" spans="1:3" x14ac:dyDescent="0.3">
      <c r="A621">
        <f t="shared" si="11"/>
        <v>620</v>
      </c>
      <c r="B621">
        <v>2009</v>
      </c>
      <c r="C621">
        <v>0</v>
      </c>
    </row>
    <row r="622" spans="1:3" x14ac:dyDescent="0.3">
      <c r="A622">
        <f t="shared" si="11"/>
        <v>621</v>
      </c>
      <c r="B622">
        <v>2007</v>
      </c>
      <c r="C622">
        <v>0</v>
      </c>
    </row>
    <row r="623" spans="1:3" x14ac:dyDescent="0.3">
      <c r="A623">
        <f t="shared" si="11"/>
        <v>622</v>
      </c>
      <c r="B623">
        <v>1999</v>
      </c>
      <c r="C623">
        <v>0</v>
      </c>
    </row>
    <row r="624" spans="1:3" x14ac:dyDescent="0.3">
      <c r="A624">
        <f t="shared" si="11"/>
        <v>623</v>
      </c>
      <c r="B624">
        <v>1994</v>
      </c>
      <c r="C624">
        <v>0</v>
      </c>
    </row>
  </sheetData>
  <autoFilter ref="B1:B634" xr:uid="{8202FA24-07F9-434A-BDE9-14D8F0248A41}"/>
  <sortState xmlns:xlrd2="http://schemas.microsoft.com/office/spreadsheetml/2017/richdata2" ref="I2:K634">
    <sortCondition ref="I1:I634"/>
  </sortState>
  <pageMargins left="0.7" right="0.7" top="0.75" bottom="0.75" header="0.3" footer="0.3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C7E504-4F7E-45E0-A8AD-976265C84A83}">
  <dimension ref="A1:G32"/>
  <sheetViews>
    <sheetView topLeftCell="A9" workbookViewId="0"/>
  </sheetViews>
  <sheetFormatPr defaultRowHeight="14.4" x14ac:dyDescent="0.3"/>
  <cols>
    <col min="1" max="1" width="3.5546875" style="1" customWidth="1"/>
    <col min="2" max="2" width="33.33203125" style="2" customWidth="1"/>
    <col min="3" max="3" width="15.88671875" customWidth="1"/>
    <col min="4" max="4" width="21.109375" customWidth="1"/>
    <col min="5" max="5" width="5.77734375" customWidth="1"/>
    <col min="6" max="6" width="8.21875" customWidth="1"/>
    <col min="7" max="7" width="8" customWidth="1"/>
  </cols>
  <sheetData>
    <row r="1" spans="1:7" ht="30" thickTop="1" thickBot="1" x14ac:dyDescent="0.35">
      <c r="A1" s="3"/>
      <c r="B1" s="4" t="s">
        <v>2852</v>
      </c>
      <c r="C1" s="5" t="s">
        <v>2853</v>
      </c>
      <c r="D1" s="5" t="s">
        <v>2854</v>
      </c>
      <c r="E1" s="5" t="s">
        <v>2855</v>
      </c>
      <c r="F1" s="4" t="s">
        <v>2856</v>
      </c>
      <c r="G1" s="4" t="s">
        <v>2857</v>
      </c>
    </row>
    <row r="2" spans="1:7" ht="29.4" thickTop="1" x14ac:dyDescent="0.3">
      <c r="A2" s="1">
        <v>1</v>
      </c>
      <c r="B2" s="2" t="s">
        <v>27</v>
      </c>
      <c r="C2" s="2" t="s">
        <v>28</v>
      </c>
      <c r="D2" s="2" t="s">
        <v>30</v>
      </c>
      <c r="E2">
        <v>2012</v>
      </c>
      <c r="F2">
        <v>734</v>
      </c>
      <c r="G2">
        <v>56.46</v>
      </c>
    </row>
    <row r="3" spans="1:7" ht="28.8" x14ac:dyDescent="0.3">
      <c r="A3" s="1">
        <f>+A2+1</f>
        <v>2</v>
      </c>
      <c r="B3" s="2" t="s">
        <v>36</v>
      </c>
      <c r="C3" s="2" t="s">
        <v>37</v>
      </c>
      <c r="D3" s="2" t="s">
        <v>38</v>
      </c>
      <c r="E3">
        <v>1996</v>
      </c>
      <c r="F3">
        <v>660</v>
      </c>
      <c r="G3">
        <v>22.76</v>
      </c>
    </row>
    <row r="4" spans="1:7" ht="28.8" x14ac:dyDescent="0.3">
      <c r="A4" s="1">
        <f t="shared" ref="A4:A31" si="0">+A3+1</f>
        <v>3</v>
      </c>
      <c r="B4" s="2" t="s">
        <v>41</v>
      </c>
      <c r="C4" s="2" t="s">
        <v>42</v>
      </c>
      <c r="D4" s="2" t="s">
        <v>43</v>
      </c>
      <c r="E4">
        <v>2014</v>
      </c>
      <c r="F4">
        <v>204</v>
      </c>
      <c r="G4">
        <v>18.55</v>
      </c>
    </row>
    <row r="5" spans="1:7" ht="57.6" x14ac:dyDescent="0.3">
      <c r="A5" s="1">
        <f t="shared" si="0"/>
        <v>4</v>
      </c>
      <c r="B5" s="2" t="s">
        <v>46</v>
      </c>
      <c r="C5" s="2" t="s">
        <v>47</v>
      </c>
      <c r="D5" s="2" t="s">
        <v>48</v>
      </c>
      <c r="E5">
        <v>2013</v>
      </c>
      <c r="F5">
        <v>186</v>
      </c>
      <c r="G5">
        <v>15.5</v>
      </c>
    </row>
    <row r="6" spans="1:7" ht="43.2" x14ac:dyDescent="0.3">
      <c r="A6" s="1">
        <f t="shared" si="0"/>
        <v>5</v>
      </c>
      <c r="B6" s="2" t="s">
        <v>51</v>
      </c>
      <c r="C6" s="2" t="s">
        <v>52</v>
      </c>
      <c r="D6" s="2" t="s">
        <v>53</v>
      </c>
      <c r="E6">
        <v>2015</v>
      </c>
      <c r="F6">
        <v>154</v>
      </c>
      <c r="G6">
        <v>15.4</v>
      </c>
    </row>
    <row r="7" spans="1:7" ht="43.2" x14ac:dyDescent="0.3">
      <c r="A7" s="1">
        <f t="shared" si="0"/>
        <v>6</v>
      </c>
      <c r="B7" s="2" t="s">
        <v>56</v>
      </c>
      <c r="C7" s="2" t="s">
        <v>57</v>
      </c>
      <c r="D7" s="2" t="s">
        <v>58</v>
      </c>
      <c r="E7">
        <v>2020</v>
      </c>
      <c r="F7">
        <v>118</v>
      </c>
      <c r="G7">
        <v>23.6</v>
      </c>
    </row>
    <row r="8" spans="1:7" ht="144" x14ac:dyDescent="0.3">
      <c r="A8" s="1">
        <f t="shared" si="0"/>
        <v>7</v>
      </c>
      <c r="B8" s="2" t="s">
        <v>61</v>
      </c>
      <c r="C8" s="2" t="s">
        <v>62</v>
      </c>
      <c r="D8" s="2" t="s">
        <v>63</v>
      </c>
      <c r="E8">
        <v>2019</v>
      </c>
      <c r="F8">
        <v>107</v>
      </c>
      <c r="G8">
        <v>17.829999999999998</v>
      </c>
    </row>
    <row r="9" spans="1:7" ht="72" x14ac:dyDescent="0.3">
      <c r="A9" s="1">
        <f t="shared" si="0"/>
        <v>8</v>
      </c>
      <c r="B9" s="2" t="s">
        <v>66</v>
      </c>
      <c r="C9" s="2" t="s">
        <v>67</v>
      </c>
      <c r="D9" s="2" t="s">
        <v>68</v>
      </c>
      <c r="E9">
        <v>2018</v>
      </c>
      <c r="F9">
        <v>105</v>
      </c>
      <c r="G9">
        <v>15</v>
      </c>
    </row>
    <row r="10" spans="1:7" ht="57.6" x14ac:dyDescent="0.3">
      <c r="A10" s="1">
        <f t="shared" si="0"/>
        <v>9</v>
      </c>
      <c r="B10" s="2" t="s">
        <v>71</v>
      </c>
      <c r="C10" s="2" t="s">
        <v>72</v>
      </c>
      <c r="D10" s="2" t="s">
        <v>73</v>
      </c>
      <c r="E10">
        <v>2001</v>
      </c>
      <c r="F10">
        <v>94</v>
      </c>
      <c r="G10">
        <v>3.92</v>
      </c>
    </row>
    <row r="11" spans="1:7" ht="57.6" x14ac:dyDescent="0.3">
      <c r="A11" s="1">
        <f t="shared" si="0"/>
        <v>10</v>
      </c>
      <c r="B11" s="2" t="s">
        <v>76</v>
      </c>
      <c r="C11" s="2" t="s">
        <v>77</v>
      </c>
      <c r="D11" s="2" t="s">
        <v>78</v>
      </c>
      <c r="E11">
        <v>2018</v>
      </c>
      <c r="F11">
        <v>91</v>
      </c>
      <c r="G11">
        <v>13</v>
      </c>
    </row>
    <row r="12" spans="1:7" ht="86.4" x14ac:dyDescent="0.3">
      <c r="A12" s="1">
        <f t="shared" si="0"/>
        <v>11</v>
      </c>
      <c r="B12" s="2" t="s">
        <v>80</v>
      </c>
      <c r="C12" s="2" t="s">
        <v>81</v>
      </c>
      <c r="D12" s="2" t="s">
        <v>82</v>
      </c>
      <c r="E12">
        <v>2018</v>
      </c>
      <c r="F12">
        <v>87</v>
      </c>
      <c r="G12">
        <v>12.43</v>
      </c>
    </row>
    <row r="13" spans="1:7" ht="43.2" x14ac:dyDescent="0.3">
      <c r="A13" s="1">
        <f t="shared" si="0"/>
        <v>12</v>
      </c>
      <c r="B13" s="2" t="s">
        <v>86</v>
      </c>
      <c r="C13" s="2" t="s">
        <v>87</v>
      </c>
      <c r="D13" s="2" t="s">
        <v>88</v>
      </c>
      <c r="E13">
        <v>2016</v>
      </c>
      <c r="F13">
        <v>87</v>
      </c>
      <c r="G13">
        <v>9.67</v>
      </c>
    </row>
    <row r="14" spans="1:7" ht="72" x14ac:dyDescent="0.3">
      <c r="A14" s="1">
        <f t="shared" si="0"/>
        <v>13</v>
      </c>
      <c r="B14" s="2" t="s">
        <v>91</v>
      </c>
      <c r="C14" s="2" t="s">
        <v>92</v>
      </c>
      <c r="D14" s="2" t="s">
        <v>48</v>
      </c>
      <c r="E14">
        <v>2019</v>
      </c>
      <c r="F14">
        <v>86</v>
      </c>
      <c r="G14">
        <v>14.33</v>
      </c>
    </row>
    <row r="15" spans="1:7" ht="115.2" x14ac:dyDescent="0.3">
      <c r="A15" s="1">
        <f t="shared" si="0"/>
        <v>14</v>
      </c>
      <c r="B15" s="2" t="s">
        <v>94</v>
      </c>
      <c r="C15" s="2" t="s">
        <v>95</v>
      </c>
      <c r="D15" s="2" t="s">
        <v>96</v>
      </c>
      <c r="E15">
        <v>2018</v>
      </c>
      <c r="F15">
        <v>83</v>
      </c>
      <c r="G15">
        <v>11.86</v>
      </c>
    </row>
    <row r="16" spans="1:7" ht="57.6" x14ac:dyDescent="0.3">
      <c r="A16" s="1">
        <f t="shared" si="0"/>
        <v>15</v>
      </c>
      <c r="B16" s="2" t="s">
        <v>99</v>
      </c>
      <c r="C16" s="2" t="s">
        <v>100</v>
      </c>
      <c r="D16" s="2" t="s">
        <v>101</v>
      </c>
      <c r="E16">
        <v>2011</v>
      </c>
      <c r="F16">
        <v>83</v>
      </c>
      <c r="G16">
        <v>5.93</v>
      </c>
    </row>
    <row r="17" spans="1:7" ht="43.2" x14ac:dyDescent="0.3">
      <c r="A17" s="1">
        <f t="shared" si="0"/>
        <v>16</v>
      </c>
      <c r="B17" s="2" t="s">
        <v>104</v>
      </c>
      <c r="C17" s="2" t="s">
        <v>105</v>
      </c>
      <c r="D17" s="2" t="s">
        <v>106</v>
      </c>
      <c r="E17">
        <v>2005</v>
      </c>
      <c r="F17">
        <v>77</v>
      </c>
      <c r="G17">
        <v>3.85</v>
      </c>
    </row>
    <row r="18" spans="1:7" ht="43.2" x14ac:dyDescent="0.3">
      <c r="A18" s="1">
        <f t="shared" si="0"/>
        <v>17</v>
      </c>
      <c r="B18" s="2" t="s">
        <v>109</v>
      </c>
      <c r="C18" s="2" t="s">
        <v>110</v>
      </c>
      <c r="D18" s="2" t="s">
        <v>111</v>
      </c>
      <c r="E18">
        <v>2010</v>
      </c>
      <c r="F18">
        <v>72</v>
      </c>
      <c r="G18">
        <v>4.8</v>
      </c>
    </row>
    <row r="19" spans="1:7" ht="144" x14ac:dyDescent="0.3">
      <c r="A19" s="1">
        <f t="shared" si="0"/>
        <v>18</v>
      </c>
      <c r="B19" s="2" t="s">
        <v>114</v>
      </c>
      <c r="C19" s="2" t="s">
        <v>115</v>
      </c>
      <c r="D19" s="2" t="s">
        <v>116</v>
      </c>
      <c r="E19">
        <v>2013</v>
      </c>
      <c r="F19">
        <v>70</v>
      </c>
      <c r="G19">
        <v>5.83</v>
      </c>
    </row>
    <row r="20" spans="1:7" ht="57.6" x14ac:dyDescent="0.3">
      <c r="A20" s="1">
        <f t="shared" si="0"/>
        <v>19</v>
      </c>
      <c r="B20" s="2" t="s">
        <v>119</v>
      </c>
      <c r="C20" s="2" t="s">
        <v>120</v>
      </c>
      <c r="D20" s="2" t="s">
        <v>121</v>
      </c>
      <c r="E20">
        <v>2011</v>
      </c>
      <c r="F20">
        <v>69</v>
      </c>
      <c r="G20">
        <v>4.93</v>
      </c>
    </row>
    <row r="21" spans="1:7" ht="57.6" x14ac:dyDescent="0.3">
      <c r="A21" s="1">
        <f t="shared" si="0"/>
        <v>20</v>
      </c>
      <c r="B21" s="2" t="s">
        <v>124</v>
      </c>
      <c r="C21" s="2" t="s">
        <v>125</v>
      </c>
      <c r="D21" s="2" t="s">
        <v>126</v>
      </c>
      <c r="E21">
        <v>2019</v>
      </c>
      <c r="F21">
        <v>61</v>
      </c>
      <c r="G21">
        <v>10.17</v>
      </c>
    </row>
    <row r="22" spans="1:7" ht="28.8" x14ac:dyDescent="0.3">
      <c r="A22" s="1">
        <f t="shared" si="0"/>
        <v>21</v>
      </c>
      <c r="B22" s="2" t="s">
        <v>129</v>
      </c>
      <c r="C22" s="2" t="s">
        <v>130</v>
      </c>
      <c r="D22" s="2" t="s">
        <v>131</v>
      </c>
      <c r="E22">
        <v>2006</v>
      </c>
      <c r="F22">
        <v>58</v>
      </c>
      <c r="G22">
        <v>3.05</v>
      </c>
    </row>
    <row r="23" spans="1:7" ht="28.8" x14ac:dyDescent="0.3">
      <c r="A23" s="1">
        <f t="shared" si="0"/>
        <v>22</v>
      </c>
      <c r="B23" s="2" t="s">
        <v>136</v>
      </c>
      <c r="C23" s="2" t="s">
        <v>137</v>
      </c>
      <c r="D23" s="2" t="s">
        <v>121</v>
      </c>
      <c r="E23">
        <v>2010</v>
      </c>
      <c r="F23">
        <v>50</v>
      </c>
      <c r="G23">
        <v>3.33</v>
      </c>
    </row>
    <row r="24" spans="1:7" ht="43.2" x14ac:dyDescent="0.3">
      <c r="A24" s="1">
        <f t="shared" si="0"/>
        <v>23</v>
      </c>
      <c r="B24" s="2" t="s">
        <v>140</v>
      </c>
      <c r="C24" s="2" t="s">
        <v>141</v>
      </c>
      <c r="D24" s="2" t="s">
        <v>142</v>
      </c>
      <c r="E24">
        <v>2010</v>
      </c>
      <c r="F24">
        <v>50</v>
      </c>
      <c r="G24">
        <v>3.33</v>
      </c>
    </row>
    <row r="25" spans="1:7" ht="57.6" x14ac:dyDescent="0.3">
      <c r="A25" s="1">
        <f t="shared" si="0"/>
        <v>24</v>
      </c>
      <c r="B25" s="2" t="s">
        <v>145</v>
      </c>
      <c r="C25" s="2" t="s">
        <v>146</v>
      </c>
      <c r="D25" s="2" t="s">
        <v>147</v>
      </c>
      <c r="E25">
        <v>2018</v>
      </c>
      <c r="F25">
        <v>48</v>
      </c>
      <c r="G25">
        <v>6.86</v>
      </c>
    </row>
    <row r="26" spans="1:7" ht="86.4" x14ac:dyDescent="0.3">
      <c r="A26" s="1">
        <f t="shared" si="0"/>
        <v>25</v>
      </c>
      <c r="B26" s="2" t="s">
        <v>150</v>
      </c>
      <c r="C26" s="2" t="s">
        <v>151</v>
      </c>
      <c r="D26" s="2" t="s">
        <v>152</v>
      </c>
      <c r="E26">
        <v>2015</v>
      </c>
      <c r="F26">
        <v>47</v>
      </c>
      <c r="G26">
        <v>4.7</v>
      </c>
    </row>
    <row r="27" spans="1:7" ht="72" x14ac:dyDescent="0.3">
      <c r="A27" s="1">
        <f t="shared" si="0"/>
        <v>26</v>
      </c>
      <c r="B27" s="2" t="s">
        <v>155</v>
      </c>
      <c r="C27" s="2" t="s">
        <v>156</v>
      </c>
      <c r="D27" s="2" t="s">
        <v>157</v>
      </c>
      <c r="E27">
        <v>2022</v>
      </c>
      <c r="F27">
        <v>45</v>
      </c>
      <c r="G27">
        <v>11.25</v>
      </c>
    </row>
    <row r="28" spans="1:7" ht="57.6" x14ac:dyDescent="0.3">
      <c r="A28" s="1">
        <f t="shared" si="0"/>
        <v>27</v>
      </c>
      <c r="B28" s="2" t="s">
        <v>160</v>
      </c>
      <c r="C28" s="2" t="s">
        <v>161</v>
      </c>
      <c r="D28" s="2" t="s">
        <v>162</v>
      </c>
      <c r="E28">
        <v>2012</v>
      </c>
      <c r="F28">
        <v>43</v>
      </c>
      <c r="G28">
        <v>3.31</v>
      </c>
    </row>
    <row r="29" spans="1:7" ht="57.6" x14ac:dyDescent="0.3">
      <c r="A29" s="1">
        <f t="shared" si="0"/>
        <v>28</v>
      </c>
      <c r="B29" s="2" t="s">
        <v>165</v>
      </c>
      <c r="C29" s="2" t="s">
        <v>166</v>
      </c>
      <c r="D29" s="2" t="s">
        <v>167</v>
      </c>
      <c r="E29">
        <v>2019</v>
      </c>
      <c r="F29">
        <v>42</v>
      </c>
      <c r="G29">
        <v>7</v>
      </c>
    </row>
    <row r="30" spans="1:7" ht="57.6" x14ac:dyDescent="0.3">
      <c r="A30" s="1">
        <f t="shared" si="0"/>
        <v>29</v>
      </c>
      <c r="B30" s="2" t="s">
        <v>170</v>
      </c>
      <c r="C30" s="2" t="s">
        <v>171</v>
      </c>
      <c r="D30" s="2" t="s">
        <v>48</v>
      </c>
      <c r="E30">
        <v>2016</v>
      </c>
      <c r="F30">
        <v>42</v>
      </c>
      <c r="G30">
        <v>4.67</v>
      </c>
    </row>
    <row r="31" spans="1:7" ht="72.599999999999994" thickBot="1" x14ac:dyDescent="0.35">
      <c r="A31" s="6">
        <f t="shared" si="0"/>
        <v>30</v>
      </c>
      <c r="B31" s="7" t="s">
        <v>173</v>
      </c>
      <c r="C31" s="7" t="s">
        <v>174</v>
      </c>
      <c r="D31" s="7" t="s">
        <v>175</v>
      </c>
      <c r="E31" s="8">
        <v>2015</v>
      </c>
      <c r="F31" s="8">
        <v>42</v>
      </c>
      <c r="G31" s="8">
        <v>4.2</v>
      </c>
    </row>
    <row r="32" spans="1:7" ht="15" thickTop="1" x14ac:dyDescent="0.3"/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84DD6C5-F768-432F-9F05-120564D7F0B4}">
  <dimension ref="A1:Q626"/>
  <sheetViews>
    <sheetView topLeftCell="C1" workbookViewId="0">
      <selection activeCell="I33" sqref="I1:Q33"/>
    </sheetView>
  </sheetViews>
  <sheetFormatPr defaultRowHeight="14.4" x14ac:dyDescent="0.3"/>
  <cols>
    <col min="1" max="1" width="5.44140625" style="1" customWidth="1"/>
    <col min="2" max="2" width="38.109375" customWidth="1"/>
    <col min="3" max="6" width="14.109375" customWidth="1"/>
    <col min="7" max="8" width="13.21875" customWidth="1"/>
    <col min="9" max="9" width="4" style="1" customWidth="1"/>
    <col min="10" max="10" width="22.33203125" customWidth="1"/>
    <col min="11" max="11" width="7.6640625" style="9" customWidth="1"/>
    <col min="12" max="12" width="8.109375" style="10" customWidth="1"/>
    <col min="13" max="13" width="6.5546875" customWidth="1"/>
    <col min="14" max="14" width="4.44140625" customWidth="1"/>
    <col min="15" max="15" width="22.33203125" customWidth="1"/>
    <col min="16" max="16" width="7.6640625" customWidth="1"/>
    <col min="17" max="17" width="8.109375" customWidth="1"/>
  </cols>
  <sheetData>
    <row r="1" spans="1:17" ht="15" thickTop="1" x14ac:dyDescent="0.3">
      <c r="I1" s="22" t="s">
        <v>2866</v>
      </c>
      <c r="J1" s="22"/>
      <c r="K1" s="22"/>
      <c r="L1" s="22"/>
      <c r="M1" s="14"/>
      <c r="N1" s="22" t="s">
        <v>2867</v>
      </c>
      <c r="O1" s="22"/>
      <c r="P1" s="22"/>
      <c r="Q1" s="22"/>
    </row>
    <row r="2" spans="1:17" ht="15" thickBot="1" x14ac:dyDescent="0.35">
      <c r="I2" s="23" t="s">
        <v>2865</v>
      </c>
      <c r="J2" s="23"/>
      <c r="K2" s="23"/>
      <c r="L2" s="23"/>
      <c r="M2" s="8"/>
      <c r="N2" s="23" t="s">
        <v>2868</v>
      </c>
      <c r="O2" s="23"/>
      <c r="P2" s="23"/>
      <c r="Q2" s="23"/>
    </row>
    <row r="3" spans="1:17" ht="30" thickTop="1" thickBot="1" x14ac:dyDescent="0.35">
      <c r="A3" s="1" t="s">
        <v>2861</v>
      </c>
      <c r="B3" t="s">
        <v>2863</v>
      </c>
      <c r="C3" t="s">
        <v>25</v>
      </c>
      <c r="D3" s="12" t="s">
        <v>2861</v>
      </c>
      <c r="E3" s="13" t="s">
        <v>2863</v>
      </c>
      <c r="F3" s="11" t="s">
        <v>2864</v>
      </c>
      <c r="G3" s="10" t="s">
        <v>2862</v>
      </c>
      <c r="H3" s="10"/>
      <c r="I3" s="15" t="s">
        <v>2861</v>
      </c>
      <c r="J3" s="16" t="s">
        <v>2863</v>
      </c>
      <c r="K3" s="17" t="s">
        <v>2864</v>
      </c>
      <c r="L3" s="18" t="s">
        <v>2862</v>
      </c>
      <c r="M3" s="5"/>
      <c r="N3" s="15" t="s">
        <v>2861</v>
      </c>
      <c r="O3" s="16" t="s">
        <v>2863</v>
      </c>
      <c r="P3" s="17" t="s">
        <v>2864</v>
      </c>
      <c r="Q3" s="18" t="s">
        <v>2862</v>
      </c>
    </row>
    <row r="4" spans="1:17" ht="29.4" thickTop="1" x14ac:dyDescent="0.3">
      <c r="A4" s="1">
        <v>1</v>
      </c>
      <c r="B4" s="2" t="s">
        <v>30</v>
      </c>
      <c r="C4">
        <v>734</v>
      </c>
      <c r="D4" s="1">
        <v>1</v>
      </c>
      <c r="E4" s="2" t="s">
        <v>30</v>
      </c>
      <c r="F4" s="9">
        <f t="shared" ref="F4:F67" si="0">COUNTIF(B4:B626,J4)</f>
        <v>11</v>
      </c>
      <c r="G4" s="11">
        <f t="shared" ref="G4:G67" si="1">SUMIF($B$4:$B$626,E4,$C$4:$C$626)</f>
        <v>755</v>
      </c>
      <c r="H4" s="11"/>
      <c r="I4" s="1">
        <f>1</f>
        <v>1</v>
      </c>
      <c r="J4" s="2" t="s">
        <v>486</v>
      </c>
      <c r="K4" s="9">
        <v>11</v>
      </c>
      <c r="L4" s="11">
        <v>45</v>
      </c>
      <c r="M4" s="2"/>
      <c r="N4" s="1">
        <v>5</v>
      </c>
      <c r="O4" s="2" t="s">
        <v>30</v>
      </c>
      <c r="P4" s="9">
        <v>6</v>
      </c>
      <c r="Q4" s="11">
        <v>755</v>
      </c>
    </row>
    <row r="5" spans="1:17" ht="43.2" x14ac:dyDescent="0.3">
      <c r="A5" s="1">
        <f>+A4+1</f>
        <v>2</v>
      </c>
      <c r="B5" s="2" t="s">
        <v>38</v>
      </c>
      <c r="C5">
        <v>660</v>
      </c>
      <c r="D5" s="1">
        <f t="shared" ref="D5:D68" si="2">+D4+1</f>
        <v>2</v>
      </c>
      <c r="E5" s="2" t="s">
        <v>38</v>
      </c>
      <c r="F5" s="9">
        <f t="shared" si="0"/>
        <v>10</v>
      </c>
      <c r="G5" s="11">
        <f t="shared" si="1"/>
        <v>667</v>
      </c>
      <c r="H5" s="11"/>
      <c r="I5" s="1">
        <f>+I4+1</f>
        <v>2</v>
      </c>
      <c r="J5" s="2" t="s">
        <v>48</v>
      </c>
      <c r="K5" s="9">
        <v>10</v>
      </c>
      <c r="L5" s="11">
        <v>362</v>
      </c>
      <c r="M5" s="2"/>
      <c r="N5" s="1">
        <v>27</v>
      </c>
      <c r="O5" s="2" t="s">
        <v>38</v>
      </c>
      <c r="P5" s="9">
        <v>2</v>
      </c>
      <c r="Q5" s="11">
        <v>667</v>
      </c>
    </row>
    <row r="6" spans="1:17" ht="28.8" x14ac:dyDescent="0.3">
      <c r="A6" s="1">
        <f t="shared" ref="A6:A69" si="3">+A5+1</f>
        <v>3</v>
      </c>
      <c r="B6" s="2" t="s">
        <v>43</v>
      </c>
      <c r="C6">
        <v>204</v>
      </c>
      <c r="D6" s="1">
        <f t="shared" si="2"/>
        <v>3</v>
      </c>
      <c r="E6" s="2" t="s">
        <v>43</v>
      </c>
      <c r="F6" s="9">
        <f t="shared" si="0"/>
        <v>8</v>
      </c>
      <c r="G6" s="11">
        <f t="shared" si="1"/>
        <v>240</v>
      </c>
      <c r="H6" s="11"/>
      <c r="I6" s="1">
        <f t="shared" ref="I6:I69" si="4">+I5+1</f>
        <v>3</v>
      </c>
      <c r="J6" s="2" t="s">
        <v>200</v>
      </c>
      <c r="K6" s="9">
        <v>8</v>
      </c>
      <c r="L6" s="11">
        <v>99</v>
      </c>
      <c r="M6" s="2"/>
      <c r="N6" s="1">
        <v>2</v>
      </c>
      <c r="O6" s="2" t="s">
        <v>48</v>
      </c>
      <c r="P6" s="9">
        <v>10</v>
      </c>
      <c r="Q6" s="11">
        <v>362</v>
      </c>
    </row>
    <row r="7" spans="1:17" ht="43.2" x14ac:dyDescent="0.3">
      <c r="A7" s="1">
        <f t="shared" si="3"/>
        <v>4</v>
      </c>
      <c r="B7" s="2" t="s">
        <v>48</v>
      </c>
      <c r="C7">
        <v>186</v>
      </c>
      <c r="D7" s="1">
        <f t="shared" si="2"/>
        <v>4</v>
      </c>
      <c r="E7" s="2" t="s">
        <v>48</v>
      </c>
      <c r="F7" s="9">
        <f t="shared" si="0"/>
        <v>8</v>
      </c>
      <c r="G7" s="11">
        <f t="shared" si="1"/>
        <v>362</v>
      </c>
      <c r="H7" s="11"/>
      <c r="I7" s="1">
        <f t="shared" si="4"/>
        <v>4</v>
      </c>
      <c r="J7" s="2" t="s">
        <v>365</v>
      </c>
      <c r="K7" s="9">
        <v>8</v>
      </c>
      <c r="L7" s="11">
        <v>52</v>
      </c>
      <c r="M7" s="2"/>
      <c r="N7" s="1">
        <v>10</v>
      </c>
      <c r="O7" s="2" t="s">
        <v>43</v>
      </c>
      <c r="P7" s="9">
        <v>4</v>
      </c>
      <c r="Q7" s="11">
        <v>240</v>
      </c>
    </row>
    <row r="8" spans="1:17" x14ac:dyDescent="0.3">
      <c r="A8" s="1">
        <f t="shared" si="3"/>
        <v>5</v>
      </c>
      <c r="B8" s="2" t="s">
        <v>53</v>
      </c>
      <c r="C8">
        <v>154</v>
      </c>
      <c r="D8" s="1">
        <f t="shared" si="2"/>
        <v>5</v>
      </c>
      <c r="E8" s="2" t="s">
        <v>53</v>
      </c>
      <c r="F8" s="9">
        <f t="shared" si="0"/>
        <v>5</v>
      </c>
      <c r="G8" s="11">
        <f t="shared" si="1"/>
        <v>168</v>
      </c>
      <c r="H8" s="11"/>
      <c r="I8" s="1">
        <f t="shared" si="4"/>
        <v>5</v>
      </c>
      <c r="J8" s="2" t="s">
        <v>30</v>
      </c>
      <c r="K8" s="9">
        <v>6</v>
      </c>
      <c r="L8" s="11">
        <v>755</v>
      </c>
      <c r="M8" s="2"/>
      <c r="N8" s="1">
        <v>16</v>
      </c>
      <c r="O8" s="2" t="s">
        <v>53</v>
      </c>
      <c r="P8" s="9">
        <v>3</v>
      </c>
      <c r="Q8" s="11">
        <v>168</v>
      </c>
    </row>
    <row r="9" spans="1:17" ht="43.2" x14ac:dyDescent="0.3">
      <c r="A9" s="1">
        <f t="shared" si="3"/>
        <v>6</v>
      </c>
      <c r="B9" s="2" t="s">
        <v>58</v>
      </c>
      <c r="C9">
        <v>118</v>
      </c>
      <c r="D9" s="1">
        <f t="shared" si="2"/>
        <v>6</v>
      </c>
      <c r="E9" s="2" t="s">
        <v>58</v>
      </c>
      <c r="F9" s="9">
        <f t="shared" si="0"/>
        <v>6</v>
      </c>
      <c r="G9" s="11">
        <f t="shared" si="1"/>
        <v>118</v>
      </c>
      <c r="H9" s="11"/>
      <c r="I9" s="1">
        <f t="shared" si="4"/>
        <v>6</v>
      </c>
      <c r="J9" s="2" t="s">
        <v>696</v>
      </c>
      <c r="K9" s="9">
        <v>6</v>
      </c>
      <c r="L9" s="11">
        <v>18</v>
      </c>
      <c r="M9" s="2"/>
      <c r="N9" s="1">
        <v>32</v>
      </c>
      <c r="O9" s="2" t="s">
        <v>121</v>
      </c>
      <c r="P9" s="9">
        <v>2</v>
      </c>
      <c r="Q9" s="11">
        <v>119</v>
      </c>
    </row>
    <row r="10" spans="1:17" ht="86.4" x14ac:dyDescent="0.3">
      <c r="A10" s="1">
        <f t="shared" si="3"/>
        <v>7</v>
      </c>
      <c r="B10" s="2" t="s">
        <v>63</v>
      </c>
      <c r="C10">
        <v>107</v>
      </c>
      <c r="D10" s="1">
        <f t="shared" si="2"/>
        <v>7</v>
      </c>
      <c r="E10" s="2" t="s">
        <v>63</v>
      </c>
      <c r="F10" s="9">
        <f t="shared" si="0"/>
        <v>6</v>
      </c>
      <c r="G10" s="11">
        <f t="shared" si="1"/>
        <v>109</v>
      </c>
      <c r="H10" s="11"/>
      <c r="I10" s="1">
        <f t="shared" si="4"/>
        <v>7</v>
      </c>
      <c r="J10" s="2" t="s">
        <v>1513</v>
      </c>
      <c r="K10" s="9">
        <v>6</v>
      </c>
      <c r="L10" s="11">
        <v>2</v>
      </c>
      <c r="M10" s="2"/>
      <c r="N10" s="1">
        <v>76</v>
      </c>
      <c r="O10" s="2" t="s">
        <v>58</v>
      </c>
      <c r="P10" s="9">
        <v>1</v>
      </c>
      <c r="Q10" s="11">
        <v>118</v>
      </c>
    </row>
    <row r="11" spans="1:17" ht="72" x14ac:dyDescent="0.3">
      <c r="A11" s="1">
        <f t="shared" si="3"/>
        <v>8</v>
      </c>
      <c r="B11" s="2" t="s">
        <v>68</v>
      </c>
      <c r="C11">
        <v>105</v>
      </c>
      <c r="D11" s="1">
        <f t="shared" si="2"/>
        <v>8</v>
      </c>
      <c r="E11" s="2" t="s">
        <v>68</v>
      </c>
      <c r="F11" s="9">
        <f t="shared" si="0"/>
        <v>6</v>
      </c>
      <c r="G11" s="11">
        <f t="shared" si="1"/>
        <v>105</v>
      </c>
      <c r="H11" s="11"/>
      <c r="I11" s="1">
        <f t="shared" si="4"/>
        <v>8</v>
      </c>
      <c r="J11" s="2" t="s">
        <v>1729</v>
      </c>
      <c r="K11" s="9">
        <v>6</v>
      </c>
      <c r="L11" s="11">
        <v>1</v>
      </c>
      <c r="M11" s="2"/>
      <c r="N11" s="1">
        <v>28</v>
      </c>
      <c r="O11" s="2" t="s">
        <v>63</v>
      </c>
      <c r="P11" s="9">
        <v>2</v>
      </c>
      <c r="Q11" s="11">
        <v>109</v>
      </c>
    </row>
    <row r="12" spans="1:17" ht="28.8" x14ac:dyDescent="0.3">
      <c r="A12" s="1">
        <f t="shared" si="3"/>
        <v>9</v>
      </c>
      <c r="B12" s="2" t="s">
        <v>73</v>
      </c>
      <c r="C12">
        <v>94</v>
      </c>
      <c r="D12" s="1">
        <f t="shared" si="2"/>
        <v>9</v>
      </c>
      <c r="E12" s="2" t="s">
        <v>73</v>
      </c>
      <c r="F12" s="9">
        <f t="shared" si="0"/>
        <v>5</v>
      </c>
      <c r="G12" s="11">
        <f t="shared" si="1"/>
        <v>94</v>
      </c>
      <c r="H12" s="11"/>
      <c r="I12" s="1">
        <f t="shared" si="4"/>
        <v>9</v>
      </c>
      <c r="J12" s="2" t="s">
        <v>157</v>
      </c>
      <c r="K12" s="9">
        <v>5</v>
      </c>
      <c r="L12" s="11">
        <v>56</v>
      </c>
      <c r="M12" s="2"/>
      <c r="N12" s="1">
        <v>77</v>
      </c>
      <c r="O12" s="2" t="s">
        <v>68</v>
      </c>
      <c r="P12" s="9">
        <v>1</v>
      </c>
      <c r="Q12" s="11">
        <v>105</v>
      </c>
    </row>
    <row r="13" spans="1:17" ht="57.6" x14ac:dyDescent="0.3">
      <c r="A13" s="1">
        <f t="shared" si="3"/>
        <v>10</v>
      </c>
      <c r="B13" s="2" t="s">
        <v>78</v>
      </c>
      <c r="C13">
        <v>91</v>
      </c>
      <c r="D13" s="1">
        <f t="shared" si="2"/>
        <v>10</v>
      </c>
      <c r="E13" s="2" t="s">
        <v>78</v>
      </c>
      <c r="F13" s="9">
        <f t="shared" si="0"/>
        <v>3</v>
      </c>
      <c r="G13" s="11">
        <f t="shared" si="1"/>
        <v>91</v>
      </c>
      <c r="H13" s="11"/>
      <c r="I13" s="1">
        <f t="shared" si="4"/>
        <v>10</v>
      </c>
      <c r="J13" s="2" t="s">
        <v>43</v>
      </c>
      <c r="K13" s="9">
        <v>4</v>
      </c>
      <c r="L13" s="11">
        <v>240</v>
      </c>
      <c r="M13" s="2"/>
      <c r="N13" s="1">
        <v>3</v>
      </c>
      <c r="O13" s="2" t="s">
        <v>200</v>
      </c>
      <c r="P13" s="9">
        <v>8</v>
      </c>
      <c r="Q13" s="11">
        <v>99</v>
      </c>
    </row>
    <row r="14" spans="1:17" ht="57.6" x14ac:dyDescent="0.3">
      <c r="A14" s="1">
        <f t="shared" si="3"/>
        <v>11</v>
      </c>
      <c r="B14" s="2" t="s">
        <v>82</v>
      </c>
      <c r="C14">
        <v>87</v>
      </c>
      <c r="D14" s="1">
        <f t="shared" si="2"/>
        <v>11</v>
      </c>
      <c r="E14" s="2" t="s">
        <v>82</v>
      </c>
      <c r="F14" s="9">
        <f t="shared" si="0"/>
        <v>4</v>
      </c>
      <c r="G14" s="11">
        <f t="shared" si="1"/>
        <v>87</v>
      </c>
      <c r="H14" s="11"/>
      <c r="I14" s="1">
        <f t="shared" si="4"/>
        <v>11</v>
      </c>
      <c r="J14" s="2" t="s">
        <v>328</v>
      </c>
      <c r="K14" s="9">
        <v>4</v>
      </c>
      <c r="L14" s="11">
        <v>45</v>
      </c>
      <c r="M14" s="2"/>
      <c r="N14" s="1">
        <v>78</v>
      </c>
      <c r="O14" s="2" t="s">
        <v>73</v>
      </c>
      <c r="P14" s="9">
        <v>1</v>
      </c>
      <c r="Q14" s="11">
        <v>94</v>
      </c>
    </row>
    <row r="15" spans="1:17" ht="57.6" x14ac:dyDescent="0.3">
      <c r="A15" s="1">
        <f t="shared" si="3"/>
        <v>12</v>
      </c>
      <c r="B15" s="2" t="s">
        <v>88</v>
      </c>
      <c r="C15">
        <v>87</v>
      </c>
      <c r="D15" s="1">
        <f t="shared" si="2"/>
        <v>12</v>
      </c>
      <c r="E15" s="2" t="s">
        <v>88</v>
      </c>
      <c r="F15" s="9">
        <f t="shared" si="0"/>
        <v>4</v>
      </c>
      <c r="G15" s="11">
        <f t="shared" si="1"/>
        <v>87</v>
      </c>
      <c r="H15" s="11"/>
      <c r="I15" s="1">
        <f t="shared" si="4"/>
        <v>12</v>
      </c>
      <c r="J15" s="2" t="s">
        <v>546</v>
      </c>
      <c r="K15" s="9">
        <v>4</v>
      </c>
      <c r="L15" s="11">
        <v>18</v>
      </c>
      <c r="M15" s="2"/>
      <c r="N15" s="1">
        <v>31</v>
      </c>
      <c r="O15" s="2" t="s">
        <v>116</v>
      </c>
      <c r="P15" s="9">
        <v>2</v>
      </c>
      <c r="Q15" s="11">
        <v>93</v>
      </c>
    </row>
    <row r="16" spans="1:17" ht="115.2" x14ac:dyDescent="0.3">
      <c r="A16" s="1">
        <f t="shared" si="3"/>
        <v>13</v>
      </c>
      <c r="B16" s="2" t="s">
        <v>48</v>
      </c>
      <c r="C16">
        <v>86</v>
      </c>
      <c r="D16" s="1">
        <f t="shared" si="2"/>
        <v>13</v>
      </c>
      <c r="E16" s="2" t="s">
        <v>96</v>
      </c>
      <c r="F16" s="9">
        <f t="shared" si="0"/>
        <v>4</v>
      </c>
      <c r="G16" s="11">
        <f t="shared" si="1"/>
        <v>83</v>
      </c>
      <c r="H16" s="11"/>
      <c r="I16" s="1">
        <f t="shared" si="4"/>
        <v>13</v>
      </c>
      <c r="J16" s="2" t="s">
        <v>982</v>
      </c>
      <c r="K16" s="9">
        <v>4</v>
      </c>
      <c r="L16" s="11">
        <v>9</v>
      </c>
      <c r="M16" s="2"/>
      <c r="N16" s="1">
        <v>29</v>
      </c>
      <c r="O16" s="2" t="s">
        <v>78</v>
      </c>
      <c r="P16" s="9">
        <v>2</v>
      </c>
      <c r="Q16" s="11">
        <v>91</v>
      </c>
    </row>
    <row r="17" spans="1:17" ht="43.2" x14ac:dyDescent="0.3">
      <c r="A17" s="1">
        <f t="shared" si="3"/>
        <v>14</v>
      </c>
      <c r="B17" s="2" t="s">
        <v>96</v>
      </c>
      <c r="C17">
        <v>83</v>
      </c>
      <c r="D17" s="1">
        <f t="shared" si="2"/>
        <v>14</v>
      </c>
      <c r="E17" s="2" t="s">
        <v>101</v>
      </c>
      <c r="F17" s="9">
        <f t="shared" si="0"/>
        <v>4</v>
      </c>
      <c r="G17" s="11">
        <f t="shared" si="1"/>
        <v>83</v>
      </c>
      <c r="H17" s="11"/>
      <c r="I17" s="1">
        <f t="shared" si="4"/>
        <v>14</v>
      </c>
      <c r="J17" s="2" t="s">
        <v>996</v>
      </c>
      <c r="K17" s="9">
        <v>4</v>
      </c>
      <c r="L17" s="11">
        <v>8</v>
      </c>
      <c r="M17" s="2"/>
      <c r="N17" s="1">
        <v>79</v>
      </c>
      <c r="O17" s="2" t="s">
        <v>82</v>
      </c>
      <c r="P17" s="9">
        <v>1</v>
      </c>
      <c r="Q17" s="11">
        <v>87</v>
      </c>
    </row>
    <row r="18" spans="1:17" ht="86.4" x14ac:dyDescent="0.3">
      <c r="A18" s="1">
        <f t="shared" si="3"/>
        <v>15</v>
      </c>
      <c r="B18" s="2" t="s">
        <v>101</v>
      </c>
      <c r="C18">
        <v>83</v>
      </c>
      <c r="D18" s="1">
        <f t="shared" si="2"/>
        <v>15</v>
      </c>
      <c r="E18" s="2" t="s">
        <v>106</v>
      </c>
      <c r="F18" s="9">
        <f t="shared" si="0"/>
        <v>4</v>
      </c>
      <c r="G18" s="11">
        <f t="shared" si="1"/>
        <v>77</v>
      </c>
      <c r="H18" s="11"/>
      <c r="I18" s="1">
        <f t="shared" si="4"/>
        <v>15</v>
      </c>
      <c r="J18" s="2" t="s">
        <v>1229</v>
      </c>
      <c r="K18" s="9">
        <v>4</v>
      </c>
      <c r="L18" s="11">
        <v>4</v>
      </c>
      <c r="M18" s="2"/>
      <c r="N18" s="1">
        <v>80</v>
      </c>
      <c r="O18" s="2" t="s">
        <v>88</v>
      </c>
      <c r="P18" s="9">
        <v>1</v>
      </c>
      <c r="Q18" s="11">
        <v>87</v>
      </c>
    </row>
    <row r="19" spans="1:17" ht="57.6" x14ac:dyDescent="0.3">
      <c r="A19" s="1">
        <f t="shared" si="3"/>
        <v>16</v>
      </c>
      <c r="B19" s="2" t="s">
        <v>106</v>
      </c>
      <c r="C19">
        <v>77</v>
      </c>
      <c r="D19" s="1">
        <f t="shared" si="2"/>
        <v>16</v>
      </c>
      <c r="E19" s="2" t="s">
        <v>111</v>
      </c>
      <c r="F19" s="9">
        <f t="shared" si="0"/>
        <v>2</v>
      </c>
      <c r="G19" s="11">
        <f t="shared" si="1"/>
        <v>76</v>
      </c>
      <c r="H19" s="11"/>
      <c r="I19" s="1">
        <f t="shared" si="4"/>
        <v>16</v>
      </c>
      <c r="J19" s="2" t="s">
        <v>53</v>
      </c>
      <c r="K19" s="9">
        <v>3</v>
      </c>
      <c r="L19" s="11">
        <v>168</v>
      </c>
      <c r="M19" s="2"/>
      <c r="N19" s="1">
        <v>81</v>
      </c>
      <c r="O19" s="2" t="s">
        <v>96</v>
      </c>
      <c r="P19" s="9">
        <v>1</v>
      </c>
      <c r="Q19" s="11">
        <v>83</v>
      </c>
    </row>
    <row r="20" spans="1:17" ht="28.8" x14ac:dyDescent="0.3">
      <c r="A20" s="1">
        <f t="shared" si="3"/>
        <v>17</v>
      </c>
      <c r="B20" s="2" t="s">
        <v>111</v>
      </c>
      <c r="C20">
        <v>72</v>
      </c>
      <c r="D20" s="1">
        <f t="shared" si="2"/>
        <v>17</v>
      </c>
      <c r="E20" s="2" t="s">
        <v>116</v>
      </c>
      <c r="F20" s="9">
        <f t="shared" si="0"/>
        <v>3</v>
      </c>
      <c r="G20" s="11">
        <f t="shared" si="1"/>
        <v>93</v>
      </c>
      <c r="H20" s="11"/>
      <c r="I20" s="1">
        <f t="shared" si="4"/>
        <v>17</v>
      </c>
      <c r="J20" s="2" t="s">
        <v>185</v>
      </c>
      <c r="K20" s="9">
        <v>3</v>
      </c>
      <c r="L20" s="11">
        <v>51</v>
      </c>
      <c r="M20" s="2"/>
      <c r="N20" s="1">
        <v>82</v>
      </c>
      <c r="O20" s="2" t="s">
        <v>101</v>
      </c>
      <c r="P20" s="9">
        <v>1</v>
      </c>
      <c r="Q20" s="11">
        <v>83</v>
      </c>
    </row>
    <row r="21" spans="1:17" ht="28.8" x14ac:dyDescent="0.3">
      <c r="A21" s="1">
        <f t="shared" si="3"/>
        <v>18</v>
      </c>
      <c r="B21" s="2" t="s">
        <v>116</v>
      </c>
      <c r="C21">
        <v>70</v>
      </c>
      <c r="D21" s="1">
        <f t="shared" si="2"/>
        <v>18</v>
      </c>
      <c r="E21" s="2" t="s">
        <v>121</v>
      </c>
      <c r="F21" s="9">
        <f t="shared" si="0"/>
        <v>3</v>
      </c>
      <c r="G21" s="11">
        <f t="shared" si="1"/>
        <v>119</v>
      </c>
      <c r="H21" s="11"/>
      <c r="I21" s="1">
        <f t="shared" si="4"/>
        <v>18</v>
      </c>
      <c r="J21" s="2" t="s">
        <v>276</v>
      </c>
      <c r="K21" s="9">
        <v>3</v>
      </c>
      <c r="L21" s="11">
        <v>25</v>
      </c>
      <c r="M21" s="2"/>
      <c r="N21" s="1">
        <v>83</v>
      </c>
      <c r="O21" s="2" t="s">
        <v>106</v>
      </c>
      <c r="P21" s="9">
        <v>1</v>
      </c>
      <c r="Q21" s="11">
        <v>77</v>
      </c>
    </row>
    <row r="22" spans="1:17" ht="57.6" x14ac:dyDescent="0.3">
      <c r="A22" s="1">
        <f t="shared" si="3"/>
        <v>19</v>
      </c>
      <c r="B22" s="2" t="s">
        <v>121</v>
      </c>
      <c r="C22">
        <v>69</v>
      </c>
      <c r="D22" s="1">
        <f t="shared" si="2"/>
        <v>19</v>
      </c>
      <c r="E22" s="2" t="s">
        <v>126</v>
      </c>
      <c r="F22" s="9">
        <f t="shared" si="0"/>
        <v>3</v>
      </c>
      <c r="G22" s="11">
        <f t="shared" si="1"/>
        <v>61</v>
      </c>
      <c r="H22" s="11"/>
      <c r="I22" s="1">
        <f t="shared" si="4"/>
        <v>19</v>
      </c>
      <c r="J22" s="2" t="s">
        <v>581</v>
      </c>
      <c r="K22" s="9">
        <v>3</v>
      </c>
      <c r="L22" s="11">
        <v>13</v>
      </c>
      <c r="M22" s="2"/>
      <c r="N22" s="1">
        <v>30</v>
      </c>
      <c r="O22" s="2" t="s">
        <v>111</v>
      </c>
      <c r="P22" s="9">
        <v>2</v>
      </c>
      <c r="Q22" s="11">
        <v>76</v>
      </c>
    </row>
    <row r="23" spans="1:17" ht="43.2" x14ac:dyDescent="0.3">
      <c r="A23" s="1">
        <f t="shared" si="3"/>
        <v>20</v>
      </c>
      <c r="B23" s="2" t="s">
        <v>126</v>
      </c>
      <c r="C23">
        <v>61</v>
      </c>
      <c r="D23" s="1">
        <f t="shared" si="2"/>
        <v>20</v>
      </c>
      <c r="E23" s="2" t="s">
        <v>131</v>
      </c>
      <c r="F23" s="9">
        <f t="shared" si="0"/>
        <v>3</v>
      </c>
      <c r="G23" s="11">
        <f t="shared" si="1"/>
        <v>58</v>
      </c>
      <c r="H23" s="11"/>
      <c r="I23" s="1">
        <f t="shared" si="4"/>
        <v>20</v>
      </c>
      <c r="J23" s="2" t="s">
        <v>897</v>
      </c>
      <c r="K23" s="9">
        <v>3</v>
      </c>
      <c r="L23" s="11">
        <v>9</v>
      </c>
      <c r="M23" s="2"/>
      <c r="N23" s="1">
        <v>84</v>
      </c>
      <c r="O23" s="2" t="s">
        <v>126</v>
      </c>
      <c r="P23" s="9">
        <v>1</v>
      </c>
      <c r="Q23" s="11">
        <v>61</v>
      </c>
    </row>
    <row r="24" spans="1:17" ht="57.6" x14ac:dyDescent="0.3">
      <c r="A24" s="1">
        <f t="shared" si="3"/>
        <v>21</v>
      </c>
      <c r="B24" s="2" t="s">
        <v>131</v>
      </c>
      <c r="C24">
        <v>58</v>
      </c>
      <c r="D24" s="1">
        <f t="shared" si="2"/>
        <v>21</v>
      </c>
      <c r="E24" s="2" t="s">
        <v>142</v>
      </c>
      <c r="F24" s="9">
        <f t="shared" si="0"/>
        <v>3</v>
      </c>
      <c r="G24" s="11">
        <f t="shared" si="1"/>
        <v>50</v>
      </c>
      <c r="H24" s="11"/>
      <c r="I24" s="1">
        <f t="shared" si="4"/>
        <v>21</v>
      </c>
      <c r="J24" s="2" t="s">
        <v>906</v>
      </c>
      <c r="K24" s="9">
        <v>3</v>
      </c>
      <c r="L24" s="11">
        <v>9</v>
      </c>
      <c r="M24" s="2"/>
      <c r="N24" s="1">
        <v>34</v>
      </c>
      <c r="O24" s="2" t="s">
        <v>167</v>
      </c>
      <c r="P24" s="9">
        <v>2</v>
      </c>
      <c r="Q24" s="11">
        <v>59</v>
      </c>
    </row>
    <row r="25" spans="1:17" ht="43.2" x14ac:dyDescent="0.3">
      <c r="A25" s="1">
        <f t="shared" si="3"/>
        <v>22</v>
      </c>
      <c r="B25" s="2" t="s">
        <v>121</v>
      </c>
      <c r="C25">
        <v>50</v>
      </c>
      <c r="D25" s="1">
        <f t="shared" si="2"/>
        <v>22</v>
      </c>
      <c r="E25" s="2" t="s">
        <v>147</v>
      </c>
      <c r="F25" s="9">
        <f t="shared" si="0"/>
        <v>3</v>
      </c>
      <c r="G25" s="11">
        <f t="shared" si="1"/>
        <v>48</v>
      </c>
      <c r="H25" s="11"/>
      <c r="I25" s="1">
        <f t="shared" si="4"/>
        <v>22</v>
      </c>
      <c r="J25" s="2" t="s">
        <v>1148</v>
      </c>
      <c r="K25" s="9">
        <v>3</v>
      </c>
      <c r="L25" s="11">
        <v>5</v>
      </c>
      <c r="M25" s="2"/>
      <c r="N25" s="1">
        <v>85</v>
      </c>
      <c r="O25" s="2" t="s">
        <v>131</v>
      </c>
      <c r="P25" s="9">
        <v>1</v>
      </c>
      <c r="Q25" s="11">
        <v>58</v>
      </c>
    </row>
    <row r="26" spans="1:17" ht="86.4" x14ac:dyDescent="0.3">
      <c r="A26" s="1">
        <f t="shared" si="3"/>
        <v>23</v>
      </c>
      <c r="B26" s="2" t="s">
        <v>142</v>
      </c>
      <c r="C26">
        <v>50</v>
      </c>
      <c r="D26" s="1">
        <f t="shared" si="2"/>
        <v>23</v>
      </c>
      <c r="E26" s="2" t="s">
        <v>152</v>
      </c>
      <c r="F26" s="9">
        <f t="shared" si="0"/>
        <v>3</v>
      </c>
      <c r="G26" s="11">
        <f t="shared" si="1"/>
        <v>52</v>
      </c>
      <c r="H26" s="11"/>
      <c r="I26" s="1">
        <f t="shared" si="4"/>
        <v>23</v>
      </c>
      <c r="J26" s="2" t="s">
        <v>1234</v>
      </c>
      <c r="K26" s="9">
        <v>3</v>
      </c>
      <c r="L26" s="11">
        <v>5</v>
      </c>
      <c r="M26" s="2"/>
      <c r="N26" s="1">
        <v>9</v>
      </c>
      <c r="O26" s="2" t="s">
        <v>157</v>
      </c>
      <c r="P26" s="9">
        <v>5</v>
      </c>
      <c r="Q26" s="11">
        <v>56</v>
      </c>
    </row>
    <row r="27" spans="1:17" ht="86.4" x14ac:dyDescent="0.3">
      <c r="A27" s="1">
        <f t="shared" si="3"/>
        <v>24</v>
      </c>
      <c r="B27" s="2" t="s">
        <v>147</v>
      </c>
      <c r="C27">
        <v>48</v>
      </c>
      <c r="D27" s="1">
        <f t="shared" si="2"/>
        <v>24</v>
      </c>
      <c r="E27" s="2" t="s">
        <v>157</v>
      </c>
      <c r="F27" s="9">
        <f t="shared" si="0"/>
        <v>3</v>
      </c>
      <c r="G27" s="11">
        <f t="shared" si="1"/>
        <v>56</v>
      </c>
      <c r="H27" s="11"/>
      <c r="I27" s="1">
        <f t="shared" si="4"/>
        <v>24</v>
      </c>
      <c r="J27" s="2" t="s">
        <v>1380</v>
      </c>
      <c r="K27" s="9">
        <v>3</v>
      </c>
      <c r="L27" s="11">
        <v>2</v>
      </c>
      <c r="M27" s="2"/>
      <c r="N27" s="1">
        <v>4</v>
      </c>
      <c r="O27" s="2" t="s">
        <v>365</v>
      </c>
      <c r="P27" s="9">
        <v>8</v>
      </c>
      <c r="Q27" s="11">
        <v>52</v>
      </c>
    </row>
    <row r="28" spans="1:17" ht="86.4" x14ac:dyDescent="0.3">
      <c r="A28" s="1">
        <f t="shared" si="3"/>
        <v>25</v>
      </c>
      <c r="B28" s="2" t="s">
        <v>152</v>
      </c>
      <c r="C28">
        <v>47</v>
      </c>
      <c r="D28" s="1">
        <f t="shared" si="2"/>
        <v>25</v>
      </c>
      <c r="E28" s="2" t="s">
        <v>162</v>
      </c>
      <c r="F28" s="9">
        <f t="shared" si="0"/>
        <v>3</v>
      </c>
      <c r="G28" s="11">
        <f t="shared" si="1"/>
        <v>43</v>
      </c>
      <c r="H28" s="11"/>
      <c r="I28" s="1">
        <f t="shared" si="4"/>
        <v>25</v>
      </c>
      <c r="J28" s="2" t="s">
        <v>1393</v>
      </c>
      <c r="K28" s="9">
        <v>3</v>
      </c>
      <c r="L28" s="11">
        <v>2</v>
      </c>
      <c r="M28" s="2"/>
      <c r="N28" s="1">
        <v>33</v>
      </c>
      <c r="O28" s="2" t="s">
        <v>152</v>
      </c>
      <c r="P28" s="9">
        <v>2</v>
      </c>
      <c r="Q28" s="11">
        <v>52</v>
      </c>
    </row>
    <row r="29" spans="1:17" ht="72" x14ac:dyDescent="0.3">
      <c r="A29" s="1">
        <f t="shared" si="3"/>
        <v>26</v>
      </c>
      <c r="B29" s="2" t="s">
        <v>157</v>
      </c>
      <c r="C29">
        <v>45</v>
      </c>
      <c r="D29" s="1">
        <f t="shared" si="2"/>
        <v>26</v>
      </c>
      <c r="E29" s="2" t="s">
        <v>167</v>
      </c>
      <c r="F29" s="9">
        <f t="shared" si="0"/>
        <v>3</v>
      </c>
      <c r="G29" s="11">
        <f t="shared" si="1"/>
        <v>59</v>
      </c>
      <c r="H29" s="11"/>
      <c r="I29" s="1">
        <f t="shared" si="4"/>
        <v>26</v>
      </c>
      <c r="J29" s="2" t="s">
        <v>2657</v>
      </c>
      <c r="K29" s="9">
        <v>3</v>
      </c>
      <c r="L29" s="11">
        <v>0</v>
      </c>
      <c r="M29" s="2"/>
      <c r="N29" s="1">
        <v>17</v>
      </c>
      <c r="O29" s="2" t="s">
        <v>185</v>
      </c>
      <c r="P29" s="9">
        <v>3</v>
      </c>
      <c r="Q29" s="11">
        <v>51</v>
      </c>
    </row>
    <row r="30" spans="1:17" ht="86.4" x14ac:dyDescent="0.3">
      <c r="A30" s="1">
        <f t="shared" si="3"/>
        <v>27</v>
      </c>
      <c r="B30" s="2" t="s">
        <v>162</v>
      </c>
      <c r="C30">
        <v>43</v>
      </c>
      <c r="D30" s="1">
        <f t="shared" si="2"/>
        <v>27</v>
      </c>
      <c r="E30" s="2" t="s">
        <v>175</v>
      </c>
      <c r="F30" s="9">
        <f t="shared" si="0"/>
        <v>1</v>
      </c>
      <c r="G30" s="11">
        <f t="shared" si="1"/>
        <v>42</v>
      </c>
      <c r="H30" s="11"/>
      <c r="I30" s="1">
        <f t="shared" si="4"/>
        <v>27</v>
      </c>
      <c r="J30" s="2" t="s">
        <v>38</v>
      </c>
      <c r="K30" s="9">
        <v>2</v>
      </c>
      <c r="L30" s="11">
        <v>667</v>
      </c>
      <c r="M30" s="2"/>
      <c r="N30" s="1">
        <v>86</v>
      </c>
      <c r="O30" s="2" t="s">
        <v>142</v>
      </c>
      <c r="P30" s="9">
        <v>1</v>
      </c>
      <c r="Q30" s="11">
        <v>50</v>
      </c>
    </row>
    <row r="31" spans="1:17" ht="72" x14ac:dyDescent="0.3">
      <c r="A31" s="1">
        <f t="shared" si="3"/>
        <v>28</v>
      </c>
      <c r="B31" s="2" t="s">
        <v>167</v>
      </c>
      <c r="C31">
        <v>42</v>
      </c>
      <c r="D31" s="1">
        <f t="shared" si="2"/>
        <v>28</v>
      </c>
      <c r="E31" s="2" t="s">
        <v>180</v>
      </c>
      <c r="F31" s="9">
        <f t="shared" si="0"/>
        <v>1</v>
      </c>
      <c r="G31" s="11">
        <f t="shared" si="1"/>
        <v>41</v>
      </c>
      <c r="H31" s="11"/>
      <c r="I31" s="1">
        <f t="shared" si="4"/>
        <v>28</v>
      </c>
      <c r="J31" s="2" t="s">
        <v>63</v>
      </c>
      <c r="K31" s="9">
        <v>2</v>
      </c>
      <c r="L31" s="11">
        <v>109</v>
      </c>
      <c r="M31" s="2"/>
      <c r="N31" s="1">
        <v>87</v>
      </c>
      <c r="O31" s="2" t="s">
        <v>147</v>
      </c>
      <c r="P31" s="9">
        <v>1</v>
      </c>
      <c r="Q31" s="11">
        <v>48</v>
      </c>
    </row>
    <row r="32" spans="1:17" ht="43.2" x14ac:dyDescent="0.3">
      <c r="A32" s="1">
        <f t="shared" si="3"/>
        <v>29</v>
      </c>
      <c r="B32" s="2" t="s">
        <v>48</v>
      </c>
      <c r="C32">
        <v>42</v>
      </c>
      <c r="D32" s="1">
        <f t="shared" si="2"/>
        <v>29</v>
      </c>
      <c r="E32" s="2" t="s">
        <v>185</v>
      </c>
      <c r="F32" s="9">
        <f t="shared" si="0"/>
        <v>1</v>
      </c>
      <c r="G32" s="11">
        <f t="shared" si="1"/>
        <v>51</v>
      </c>
      <c r="H32" s="11"/>
      <c r="I32" s="1">
        <f t="shared" si="4"/>
        <v>29</v>
      </c>
      <c r="J32" s="2" t="s">
        <v>78</v>
      </c>
      <c r="K32" s="9">
        <v>2</v>
      </c>
      <c r="L32" s="11">
        <v>91</v>
      </c>
      <c r="M32" s="2"/>
      <c r="N32" s="1">
        <v>1</v>
      </c>
      <c r="O32" s="2" t="s">
        <v>486</v>
      </c>
      <c r="P32" s="9">
        <v>11</v>
      </c>
      <c r="Q32" s="11">
        <v>45</v>
      </c>
    </row>
    <row r="33" spans="1:17" ht="72.599999999999994" thickBot="1" x14ac:dyDescent="0.35">
      <c r="A33" s="1">
        <f t="shared" si="3"/>
        <v>30</v>
      </c>
      <c r="B33" s="2" t="s">
        <v>175</v>
      </c>
      <c r="C33">
        <v>42</v>
      </c>
      <c r="D33" s="1">
        <f t="shared" si="2"/>
        <v>30</v>
      </c>
      <c r="E33" s="2" t="s">
        <v>190</v>
      </c>
      <c r="F33" s="9">
        <f t="shared" si="0"/>
        <v>1</v>
      </c>
      <c r="G33" s="11">
        <f t="shared" si="1"/>
        <v>42</v>
      </c>
      <c r="H33" s="11"/>
      <c r="I33" s="6">
        <f t="shared" si="4"/>
        <v>30</v>
      </c>
      <c r="J33" s="7" t="s">
        <v>111</v>
      </c>
      <c r="K33" s="19">
        <v>2</v>
      </c>
      <c r="L33" s="20">
        <v>76</v>
      </c>
      <c r="M33" s="7"/>
      <c r="N33" s="6">
        <v>11</v>
      </c>
      <c r="O33" s="7" t="s">
        <v>328</v>
      </c>
      <c r="P33" s="19">
        <v>4</v>
      </c>
      <c r="Q33" s="20">
        <v>45</v>
      </c>
    </row>
    <row r="34" spans="1:17" ht="43.8" thickTop="1" x14ac:dyDescent="0.3">
      <c r="A34" s="1">
        <f t="shared" si="3"/>
        <v>31</v>
      </c>
      <c r="B34" s="2" t="s">
        <v>180</v>
      </c>
      <c r="C34">
        <v>41</v>
      </c>
      <c r="D34" s="1">
        <f t="shared" si="2"/>
        <v>31</v>
      </c>
      <c r="E34" s="2" t="s">
        <v>195</v>
      </c>
      <c r="F34" s="9">
        <f t="shared" si="0"/>
        <v>1</v>
      </c>
      <c r="G34" s="11">
        <f t="shared" si="1"/>
        <v>39</v>
      </c>
      <c r="H34" s="11"/>
      <c r="I34" s="1">
        <f t="shared" si="4"/>
        <v>31</v>
      </c>
      <c r="J34" s="2" t="s">
        <v>116</v>
      </c>
      <c r="K34" s="9">
        <v>2</v>
      </c>
      <c r="L34" s="11">
        <v>93</v>
      </c>
      <c r="M34" s="2"/>
      <c r="N34" s="1">
        <v>88</v>
      </c>
      <c r="O34" s="2" t="s">
        <v>162</v>
      </c>
      <c r="P34" s="9">
        <v>1</v>
      </c>
      <c r="Q34" s="11">
        <v>43</v>
      </c>
    </row>
    <row r="35" spans="1:17" ht="43.2" x14ac:dyDescent="0.3">
      <c r="A35" s="1">
        <f t="shared" si="3"/>
        <v>32</v>
      </c>
      <c r="B35" s="2" t="s">
        <v>185</v>
      </c>
      <c r="C35">
        <v>41</v>
      </c>
      <c r="D35" s="1">
        <f t="shared" si="2"/>
        <v>32</v>
      </c>
      <c r="E35" s="2" t="s">
        <v>200</v>
      </c>
      <c r="F35" s="9">
        <f t="shared" si="0"/>
        <v>0</v>
      </c>
      <c r="G35" s="11">
        <f t="shared" si="1"/>
        <v>99</v>
      </c>
      <c r="H35" s="11"/>
      <c r="I35" s="1">
        <f t="shared" si="4"/>
        <v>32</v>
      </c>
      <c r="J35" s="2" t="s">
        <v>121</v>
      </c>
      <c r="K35" s="9">
        <v>2</v>
      </c>
      <c r="L35" s="11">
        <v>119</v>
      </c>
      <c r="M35" s="2"/>
      <c r="N35" s="1">
        <v>35</v>
      </c>
      <c r="O35" s="2" t="s">
        <v>190</v>
      </c>
      <c r="P35" s="9">
        <v>2</v>
      </c>
      <c r="Q35" s="11">
        <v>42</v>
      </c>
    </row>
    <row r="36" spans="1:17" ht="57.6" x14ac:dyDescent="0.3">
      <c r="A36" s="1">
        <f t="shared" si="3"/>
        <v>33</v>
      </c>
      <c r="B36" s="2" t="s">
        <v>190</v>
      </c>
      <c r="C36">
        <v>39</v>
      </c>
      <c r="D36" s="1">
        <f t="shared" si="2"/>
        <v>33</v>
      </c>
      <c r="E36" s="2" t="s">
        <v>205</v>
      </c>
      <c r="F36" s="9">
        <f t="shared" si="0"/>
        <v>1</v>
      </c>
      <c r="G36" s="11">
        <f t="shared" si="1"/>
        <v>36</v>
      </c>
      <c r="H36" s="11"/>
      <c r="I36" s="1">
        <f t="shared" si="4"/>
        <v>33</v>
      </c>
      <c r="J36" s="2" t="s">
        <v>152</v>
      </c>
      <c r="K36" s="9">
        <v>2</v>
      </c>
      <c r="L36" s="11">
        <v>52</v>
      </c>
      <c r="M36" s="2"/>
      <c r="N36" s="1">
        <v>89</v>
      </c>
      <c r="O36" s="2" t="s">
        <v>175</v>
      </c>
      <c r="P36" s="9">
        <v>1</v>
      </c>
      <c r="Q36" s="11">
        <v>42</v>
      </c>
    </row>
    <row r="37" spans="1:17" ht="28.8" x14ac:dyDescent="0.3">
      <c r="A37" s="1">
        <f t="shared" si="3"/>
        <v>34</v>
      </c>
      <c r="B37" s="2" t="s">
        <v>195</v>
      </c>
      <c r="C37">
        <v>39</v>
      </c>
      <c r="D37" s="1">
        <f t="shared" si="2"/>
        <v>34</v>
      </c>
      <c r="E37" s="2" t="s">
        <v>209</v>
      </c>
      <c r="F37" s="9">
        <f t="shared" si="0"/>
        <v>1</v>
      </c>
      <c r="G37" s="11">
        <f t="shared" si="1"/>
        <v>34</v>
      </c>
      <c r="H37" s="11"/>
      <c r="I37" s="1">
        <f t="shared" si="4"/>
        <v>34</v>
      </c>
      <c r="J37" s="2" t="s">
        <v>167</v>
      </c>
      <c r="K37" s="9">
        <v>2</v>
      </c>
      <c r="L37" s="11">
        <v>59</v>
      </c>
      <c r="M37" s="2"/>
      <c r="N37" s="1">
        <v>90</v>
      </c>
      <c r="O37" s="2" t="s">
        <v>180</v>
      </c>
      <c r="P37" s="9">
        <v>1</v>
      </c>
      <c r="Q37" s="11">
        <v>41</v>
      </c>
    </row>
    <row r="38" spans="1:17" ht="43.2" x14ac:dyDescent="0.3">
      <c r="A38" s="1">
        <f t="shared" si="3"/>
        <v>35</v>
      </c>
      <c r="B38" s="2" t="s">
        <v>200</v>
      </c>
      <c r="C38">
        <v>38</v>
      </c>
      <c r="D38" s="1">
        <f t="shared" si="2"/>
        <v>35</v>
      </c>
      <c r="E38" s="2" t="s">
        <v>214</v>
      </c>
      <c r="F38" s="9">
        <f t="shared" si="0"/>
        <v>1</v>
      </c>
      <c r="G38" s="11">
        <f t="shared" si="1"/>
        <v>33</v>
      </c>
      <c r="H38" s="11"/>
      <c r="I38" s="1">
        <f t="shared" si="4"/>
        <v>35</v>
      </c>
      <c r="J38" s="2" t="s">
        <v>190</v>
      </c>
      <c r="K38" s="9">
        <v>2</v>
      </c>
      <c r="L38" s="11">
        <v>42</v>
      </c>
      <c r="M38" s="2"/>
      <c r="N38" s="1">
        <v>91</v>
      </c>
      <c r="O38" s="2" t="s">
        <v>195</v>
      </c>
      <c r="P38" s="9">
        <v>1</v>
      </c>
      <c r="Q38" s="11">
        <v>39</v>
      </c>
    </row>
    <row r="39" spans="1:17" ht="43.2" x14ac:dyDescent="0.3">
      <c r="A39" s="1">
        <f t="shared" si="3"/>
        <v>36</v>
      </c>
      <c r="B39" s="2" t="s">
        <v>205</v>
      </c>
      <c r="C39">
        <v>36</v>
      </c>
      <c r="D39" s="1">
        <f t="shared" si="2"/>
        <v>36</v>
      </c>
      <c r="E39" s="2" t="s">
        <v>222</v>
      </c>
      <c r="F39" s="9">
        <f t="shared" si="0"/>
        <v>2</v>
      </c>
      <c r="G39" s="11">
        <f t="shared" si="1"/>
        <v>31</v>
      </c>
      <c r="H39" s="11"/>
      <c r="I39" s="1">
        <f t="shared" si="4"/>
        <v>36</v>
      </c>
      <c r="J39" s="2" t="s">
        <v>291</v>
      </c>
      <c r="K39" s="9">
        <v>2</v>
      </c>
      <c r="L39" s="11">
        <v>33</v>
      </c>
      <c r="M39" s="2"/>
      <c r="N39" s="1">
        <v>37</v>
      </c>
      <c r="O39" s="2" t="s">
        <v>336</v>
      </c>
      <c r="P39" s="9">
        <v>2</v>
      </c>
      <c r="Q39" s="11">
        <v>36</v>
      </c>
    </row>
    <row r="40" spans="1:17" ht="28.8" x14ac:dyDescent="0.3">
      <c r="A40" s="1">
        <f t="shared" si="3"/>
        <v>37</v>
      </c>
      <c r="B40" s="2" t="s">
        <v>209</v>
      </c>
      <c r="C40">
        <v>34</v>
      </c>
      <c r="D40" s="1">
        <f t="shared" si="2"/>
        <v>37</v>
      </c>
      <c r="E40" s="2" t="s">
        <v>226</v>
      </c>
      <c r="F40" s="9">
        <f t="shared" si="0"/>
        <v>2</v>
      </c>
      <c r="G40" s="11">
        <f t="shared" si="1"/>
        <v>30</v>
      </c>
      <c r="H40" s="11"/>
      <c r="I40" s="1">
        <f t="shared" si="4"/>
        <v>37</v>
      </c>
      <c r="J40" s="2" t="s">
        <v>336</v>
      </c>
      <c r="K40" s="9">
        <v>2</v>
      </c>
      <c r="L40" s="11">
        <v>36</v>
      </c>
      <c r="M40" s="2"/>
      <c r="N40" s="1">
        <v>92</v>
      </c>
      <c r="O40" s="2" t="s">
        <v>205</v>
      </c>
      <c r="P40" s="9">
        <v>1</v>
      </c>
      <c r="Q40" s="11">
        <v>36</v>
      </c>
    </row>
    <row r="41" spans="1:17" ht="72" x14ac:dyDescent="0.3">
      <c r="A41" s="1">
        <f t="shared" si="3"/>
        <v>38</v>
      </c>
      <c r="B41" s="2" t="s">
        <v>214</v>
      </c>
      <c r="C41">
        <v>33</v>
      </c>
      <c r="D41" s="1">
        <f t="shared" si="2"/>
        <v>38</v>
      </c>
      <c r="E41" s="2" t="s">
        <v>231</v>
      </c>
      <c r="F41" s="9">
        <f t="shared" si="0"/>
        <v>2</v>
      </c>
      <c r="G41" s="11">
        <f t="shared" si="1"/>
        <v>30</v>
      </c>
      <c r="H41" s="11"/>
      <c r="I41" s="1">
        <f t="shared" si="4"/>
        <v>38</v>
      </c>
      <c r="J41" s="2" t="s">
        <v>356</v>
      </c>
      <c r="K41" s="9">
        <v>2</v>
      </c>
      <c r="L41" s="11">
        <v>21</v>
      </c>
      <c r="M41" s="2"/>
      <c r="N41" s="1">
        <v>93</v>
      </c>
      <c r="O41" s="2" t="s">
        <v>209</v>
      </c>
      <c r="P41" s="9">
        <v>1</v>
      </c>
      <c r="Q41" s="11">
        <v>34</v>
      </c>
    </row>
    <row r="42" spans="1:17" ht="43.2" x14ac:dyDescent="0.3">
      <c r="A42" s="1">
        <f t="shared" si="3"/>
        <v>39</v>
      </c>
      <c r="B42" s="2" t="s">
        <v>48</v>
      </c>
      <c r="C42">
        <v>31</v>
      </c>
      <c r="D42" s="1">
        <f t="shared" si="2"/>
        <v>39</v>
      </c>
      <c r="E42" s="2" t="s">
        <v>236</v>
      </c>
      <c r="F42" s="9">
        <f t="shared" si="0"/>
        <v>2</v>
      </c>
      <c r="G42" s="11">
        <f t="shared" si="1"/>
        <v>29</v>
      </c>
      <c r="H42" s="11"/>
      <c r="I42" s="1">
        <f t="shared" si="4"/>
        <v>39</v>
      </c>
      <c r="J42" s="2" t="s">
        <v>403</v>
      </c>
      <c r="K42" s="9">
        <v>2</v>
      </c>
      <c r="L42" s="11">
        <v>18</v>
      </c>
      <c r="M42" s="2"/>
      <c r="N42" s="1">
        <v>36</v>
      </c>
      <c r="O42" s="2" t="s">
        <v>291</v>
      </c>
      <c r="P42" s="9">
        <v>2</v>
      </c>
      <c r="Q42" s="11">
        <v>33</v>
      </c>
    </row>
    <row r="43" spans="1:17" ht="28.8" x14ac:dyDescent="0.3">
      <c r="A43" s="1">
        <f t="shared" si="3"/>
        <v>40</v>
      </c>
      <c r="B43" s="2" t="s">
        <v>222</v>
      </c>
      <c r="C43">
        <v>31</v>
      </c>
      <c r="D43" s="1">
        <f t="shared" si="2"/>
        <v>40</v>
      </c>
      <c r="E43" s="2" t="s">
        <v>241</v>
      </c>
      <c r="F43" s="9">
        <f t="shared" si="0"/>
        <v>2</v>
      </c>
      <c r="G43" s="11">
        <f t="shared" si="1"/>
        <v>28</v>
      </c>
      <c r="H43" s="11"/>
      <c r="I43" s="1">
        <f t="shared" si="4"/>
        <v>40</v>
      </c>
      <c r="J43" s="2" t="s">
        <v>450</v>
      </c>
      <c r="K43" s="9">
        <v>2</v>
      </c>
      <c r="L43" s="11">
        <v>19</v>
      </c>
      <c r="M43" s="2"/>
      <c r="N43" s="1">
        <v>94</v>
      </c>
      <c r="O43" s="2" t="s">
        <v>214</v>
      </c>
      <c r="P43" s="9">
        <v>1</v>
      </c>
      <c r="Q43" s="11">
        <v>33</v>
      </c>
    </row>
    <row r="44" spans="1:17" ht="72" x14ac:dyDescent="0.3">
      <c r="A44" s="1">
        <f t="shared" si="3"/>
        <v>41</v>
      </c>
      <c r="B44" s="2" t="s">
        <v>226</v>
      </c>
      <c r="C44">
        <v>30</v>
      </c>
      <c r="D44" s="1">
        <f t="shared" si="2"/>
        <v>41</v>
      </c>
      <c r="E44" s="2" t="s">
        <v>246</v>
      </c>
      <c r="F44" s="9">
        <f t="shared" si="0"/>
        <v>2</v>
      </c>
      <c r="G44" s="11">
        <f t="shared" si="1"/>
        <v>27</v>
      </c>
      <c r="H44" s="11"/>
      <c r="I44" s="1">
        <f t="shared" si="4"/>
        <v>41</v>
      </c>
      <c r="J44" s="2" t="s">
        <v>455</v>
      </c>
      <c r="K44" s="9">
        <v>2</v>
      </c>
      <c r="L44" s="11">
        <v>25</v>
      </c>
      <c r="M44" s="2"/>
      <c r="N44" s="1">
        <v>95</v>
      </c>
      <c r="O44" s="2" t="s">
        <v>222</v>
      </c>
      <c r="P44" s="9">
        <v>1</v>
      </c>
      <c r="Q44" s="11">
        <v>31</v>
      </c>
    </row>
    <row r="45" spans="1:17" ht="43.2" x14ac:dyDescent="0.3">
      <c r="A45" s="1">
        <f t="shared" si="3"/>
        <v>42</v>
      </c>
      <c r="B45" s="2" t="s">
        <v>231</v>
      </c>
      <c r="C45">
        <v>30</v>
      </c>
      <c r="D45" s="1">
        <f t="shared" si="2"/>
        <v>42</v>
      </c>
      <c r="E45" s="2" t="s">
        <v>251</v>
      </c>
      <c r="F45" s="9">
        <f t="shared" si="0"/>
        <v>2</v>
      </c>
      <c r="G45" s="11">
        <f t="shared" si="1"/>
        <v>27</v>
      </c>
      <c r="H45" s="11"/>
      <c r="I45" s="1">
        <f t="shared" si="4"/>
        <v>42</v>
      </c>
      <c r="J45" s="2" t="s">
        <v>495</v>
      </c>
      <c r="K45" s="9">
        <v>2</v>
      </c>
      <c r="L45" s="11">
        <v>17</v>
      </c>
      <c r="M45" s="2"/>
      <c r="N45" s="1">
        <v>96</v>
      </c>
      <c r="O45" s="2" t="s">
        <v>226</v>
      </c>
      <c r="P45" s="9">
        <v>1</v>
      </c>
      <c r="Q45" s="11">
        <v>30</v>
      </c>
    </row>
    <row r="46" spans="1:17" ht="86.4" x14ac:dyDescent="0.3">
      <c r="A46" s="1">
        <f t="shared" si="3"/>
        <v>43</v>
      </c>
      <c r="B46" s="2" t="s">
        <v>236</v>
      </c>
      <c r="C46">
        <v>29</v>
      </c>
      <c r="D46" s="1">
        <f t="shared" si="2"/>
        <v>43</v>
      </c>
      <c r="E46" s="2" t="s">
        <v>256</v>
      </c>
      <c r="F46" s="9">
        <f t="shared" si="0"/>
        <v>2</v>
      </c>
      <c r="G46" s="11">
        <f t="shared" si="1"/>
        <v>27</v>
      </c>
      <c r="H46" s="11"/>
      <c r="I46" s="1">
        <f t="shared" si="4"/>
        <v>43</v>
      </c>
      <c r="J46" s="2" t="s">
        <v>556</v>
      </c>
      <c r="K46" s="9">
        <v>2</v>
      </c>
      <c r="L46" s="11">
        <v>13</v>
      </c>
      <c r="M46" s="2"/>
      <c r="N46" s="1">
        <v>97</v>
      </c>
      <c r="O46" s="2" t="s">
        <v>231</v>
      </c>
      <c r="P46" s="9">
        <v>1</v>
      </c>
      <c r="Q46" s="11">
        <v>30</v>
      </c>
    </row>
    <row r="47" spans="1:17" ht="72" x14ac:dyDescent="0.3">
      <c r="A47" s="1">
        <f t="shared" si="3"/>
        <v>44</v>
      </c>
      <c r="B47" s="2" t="s">
        <v>241</v>
      </c>
      <c r="C47">
        <v>28</v>
      </c>
      <c r="D47" s="1">
        <f t="shared" si="2"/>
        <v>44</v>
      </c>
      <c r="E47" s="2" t="s">
        <v>261</v>
      </c>
      <c r="F47" s="9">
        <f t="shared" si="0"/>
        <v>2</v>
      </c>
      <c r="G47" s="11">
        <f t="shared" si="1"/>
        <v>26</v>
      </c>
      <c r="H47" s="11"/>
      <c r="I47" s="1">
        <f t="shared" si="4"/>
        <v>44</v>
      </c>
      <c r="J47" s="2" t="s">
        <v>586</v>
      </c>
      <c r="K47" s="9">
        <v>2</v>
      </c>
      <c r="L47" s="11">
        <v>14</v>
      </c>
      <c r="M47" s="2"/>
      <c r="N47" s="1">
        <v>98</v>
      </c>
      <c r="O47" s="2" t="s">
        <v>236</v>
      </c>
      <c r="P47" s="9">
        <v>1</v>
      </c>
      <c r="Q47" s="11">
        <v>29</v>
      </c>
    </row>
    <row r="48" spans="1:17" ht="43.2" x14ac:dyDescent="0.3">
      <c r="A48" s="1">
        <f t="shared" si="3"/>
        <v>45</v>
      </c>
      <c r="B48" s="2" t="s">
        <v>246</v>
      </c>
      <c r="C48">
        <v>27</v>
      </c>
      <c r="D48" s="1">
        <f t="shared" si="2"/>
        <v>45</v>
      </c>
      <c r="E48" s="2" t="s">
        <v>266</v>
      </c>
      <c r="F48" s="9">
        <f t="shared" si="0"/>
        <v>2</v>
      </c>
      <c r="G48" s="11">
        <f t="shared" si="1"/>
        <v>26</v>
      </c>
      <c r="H48" s="11"/>
      <c r="I48" s="1">
        <f t="shared" si="4"/>
        <v>45</v>
      </c>
      <c r="J48" s="2" t="s">
        <v>594</v>
      </c>
      <c r="K48" s="9">
        <v>2</v>
      </c>
      <c r="L48" s="11">
        <v>13</v>
      </c>
      <c r="M48" s="2"/>
      <c r="N48" s="1">
        <v>99</v>
      </c>
      <c r="O48" s="2" t="s">
        <v>241</v>
      </c>
      <c r="P48" s="9">
        <v>1</v>
      </c>
      <c r="Q48" s="11">
        <v>28</v>
      </c>
    </row>
    <row r="49" spans="1:17" ht="100.8" x14ac:dyDescent="0.3">
      <c r="A49" s="1">
        <f t="shared" si="3"/>
        <v>46</v>
      </c>
      <c r="B49" s="2" t="s">
        <v>251</v>
      </c>
      <c r="C49">
        <v>27</v>
      </c>
      <c r="D49" s="1">
        <f t="shared" si="2"/>
        <v>46</v>
      </c>
      <c r="E49" s="2" t="s">
        <v>271</v>
      </c>
      <c r="F49" s="9">
        <f t="shared" si="0"/>
        <v>2</v>
      </c>
      <c r="G49" s="11">
        <f t="shared" si="1"/>
        <v>26</v>
      </c>
      <c r="H49" s="11"/>
      <c r="I49" s="1">
        <f t="shared" si="4"/>
        <v>46</v>
      </c>
      <c r="J49" s="2" t="s">
        <v>640</v>
      </c>
      <c r="K49" s="9">
        <v>2</v>
      </c>
      <c r="L49" s="11">
        <v>9</v>
      </c>
      <c r="M49" s="2"/>
      <c r="N49" s="1">
        <v>100</v>
      </c>
      <c r="O49" s="2" t="s">
        <v>246</v>
      </c>
      <c r="P49" s="9">
        <v>1</v>
      </c>
      <c r="Q49" s="11">
        <v>27</v>
      </c>
    </row>
    <row r="50" spans="1:17" ht="28.8" x14ac:dyDescent="0.3">
      <c r="A50" s="1">
        <f t="shared" si="3"/>
        <v>47</v>
      </c>
      <c r="B50" s="2" t="s">
        <v>256</v>
      </c>
      <c r="C50">
        <v>27</v>
      </c>
      <c r="D50" s="1">
        <f t="shared" si="2"/>
        <v>47</v>
      </c>
      <c r="E50" s="2" t="s">
        <v>276</v>
      </c>
      <c r="F50" s="9">
        <f t="shared" si="0"/>
        <v>2</v>
      </c>
      <c r="G50" s="11">
        <f t="shared" si="1"/>
        <v>25</v>
      </c>
      <c r="H50" s="11"/>
      <c r="I50" s="1">
        <f t="shared" si="4"/>
        <v>47</v>
      </c>
      <c r="J50" s="2" t="s">
        <v>691</v>
      </c>
      <c r="K50" s="9">
        <v>2</v>
      </c>
      <c r="L50" s="11">
        <v>13</v>
      </c>
      <c r="M50" s="2"/>
      <c r="N50" s="1">
        <v>101</v>
      </c>
      <c r="O50" s="2" t="s">
        <v>251</v>
      </c>
      <c r="P50" s="9">
        <v>1</v>
      </c>
      <c r="Q50" s="11">
        <v>27</v>
      </c>
    </row>
    <row r="51" spans="1:17" ht="57.6" x14ac:dyDescent="0.3">
      <c r="A51" s="1">
        <f t="shared" si="3"/>
        <v>48</v>
      </c>
      <c r="B51" s="2" t="s">
        <v>261</v>
      </c>
      <c r="C51">
        <v>26</v>
      </c>
      <c r="D51" s="1">
        <f t="shared" si="2"/>
        <v>48</v>
      </c>
      <c r="E51" s="2" t="s">
        <v>281</v>
      </c>
      <c r="F51" s="9">
        <f t="shared" si="0"/>
        <v>2</v>
      </c>
      <c r="G51" s="11">
        <f t="shared" si="1"/>
        <v>25</v>
      </c>
      <c r="H51" s="11"/>
      <c r="I51" s="1">
        <f t="shared" si="4"/>
        <v>48</v>
      </c>
      <c r="J51" s="2" t="s">
        <v>710</v>
      </c>
      <c r="K51" s="9">
        <v>2</v>
      </c>
      <c r="L51" s="11">
        <v>8</v>
      </c>
      <c r="M51" s="2"/>
      <c r="N51" s="1">
        <v>102</v>
      </c>
      <c r="O51" s="2" t="s">
        <v>256</v>
      </c>
      <c r="P51" s="9">
        <v>1</v>
      </c>
      <c r="Q51" s="11">
        <v>27</v>
      </c>
    </row>
    <row r="52" spans="1:17" ht="57.6" x14ac:dyDescent="0.3">
      <c r="A52" s="1">
        <f t="shared" si="3"/>
        <v>49</v>
      </c>
      <c r="B52" s="2" t="s">
        <v>266</v>
      </c>
      <c r="C52">
        <v>26</v>
      </c>
      <c r="D52" s="1">
        <f t="shared" si="2"/>
        <v>49</v>
      </c>
      <c r="E52" s="2" t="s">
        <v>286</v>
      </c>
      <c r="F52" s="9">
        <f t="shared" si="0"/>
        <v>2</v>
      </c>
      <c r="G52" s="11">
        <f t="shared" si="1"/>
        <v>24</v>
      </c>
      <c r="H52" s="11"/>
      <c r="I52" s="1">
        <f t="shared" si="4"/>
        <v>49</v>
      </c>
      <c r="J52" s="2" t="s">
        <v>753</v>
      </c>
      <c r="K52" s="9">
        <v>2</v>
      </c>
      <c r="L52" s="11">
        <v>7</v>
      </c>
      <c r="M52" s="2"/>
      <c r="N52" s="1">
        <v>103</v>
      </c>
      <c r="O52" s="2" t="s">
        <v>261</v>
      </c>
      <c r="P52" s="9">
        <v>1</v>
      </c>
      <c r="Q52" s="11">
        <v>26</v>
      </c>
    </row>
    <row r="53" spans="1:17" ht="28.8" x14ac:dyDescent="0.3">
      <c r="A53" s="1">
        <f t="shared" si="3"/>
        <v>50</v>
      </c>
      <c r="B53" s="2" t="s">
        <v>271</v>
      </c>
      <c r="C53">
        <v>26</v>
      </c>
      <c r="D53" s="1">
        <f t="shared" si="2"/>
        <v>50</v>
      </c>
      <c r="E53" s="2" t="s">
        <v>291</v>
      </c>
      <c r="F53" s="9">
        <f t="shared" si="0"/>
        <v>2</v>
      </c>
      <c r="G53" s="11">
        <f t="shared" si="1"/>
        <v>33</v>
      </c>
      <c r="H53" s="11"/>
      <c r="I53" s="1">
        <f t="shared" si="4"/>
        <v>50</v>
      </c>
      <c r="J53" s="2" t="s">
        <v>791</v>
      </c>
      <c r="K53" s="9">
        <v>2</v>
      </c>
      <c r="L53" s="11">
        <v>7</v>
      </c>
      <c r="M53" s="2"/>
      <c r="N53" s="1">
        <v>104</v>
      </c>
      <c r="O53" s="2" t="s">
        <v>266</v>
      </c>
      <c r="P53" s="9">
        <v>1</v>
      </c>
      <c r="Q53" s="11">
        <v>26</v>
      </c>
    </row>
    <row r="54" spans="1:17" ht="57.6" x14ac:dyDescent="0.3">
      <c r="A54" s="1">
        <f t="shared" si="3"/>
        <v>51</v>
      </c>
      <c r="B54" s="2" t="s">
        <v>276</v>
      </c>
      <c r="C54">
        <v>25</v>
      </c>
      <c r="D54" s="1">
        <f t="shared" si="2"/>
        <v>51</v>
      </c>
      <c r="E54" s="2" t="s">
        <v>295</v>
      </c>
      <c r="F54" s="9">
        <f t="shared" si="0"/>
        <v>2</v>
      </c>
      <c r="G54" s="11">
        <f t="shared" si="1"/>
        <v>24</v>
      </c>
      <c r="H54" s="11"/>
      <c r="I54" s="1">
        <f t="shared" si="4"/>
        <v>51</v>
      </c>
      <c r="J54" s="2" t="s">
        <v>816</v>
      </c>
      <c r="K54" s="9">
        <v>2</v>
      </c>
      <c r="L54" s="11">
        <v>6</v>
      </c>
      <c r="M54" s="2"/>
      <c r="N54" s="1">
        <v>105</v>
      </c>
      <c r="O54" s="2" t="s">
        <v>271</v>
      </c>
      <c r="P54" s="9">
        <v>1</v>
      </c>
      <c r="Q54" s="11">
        <v>26</v>
      </c>
    </row>
    <row r="55" spans="1:17" ht="129.6" x14ac:dyDescent="0.3">
      <c r="A55" s="1">
        <f t="shared" si="3"/>
        <v>52</v>
      </c>
      <c r="B55" s="2" t="s">
        <v>281</v>
      </c>
      <c r="C55">
        <v>25</v>
      </c>
      <c r="D55" s="1">
        <f t="shared" si="2"/>
        <v>52</v>
      </c>
      <c r="E55" s="2" t="s">
        <v>304</v>
      </c>
      <c r="F55" s="9">
        <f t="shared" si="0"/>
        <v>2</v>
      </c>
      <c r="G55" s="11">
        <f t="shared" si="1"/>
        <v>23</v>
      </c>
      <c r="H55" s="11"/>
      <c r="I55" s="1">
        <f t="shared" si="4"/>
        <v>52</v>
      </c>
      <c r="J55" s="2" t="s">
        <v>869</v>
      </c>
      <c r="K55" s="9">
        <v>2</v>
      </c>
      <c r="L55" s="11">
        <v>10</v>
      </c>
      <c r="M55" s="2"/>
      <c r="N55" s="1">
        <v>18</v>
      </c>
      <c r="O55" s="2" t="s">
        <v>276</v>
      </c>
      <c r="P55" s="9">
        <v>3</v>
      </c>
      <c r="Q55" s="11">
        <v>25</v>
      </c>
    </row>
    <row r="56" spans="1:17" ht="86.4" x14ac:dyDescent="0.3">
      <c r="A56" s="1">
        <f t="shared" si="3"/>
        <v>53</v>
      </c>
      <c r="B56" s="2" t="s">
        <v>286</v>
      </c>
      <c r="C56">
        <v>24</v>
      </c>
      <c r="D56" s="1">
        <f t="shared" si="2"/>
        <v>53</v>
      </c>
      <c r="E56" s="2" t="s">
        <v>310</v>
      </c>
      <c r="F56" s="9">
        <f t="shared" si="0"/>
        <v>2</v>
      </c>
      <c r="G56" s="11">
        <f t="shared" si="1"/>
        <v>23</v>
      </c>
      <c r="H56" s="11"/>
      <c r="I56" s="1">
        <f t="shared" si="4"/>
        <v>53</v>
      </c>
      <c r="J56" s="2" t="s">
        <v>883</v>
      </c>
      <c r="K56" s="9">
        <v>2</v>
      </c>
      <c r="L56" s="11">
        <v>5</v>
      </c>
      <c r="M56" s="2"/>
      <c r="N56" s="1">
        <v>41</v>
      </c>
      <c r="O56" s="2" t="s">
        <v>455</v>
      </c>
      <c r="P56" s="9">
        <v>2</v>
      </c>
      <c r="Q56" s="11">
        <v>25</v>
      </c>
    </row>
    <row r="57" spans="1:17" ht="28.8" x14ac:dyDescent="0.3">
      <c r="A57" s="1">
        <f t="shared" si="3"/>
        <v>54</v>
      </c>
      <c r="B57" s="2" t="s">
        <v>291</v>
      </c>
      <c r="C57">
        <v>24</v>
      </c>
      <c r="D57" s="1">
        <f t="shared" si="2"/>
        <v>54</v>
      </c>
      <c r="E57" s="2" t="s">
        <v>315</v>
      </c>
      <c r="F57" s="9">
        <f t="shared" si="0"/>
        <v>2</v>
      </c>
      <c r="G57" s="11">
        <f t="shared" si="1"/>
        <v>23</v>
      </c>
      <c r="H57" s="11"/>
      <c r="I57" s="1">
        <f t="shared" si="4"/>
        <v>54</v>
      </c>
      <c r="J57" s="2" t="s">
        <v>930</v>
      </c>
      <c r="K57" s="9">
        <v>2</v>
      </c>
      <c r="L57" s="11">
        <v>4</v>
      </c>
      <c r="M57" s="2"/>
      <c r="N57" s="1">
        <v>106</v>
      </c>
      <c r="O57" s="2" t="s">
        <v>281</v>
      </c>
      <c r="P57" s="9">
        <v>1</v>
      </c>
      <c r="Q57" s="11">
        <v>25</v>
      </c>
    </row>
    <row r="58" spans="1:17" ht="72" x14ac:dyDescent="0.3">
      <c r="A58" s="1">
        <f t="shared" si="3"/>
        <v>55</v>
      </c>
      <c r="B58" s="2" t="s">
        <v>295</v>
      </c>
      <c r="C58">
        <v>24</v>
      </c>
      <c r="D58" s="1">
        <f t="shared" si="2"/>
        <v>55</v>
      </c>
      <c r="E58" s="2" t="s">
        <v>319</v>
      </c>
      <c r="F58" s="9">
        <f t="shared" si="0"/>
        <v>2</v>
      </c>
      <c r="G58" s="11">
        <f t="shared" si="1"/>
        <v>22</v>
      </c>
      <c r="H58" s="11"/>
      <c r="I58" s="1">
        <f t="shared" si="4"/>
        <v>55</v>
      </c>
      <c r="J58" s="2" t="s">
        <v>977</v>
      </c>
      <c r="K58" s="9">
        <v>2</v>
      </c>
      <c r="L58" s="11">
        <v>4</v>
      </c>
      <c r="M58" s="2"/>
      <c r="N58" s="1">
        <v>107</v>
      </c>
      <c r="O58" s="2" t="s">
        <v>286</v>
      </c>
      <c r="P58" s="9">
        <v>1</v>
      </c>
      <c r="Q58" s="11">
        <v>24</v>
      </c>
    </row>
    <row r="59" spans="1:17" ht="43.2" x14ac:dyDescent="0.3">
      <c r="A59" s="1">
        <f t="shared" si="3"/>
        <v>56</v>
      </c>
      <c r="B59" s="2" t="s">
        <v>116</v>
      </c>
      <c r="C59">
        <v>23</v>
      </c>
      <c r="D59" s="1">
        <f t="shared" si="2"/>
        <v>56</v>
      </c>
      <c r="E59" s="2" t="s">
        <v>324</v>
      </c>
      <c r="F59" s="9">
        <f t="shared" si="0"/>
        <v>2</v>
      </c>
      <c r="G59" s="11">
        <f t="shared" si="1"/>
        <v>22</v>
      </c>
      <c r="H59" s="11"/>
      <c r="I59" s="1">
        <f t="shared" si="4"/>
        <v>56</v>
      </c>
      <c r="J59" s="2" t="s">
        <v>1064</v>
      </c>
      <c r="K59" s="9">
        <v>2</v>
      </c>
      <c r="L59" s="11">
        <v>5</v>
      </c>
      <c r="M59" s="2"/>
      <c r="N59" s="1">
        <v>108</v>
      </c>
      <c r="O59" s="2" t="s">
        <v>295</v>
      </c>
      <c r="P59" s="9">
        <v>1</v>
      </c>
      <c r="Q59" s="11">
        <v>24</v>
      </c>
    </row>
    <row r="60" spans="1:17" ht="100.8" x14ac:dyDescent="0.3">
      <c r="A60" s="1">
        <f t="shared" si="3"/>
        <v>57</v>
      </c>
      <c r="B60" s="2" t="s">
        <v>304</v>
      </c>
      <c r="C60">
        <v>23</v>
      </c>
      <c r="D60" s="1">
        <f t="shared" si="2"/>
        <v>57</v>
      </c>
      <c r="E60" s="2" t="s">
        <v>328</v>
      </c>
      <c r="F60" s="9">
        <f t="shared" si="0"/>
        <v>2</v>
      </c>
      <c r="G60" s="11">
        <f t="shared" si="1"/>
        <v>45</v>
      </c>
      <c r="H60" s="11"/>
      <c r="I60" s="1">
        <f t="shared" si="4"/>
        <v>57</v>
      </c>
      <c r="J60" s="2" t="s">
        <v>1144</v>
      </c>
      <c r="K60" s="9">
        <v>2</v>
      </c>
      <c r="L60" s="11">
        <v>3</v>
      </c>
      <c r="M60" s="2"/>
      <c r="N60" s="1">
        <v>109</v>
      </c>
      <c r="O60" s="2" t="s">
        <v>304</v>
      </c>
      <c r="P60" s="9">
        <v>1</v>
      </c>
      <c r="Q60" s="11">
        <v>23</v>
      </c>
    </row>
    <row r="61" spans="1:17" ht="86.4" x14ac:dyDescent="0.3">
      <c r="A61" s="1">
        <f t="shared" si="3"/>
        <v>58</v>
      </c>
      <c r="B61" s="2" t="s">
        <v>310</v>
      </c>
      <c r="C61">
        <v>23</v>
      </c>
      <c r="D61" s="1">
        <f t="shared" si="2"/>
        <v>58</v>
      </c>
      <c r="E61" s="2" t="s">
        <v>332</v>
      </c>
      <c r="F61" s="9">
        <f t="shared" si="0"/>
        <v>2</v>
      </c>
      <c r="G61" s="11">
        <f t="shared" si="1"/>
        <v>22</v>
      </c>
      <c r="H61" s="11"/>
      <c r="I61" s="1">
        <f t="shared" si="4"/>
        <v>58</v>
      </c>
      <c r="J61" s="2" t="s">
        <v>1161</v>
      </c>
      <c r="K61" s="9">
        <v>2</v>
      </c>
      <c r="L61" s="11">
        <v>4</v>
      </c>
      <c r="M61" s="2"/>
      <c r="N61" s="1">
        <v>110</v>
      </c>
      <c r="O61" s="2" t="s">
        <v>310</v>
      </c>
      <c r="P61" s="9">
        <v>1</v>
      </c>
      <c r="Q61" s="11">
        <v>23</v>
      </c>
    </row>
    <row r="62" spans="1:17" ht="57.6" x14ac:dyDescent="0.3">
      <c r="A62" s="1">
        <f t="shared" si="3"/>
        <v>59</v>
      </c>
      <c r="B62" s="2" t="s">
        <v>315</v>
      </c>
      <c r="C62">
        <v>23</v>
      </c>
      <c r="D62" s="1">
        <f t="shared" si="2"/>
        <v>59</v>
      </c>
      <c r="E62" s="2" t="s">
        <v>336</v>
      </c>
      <c r="F62" s="9">
        <f t="shared" si="0"/>
        <v>2</v>
      </c>
      <c r="G62" s="11">
        <f t="shared" si="1"/>
        <v>36</v>
      </c>
      <c r="H62" s="11"/>
      <c r="I62" s="1">
        <f t="shared" si="4"/>
        <v>59</v>
      </c>
      <c r="J62" s="2" t="s">
        <v>1206</v>
      </c>
      <c r="K62" s="9">
        <v>2</v>
      </c>
      <c r="L62" s="11">
        <v>3</v>
      </c>
      <c r="M62" s="2"/>
      <c r="N62" s="1">
        <v>111</v>
      </c>
      <c r="O62" s="2" t="s">
        <v>315</v>
      </c>
      <c r="P62" s="9">
        <v>1</v>
      </c>
      <c r="Q62" s="11">
        <v>23</v>
      </c>
    </row>
    <row r="63" spans="1:17" ht="43.2" x14ac:dyDescent="0.3">
      <c r="A63" s="1">
        <f t="shared" si="3"/>
        <v>60</v>
      </c>
      <c r="B63" s="2" t="s">
        <v>319</v>
      </c>
      <c r="C63">
        <v>22</v>
      </c>
      <c r="D63" s="1">
        <f t="shared" si="2"/>
        <v>60</v>
      </c>
      <c r="E63" s="2" t="s">
        <v>341</v>
      </c>
      <c r="F63" s="9">
        <f t="shared" si="0"/>
        <v>2</v>
      </c>
      <c r="G63" s="11">
        <f t="shared" si="1"/>
        <v>21</v>
      </c>
      <c r="H63" s="11"/>
      <c r="I63" s="1">
        <f t="shared" si="4"/>
        <v>60</v>
      </c>
      <c r="J63" s="2" t="s">
        <v>1269</v>
      </c>
      <c r="K63" s="9">
        <v>2</v>
      </c>
      <c r="L63" s="11">
        <v>2</v>
      </c>
      <c r="M63" s="2"/>
      <c r="N63" s="1">
        <v>112</v>
      </c>
      <c r="O63" s="2" t="s">
        <v>319</v>
      </c>
      <c r="P63" s="9">
        <v>1</v>
      </c>
      <c r="Q63" s="11">
        <v>22</v>
      </c>
    </row>
    <row r="64" spans="1:17" ht="72" x14ac:dyDescent="0.3">
      <c r="A64" s="1">
        <f t="shared" si="3"/>
        <v>61</v>
      </c>
      <c r="B64" s="2" t="s">
        <v>324</v>
      </c>
      <c r="C64">
        <v>22</v>
      </c>
      <c r="D64" s="1">
        <f t="shared" si="2"/>
        <v>61</v>
      </c>
      <c r="E64" s="2" t="s">
        <v>346</v>
      </c>
      <c r="F64" s="9">
        <f t="shared" si="0"/>
        <v>2</v>
      </c>
      <c r="G64" s="11">
        <f t="shared" si="1"/>
        <v>21</v>
      </c>
      <c r="H64" s="11"/>
      <c r="I64" s="1">
        <f t="shared" si="4"/>
        <v>61</v>
      </c>
      <c r="J64" s="2" t="s">
        <v>1288</v>
      </c>
      <c r="K64" s="9">
        <v>2</v>
      </c>
      <c r="L64" s="11">
        <v>2</v>
      </c>
      <c r="M64" s="2"/>
      <c r="N64" s="1">
        <v>113</v>
      </c>
      <c r="O64" s="2" t="s">
        <v>324</v>
      </c>
      <c r="P64" s="9">
        <v>1</v>
      </c>
      <c r="Q64" s="11">
        <v>22</v>
      </c>
    </row>
    <row r="65" spans="1:17" ht="28.8" x14ac:dyDescent="0.3">
      <c r="A65" s="1">
        <f t="shared" si="3"/>
        <v>62</v>
      </c>
      <c r="B65" s="2" t="s">
        <v>328</v>
      </c>
      <c r="C65">
        <v>22</v>
      </c>
      <c r="D65" s="1">
        <f t="shared" si="2"/>
        <v>62</v>
      </c>
      <c r="E65" s="2" t="s">
        <v>351</v>
      </c>
      <c r="F65" s="9">
        <f t="shared" si="0"/>
        <v>2</v>
      </c>
      <c r="G65" s="11">
        <f t="shared" si="1"/>
        <v>21</v>
      </c>
      <c r="H65" s="11"/>
      <c r="I65" s="1">
        <f t="shared" si="4"/>
        <v>62</v>
      </c>
      <c r="J65" s="2" t="s">
        <v>1292</v>
      </c>
      <c r="K65" s="9">
        <v>2</v>
      </c>
      <c r="L65" s="11">
        <v>2</v>
      </c>
      <c r="M65" s="2"/>
      <c r="N65" s="1">
        <v>114</v>
      </c>
      <c r="O65" s="2" t="s">
        <v>332</v>
      </c>
      <c r="P65" s="9">
        <v>1</v>
      </c>
      <c r="Q65" s="11">
        <v>22</v>
      </c>
    </row>
    <row r="66" spans="1:17" ht="57.6" x14ac:dyDescent="0.3">
      <c r="A66" s="1">
        <f t="shared" si="3"/>
        <v>63</v>
      </c>
      <c r="B66" s="2" t="s">
        <v>332</v>
      </c>
      <c r="C66">
        <v>22</v>
      </c>
      <c r="D66" s="1">
        <f t="shared" si="2"/>
        <v>63</v>
      </c>
      <c r="E66" s="2" t="s">
        <v>356</v>
      </c>
      <c r="F66" s="9">
        <f t="shared" si="0"/>
        <v>2</v>
      </c>
      <c r="G66" s="11">
        <f t="shared" si="1"/>
        <v>21</v>
      </c>
      <c r="H66" s="11"/>
      <c r="I66" s="1">
        <f t="shared" si="4"/>
        <v>63</v>
      </c>
      <c r="J66" s="2" t="s">
        <v>1449</v>
      </c>
      <c r="K66" s="9">
        <v>2</v>
      </c>
      <c r="L66" s="11">
        <v>3</v>
      </c>
      <c r="M66" s="2"/>
      <c r="N66" s="1">
        <v>38</v>
      </c>
      <c r="O66" s="2" t="s">
        <v>356</v>
      </c>
      <c r="P66" s="9">
        <v>2</v>
      </c>
      <c r="Q66" s="11">
        <v>21</v>
      </c>
    </row>
    <row r="67" spans="1:17" ht="43.2" x14ac:dyDescent="0.3">
      <c r="A67" s="1">
        <f t="shared" si="3"/>
        <v>64</v>
      </c>
      <c r="B67" s="2" t="s">
        <v>336</v>
      </c>
      <c r="C67">
        <v>22</v>
      </c>
      <c r="D67" s="1">
        <f t="shared" si="2"/>
        <v>64</v>
      </c>
      <c r="E67" s="2" t="s">
        <v>361</v>
      </c>
      <c r="F67" s="9">
        <f t="shared" si="0"/>
        <v>2</v>
      </c>
      <c r="G67" s="11">
        <f t="shared" si="1"/>
        <v>20</v>
      </c>
      <c r="H67" s="11"/>
      <c r="I67" s="1">
        <f t="shared" si="4"/>
        <v>64</v>
      </c>
      <c r="J67" s="2" t="s">
        <v>1464</v>
      </c>
      <c r="K67" s="9">
        <v>2</v>
      </c>
      <c r="L67" s="11">
        <v>3</v>
      </c>
      <c r="M67" s="2"/>
      <c r="N67" s="1">
        <v>115</v>
      </c>
      <c r="O67" s="2" t="s">
        <v>341</v>
      </c>
      <c r="P67" s="9">
        <v>1</v>
      </c>
      <c r="Q67" s="11">
        <v>21</v>
      </c>
    </row>
    <row r="68" spans="1:17" ht="72" x14ac:dyDescent="0.3">
      <c r="A68" s="1">
        <f t="shared" si="3"/>
        <v>65</v>
      </c>
      <c r="B68" s="2" t="s">
        <v>341</v>
      </c>
      <c r="C68">
        <v>21</v>
      </c>
      <c r="D68" s="1">
        <f t="shared" si="2"/>
        <v>65</v>
      </c>
      <c r="E68" s="2" t="s">
        <v>365</v>
      </c>
      <c r="F68" s="9">
        <f t="shared" ref="F68:F131" si="5">COUNTIF(B68:B690,J68)</f>
        <v>2</v>
      </c>
      <c r="G68" s="11">
        <f t="shared" ref="G68:G131" si="6">SUMIF($B$4:$B$626,E68,$C$4:$C$626)</f>
        <v>52</v>
      </c>
      <c r="H68" s="11"/>
      <c r="I68" s="1">
        <f t="shared" si="4"/>
        <v>65</v>
      </c>
      <c r="J68" s="2" t="s">
        <v>1478</v>
      </c>
      <c r="K68" s="9">
        <v>2</v>
      </c>
      <c r="L68" s="11">
        <v>2</v>
      </c>
      <c r="M68" s="2"/>
      <c r="N68" s="1">
        <v>116</v>
      </c>
      <c r="O68" s="2" t="s">
        <v>346</v>
      </c>
      <c r="P68" s="9">
        <v>1</v>
      </c>
      <c r="Q68" s="11">
        <v>21</v>
      </c>
    </row>
    <row r="69" spans="1:17" ht="100.8" x14ac:dyDescent="0.3">
      <c r="A69" s="1">
        <f t="shared" si="3"/>
        <v>66</v>
      </c>
      <c r="B69" s="2" t="s">
        <v>346</v>
      </c>
      <c r="C69">
        <v>21</v>
      </c>
      <c r="D69" s="1">
        <f t="shared" ref="D69:D132" si="7">+D68+1</f>
        <v>66</v>
      </c>
      <c r="E69" s="2" t="s">
        <v>371</v>
      </c>
      <c r="F69" s="9">
        <f t="shared" si="5"/>
        <v>2</v>
      </c>
      <c r="G69" s="11">
        <f t="shared" si="6"/>
        <v>20</v>
      </c>
      <c r="H69" s="11"/>
      <c r="I69" s="1">
        <f t="shared" si="4"/>
        <v>66</v>
      </c>
      <c r="J69" s="2" t="s">
        <v>1624</v>
      </c>
      <c r="K69" s="9">
        <v>2</v>
      </c>
      <c r="L69" s="11">
        <v>2</v>
      </c>
      <c r="M69" s="2"/>
      <c r="N69" s="1">
        <v>117</v>
      </c>
      <c r="O69" s="2" t="s">
        <v>351</v>
      </c>
      <c r="P69" s="9">
        <v>1</v>
      </c>
      <c r="Q69" s="11">
        <v>21</v>
      </c>
    </row>
    <row r="70" spans="1:17" ht="72" x14ac:dyDescent="0.3">
      <c r="A70" s="1">
        <f t="shared" ref="A70:A133" si="8">+A69+1</f>
        <v>67</v>
      </c>
      <c r="B70" s="2" t="s">
        <v>351</v>
      </c>
      <c r="C70">
        <v>21</v>
      </c>
      <c r="D70" s="1">
        <f t="shared" si="7"/>
        <v>67</v>
      </c>
      <c r="E70" s="2" t="s">
        <v>385</v>
      </c>
      <c r="F70" s="9">
        <f t="shared" si="5"/>
        <v>2</v>
      </c>
      <c r="G70" s="11">
        <f t="shared" si="6"/>
        <v>19</v>
      </c>
      <c r="H70" s="11"/>
      <c r="I70" s="1">
        <f t="shared" ref="I70:I133" si="9">+I69+1</f>
        <v>67</v>
      </c>
      <c r="J70" s="2" t="s">
        <v>1633</v>
      </c>
      <c r="K70" s="9">
        <v>2</v>
      </c>
      <c r="L70" s="11">
        <v>1</v>
      </c>
      <c r="M70" s="2"/>
      <c r="N70" s="1">
        <v>118</v>
      </c>
      <c r="O70" s="2" t="s">
        <v>361</v>
      </c>
      <c r="P70" s="9">
        <v>1</v>
      </c>
      <c r="Q70" s="11">
        <v>20</v>
      </c>
    </row>
    <row r="71" spans="1:17" ht="57.6" x14ac:dyDescent="0.3">
      <c r="A71" s="1">
        <f t="shared" si="8"/>
        <v>68</v>
      </c>
      <c r="B71" s="2" t="s">
        <v>356</v>
      </c>
      <c r="C71">
        <v>20</v>
      </c>
      <c r="D71" s="1">
        <f t="shared" si="7"/>
        <v>68</v>
      </c>
      <c r="E71" s="2" t="s">
        <v>390</v>
      </c>
      <c r="F71" s="9">
        <f t="shared" si="5"/>
        <v>2</v>
      </c>
      <c r="G71" s="11">
        <f t="shared" si="6"/>
        <v>19</v>
      </c>
      <c r="H71" s="11"/>
      <c r="I71" s="1">
        <f t="shared" si="9"/>
        <v>68</v>
      </c>
      <c r="J71" s="2" t="s">
        <v>1670</v>
      </c>
      <c r="K71" s="9">
        <v>2</v>
      </c>
      <c r="L71" s="11">
        <v>1</v>
      </c>
      <c r="M71" s="2"/>
      <c r="N71" s="1">
        <v>119</v>
      </c>
      <c r="O71" s="2" t="s">
        <v>371</v>
      </c>
      <c r="P71" s="9">
        <v>1</v>
      </c>
      <c r="Q71" s="11">
        <v>20</v>
      </c>
    </row>
    <row r="72" spans="1:17" ht="43.2" x14ac:dyDescent="0.3">
      <c r="A72" s="1">
        <f t="shared" si="8"/>
        <v>69</v>
      </c>
      <c r="B72" s="2" t="s">
        <v>361</v>
      </c>
      <c r="C72">
        <v>20</v>
      </c>
      <c r="D72" s="1">
        <f t="shared" si="7"/>
        <v>69</v>
      </c>
      <c r="E72" s="2" t="s">
        <v>395</v>
      </c>
      <c r="F72" s="9">
        <f t="shared" si="5"/>
        <v>2</v>
      </c>
      <c r="G72" s="11">
        <f t="shared" si="6"/>
        <v>19</v>
      </c>
      <c r="H72" s="11"/>
      <c r="I72" s="1">
        <f t="shared" si="9"/>
        <v>69</v>
      </c>
      <c r="J72" s="2" t="s">
        <v>1778</v>
      </c>
      <c r="K72" s="9">
        <v>2</v>
      </c>
      <c r="L72" s="11">
        <v>1</v>
      </c>
      <c r="M72" s="2"/>
      <c r="N72" s="1">
        <v>40</v>
      </c>
      <c r="O72" s="2" t="s">
        <v>450</v>
      </c>
      <c r="P72" s="9">
        <v>2</v>
      </c>
      <c r="Q72" s="11">
        <v>19</v>
      </c>
    </row>
    <row r="73" spans="1:17" ht="57.6" x14ac:dyDescent="0.3">
      <c r="A73" s="1">
        <f t="shared" si="8"/>
        <v>70</v>
      </c>
      <c r="B73" s="2" t="s">
        <v>365</v>
      </c>
      <c r="C73">
        <v>20</v>
      </c>
      <c r="D73" s="1">
        <f t="shared" si="7"/>
        <v>70</v>
      </c>
      <c r="E73" s="2" t="s">
        <v>403</v>
      </c>
      <c r="F73" s="9">
        <f t="shared" si="5"/>
        <v>2</v>
      </c>
      <c r="G73" s="11">
        <f t="shared" si="6"/>
        <v>18</v>
      </c>
      <c r="H73" s="11"/>
      <c r="I73" s="1">
        <f t="shared" si="9"/>
        <v>70</v>
      </c>
      <c r="J73" s="2" t="s">
        <v>1879</v>
      </c>
      <c r="K73" s="9">
        <v>2</v>
      </c>
      <c r="L73" s="11">
        <v>1</v>
      </c>
      <c r="M73" s="2"/>
      <c r="N73" s="1">
        <v>120</v>
      </c>
      <c r="O73" s="2" t="s">
        <v>385</v>
      </c>
      <c r="P73" s="9">
        <v>1</v>
      </c>
      <c r="Q73" s="11">
        <v>19</v>
      </c>
    </row>
    <row r="74" spans="1:17" ht="72" x14ac:dyDescent="0.3">
      <c r="A74" s="1">
        <f t="shared" si="8"/>
        <v>71</v>
      </c>
      <c r="B74" s="2" t="s">
        <v>371</v>
      </c>
      <c r="C74">
        <v>20</v>
      </c>
      <c r="D74" s="1">
        <f t="shared" si="7"/>
        <v>71</v>
      </c>
      <c r="E74" s="2" t="s">
        <v>407</v>
      </c>
      <c r="F74" s="9">
        <f t="shared" si="5"/>
        <v>2</v>
      </c>
      <c r="G74" s="11">
        <f t="shared" si="6"/>
        <v>18</v>
      </c>
      <c r="H74" s="11"/>
      <c r="I74" s="1">
        <f t="shared" si="9"/>
        <v>71</v>
      </c>
      <c r="J74" s="2" t="s">
        <v>2079</v>
      </c>
      <c r="K74" s="9">
        <v>2</v>
      </c>
      <c r="L74" s="11">
        <v>0</v>
      </c>
      <c r="M74" s="2"/>
      <c r="N74" s="1">
        <v>121</v>
      </c>
      <c r="O74" s="2" t="s">
        <v>390</v>
      </c>
      <c r="P74" s="9">
        <v>1</v>
      </c>
      <c r="Q74" s="11">
        <v>19</v>
      </c>
    </row>
    <row r="75" spans="1:17" ht="100.8" x14ac:dyDescent="0.3">
      <c r="A75" s="1">
        <f t="shared" si="8"/>
        <v>72</v>
      </c>
      <c r="B75" s="2" t="s">
        <v>200</v>
      </c>
      <c r="C75">
        <v>19</v>
      </c>
      <c r="D75" s="1">
        <f t="shared" si="7"/>
        <v>72</v>
      </c>
      <c r="E75" s="2" t="s">
        <v>411</v>
      </c>
      <c r="F75" s="9">
        <f t="shared" si="5"/>
        <v>2</v>
      </c>
      <c r="G75" s="11">
        <f t="shared" si="6"/>
        <v>18</v>
      </c>
      <c r="H75" s="11"/>
      <c r="I75" s="1">
        <f t="shared" si="9"/>
        <v>72</v>
      </c>
      <c r="J75" s="2" t="s">
        <v>2218</v>
      </c>
      <c r="K75" s="9">
        <v>2</v>
      </c>
      <c r="L75" s="11">
        <v>0</v>
      </c>
      <c r="M75" s="2"/>
      <c r="N75" s="1">
        <v>122</v>
      </c>
      <c r="O75" s="2" t="s">
        <v>395</v>
      </c>
      <c r="P75" s="9">
        <v>1</v>
      </c>
      <c r="Q75" s="11">
        <v>19</v>
      </c>
    </row>
    <row r="76" spans="1:17" ht="43.2" x14ac:dyDescent="0.3">
      <c r="A76" s="1">
        <f t="shared" si="8"/>
        <v>73</v>
      </c>
      <c r="B76" s="2" t="s">
        <v>43</v>
      </c>
      <c r="C76">
        <v>19</v>
      </c>
      <c r="D76" s="1">
        <f t="shared" si="7"/>
        <v>73</v>
      </c>
      <c r="E76" s="2" t="s">
        <v>422</v>
      </c>
      <c r="F76" s="9">
        <f t="shared" si="5"/>
        <v>2</v>
      </c>
      <c r="G76" s="11">
        <f t="shared" si="6"/>
        <v>17</v>
      </c>
      <c r="H76" s="11"/>
      <c r="I76" s="1">
        <f t="shared" si="9"/>
        <v>73</v>
      </c>
      <c r="J76" s="2" t="s">
        <v>2446</v>
      </c>
      <c r="K76" s="9">
        <v>2</v>
      </c>
      <c r="L76" s="11">
        <v>0</v>
      </c>
      <c r="M76" s="2"/>
      <c r="N76" s="1">
        <v>6</v>
      </c>
      <c r="O76" s="2" t="s">
        <v>696</v>
      </c>
      <c r="P76" s="9">
        <v>6</v>
      </c>
      <c r="Q76" s="11">
        <v>18</v>
      </c>
    </row>
    <row r="77" spans="1:17" ht="86.4" x14ac:dyDescent="0.3">
      <c r="A77" s="1">
        <f t="shared" si="8"/>
        <v>74</v>
      </c>
      <c r="B77" s="2" t="s">
        <v>385</v>
      </c>
      <c r="C77">
        <v>19</v>
      </c>
      <c r="D77" s="1">
        <f t="shared" si="7"/>
        <v>74</v>
      </c>
      <c r="E77" s="2" t="s">
        <v>426</v>
      </c>
      <c r="F77" s="9">
        <f t="shared" si="5"/>
        <v>2</v>
      </c>
      <c r="G77" s="11">
        <f t="shared" si="6"/>
        <v>17</v>
      </c>
      <c r="H77" s="11"/>
      <c r="I77" s="1">
        <f t="shared" si="9"/>
        <v>74</v>
      </c>
      <c r="J77" s="2" t="s">
        <v>2568</v>
      </c>
      <c r="K77" s="9">
        <v>2</v>
      </c>
      <c r="L77" s="11">
        <v>0</v>
      </c>
      <c r="M77" s="2"/>
      <c r="N77" s="1">
        <v>12</v>
      </c>
      <c r="O77" s="2" t="s">
        <v>546</v>
      </c>
      <c r="P77" s="9">
        <v>4</v>
      </c>
      <c r="Q77" s="11">
        <v>18</v>
      </c>
    </row>
    <row r="78" spans="1:17" ht="86.4" x14ac:dyDescent="0.3">
      <c r="A78" s="1">
        <f t="shared" si="8"/>
        <v>75</v>
      </c>
      <c r="B78" s="2" t="s">
        <v>390</v>
      </c>
      <c r="C78">
        <v>19</v>
      </c>
      <c r="D78" s="1">
        <f t="shared" si="7"/>
        <v>75</v>
      </c>
      <c r="E78" s="2" t="s">
        <v>430</v>
      </c>
      <c r="F78" s="9">
        <f t="shared" si="5"/>
        <v>2</v>
      </c>
      <c r="G78" s="11">
        <f t="shared" si="6"/>
        <v>17</v>
      </c>
      <c r="H78" s="11"/>
      <c r="I78" s="1">
        <f t="shared" si="9"/>
        <v>75</v>
      </c>
      <c r="J78" s="2" t="s">
        <v>2613</v>
      </c>
      <c r="K78" s="9">
        <v>2</v>
      </c>
      <c r="L78" s="11">
        <v>0</v>
      </c>
      <c r="M78" s="2"/>
      <c r="N78" s="1">
        <v>39</v>
      </c>
      <c r="O78" s="2" t="s">
        <v>403</v>
      </c>
      <c r="P78" s="9">
        <v>2</v>
      </c>
      <c r="Q78" s="11">
        <v>18</v>
      </c>
    </row>
    <row r="79" spans="1:17" ht="86.4" x14ac:dyDescent="0.3">
      <c r="A79" s="1">
        <f t="shared" si="8"/>
        <v>76</v>
      </c>
      <c r="B79" s="2" t="s">
        <v>395</v>
      </c>
      <c r="C79">
        <v>19</v>
      </c>
      <c r="D79" s="1">
        <f t="shared" si="7"/>
        <v>76</v>
      </c>
      <c r="E79" s="2" t="s">
        <v>435</v>
      </c>
      <c r="F79" s="9">
        <f t="shared" si="5"/>
        <v>0</v>
      </c>
      <c r="G79" s="11">
        <f t="shared" si="6"/>
        <v>17</v>
      </c>
      <c r="H79" s="11"/>
      <c r="I79" s="1">
        <f t="shared" si="9"/>
        <v>76</v>
      </c>
      <c r="J79" s="2" t="s">
        <v>58</v>
      </c>
      <c r="K79" s="9">
        <v>1</v>
      </c>
      <c r="L79" s="11">
        <v>118</v>
      </c>
      <c r="M79" s="2"/>
      <c r="N79" s="1">
        <v>123</v>
      </c>
      <c r="O79" s="2" t="s">
        <v>407</v>
      </c>
      <c r="P79" s="9">
        <v>1</v>
      </c>
      <c r="Q79" s="11">
        <v>18</v>
      </c>
    </row>
    <row r="80" spans="1:17" ht="57.6" x14ac:dyDescent="0.3">
      <c r="A80" s="1">
        <f t="shared" si="8"/>
        <v>77</v>
      </c>
      <c r="B80" s="2" t="s">
        <v>328</v>
      </c>
      <c r="C80">
        <v>19</v>
      </c>
      <c r="D80" s="1">
        <f t="shared" si="7"/>
        <v>77</v>
      </c>
      <c r="E80" s="2" t="s">
        <v>440</v>
      </c>
      <c r="F80" s="9">
        <f t="shared" si="5"/>
        <v>0</v>
      </c>
      <c r="G80" s="11">
        <f t="shared" si="6"/>
        <v>16</v>
      </c>
      <c r="H80" s="11"/>
      <c r="I80" s="1">
        <f t="shared" si="9"/>
        <v>77</v>
      </c>
      <c r="J80" s="2" t="s">
        <v>68</v>
      </c>
      <c r="K80" s="9">
        <v>1</v>
      </c>
      <c r="L80" s="11">
        <v>105</v>
      </c>
      <c r="M80" s="2"/>
      <c r="N80" s="1">
        <v>124</v>
      </c>
      <c r="O80" s="2" t="s">
        <v>411</v>
      </c>
      <c r="P80" s="9">
        <v>1</v>
      </c>
      <c r="Q80" s="11">
        <v>18</v>
      </c>
    </row>
    <row r="81" spans="1:17" ht="43.2" x14ac:dyDescent="0.3">
      <c r="A81" s="1">
        <f t="shared" si="8"/>
        <v>78</v>
      </c>
      <c r="B81" s="2" t="s">
        <v>403</v>
      </c>
      <c r="C81">
        <v>18</v>
      </c>
      <c r="D81" s="1">
        <f t="shared" si="7"/>
        <v>78</v>
      </c>
      <c r="E81" s="2" t="s">
        <v>445</v>
      </c>
      <c r="F81" s="9">
        <f t="shared" si="5"/>
        <v>0</v>
      </c>
      <c r="G81" s="11">
        <f t="shared" si="6"/>
        <v>16</v>
      </c>
      <c r="H81" s="11"/>
      <c r="I81" s="1">
        <f t="shared" si="9"/>
        <v>78</v>
      </c>
      <c r="J81" s="2" t="s">
        <v>73</v>
      </c>
      <c r="K81" s="9">
        <v>1</v>
      </c>
      <c r="L81" s="11">
        <v>94</v>
      </c>
      <c r="M81" s="2"/>
      <c r="N81" s="1">
        <v>42</v>
      </c>
      <c r="O81" s="2" t="s">
        <v>495</v>
      </c>
      <c r="P81" s="9">
        <v>2</v>
      </c>
      <c r="Q81" s="11">
        <v>17</v>
      </c>
    </row>
    <row r="82" spans="1:17" ht="28.8" x14ac:dyDescent="0.3">
      <c r="A82" s="1">
        <f t="shared" si="8"/>
        <v>79</v>
      </c>
      <c r="B82" s="2" t="s">
        <v>407</v>
      </c>
      <c r="C82">
        <v>18</v>
      </c>
      <c r="D82" s="1">
        <f t="shared" si="7"/>
        <v>79</v>
      </c>
      <c r="E82" s="2" t="s">
        <v>450</v>
      </c>
      <c r="F82" s="9">
        <f t="shared" si="5"/>
        <v>0</v>
      </c>
      <c r="G82" s="11">
        <f t="shared" si="6"/>
        <v>19</v>
      </c>
      <c r="H82" s="11"/>
      <c r="I82" s="1">
        <f t="shared" si="9"/>
        <v>79</v>
      </c>
      <c r="J82" s="2" t="s">
        <v>82</v>
      </c>
      <c r="K82" s="9">
        <v>1</v>
      </c>
      <c r="L82" s="11">
        <v>87</v>
      </c>
      <c r="M82" s="2"/>
      <c r="N82" s="1">
        <v>125</v>
      </c>
      <c r="O82" s="2" t="s">
        <v>422</v>
      </c>
      <c r="P82" s="9">
        <v>1</v>
      </c>
      <c r="Q82" s="11">
        <v>17</v>
      </c>
    </row>
    <row r="83" spans="1:17" ht="43.2" x14ac:dyDescent="0.3">
      <c r="A83" s="1">
        <f t="shared" si="8"/>
        <v>80</v>
      </c>
      <c r="B83" s="2" t="s">
        <v>411</v>
      </c>
      <c r="C83">
        <v>18</v>
      </c>
      <c r="D83" s="1">
        <f t="shared" si="7"/>
        <v>80</v>
      </c>
      <c r="E83" s="2" t="s">
        <v>455</v>
      </c>
      <c r="F83" s="9">
        <f t="shared" si="5"/>
        <v>0</v>
      </c>
      <c r="G83" s="11">
        <f t="shared" si="6"/>
        <v>25</v>
      </c>
      <c r="H83" s="11"/>
      <c r="I83" s="1">
        <f t="shared" si="9"/>
        <v>80</v>
      </c>
      <c r="J83" s="2" t="s">
        <v>88</v>
      </c>
      <c r="K83" s="9">
        <v>1</v>
      </c>
      <c r="L83" s="11">
        <v>87</v>
      </c>
      <c r="M83" s="2"/>
      <c r="N83" s="1">
        <v>126</v>
      </c>
      <c r="O83" s="2" t="s">
        <v>426</v>
      </c>
      <c r="P83" s="9">
        <v>1</v>
      </c>
      <c r="Q83" s="11">
        <v>17</v>
      </c>
    </row>
    <row r="84" spans="1:17" ht="86.4" x14ac:dyDescent="0.3">
      <c r="A84" s="1">
        <f t="shared" si="8"/>
        <v>81</v>
      </c>
      <c r="B84" s="2" t="s">
        <v>43</v>
      </c>
      <c r="C84">
        <v>17</v>
      </c>
      <c r="D84" s="1">
        <f t="shared" si="7"/>
        <v>81</v>
      </c>
      <c r="E84" s="2" t="s">
        <v>460</v>
      </c>
      <c r="F84" s="9">
        <f t="shared" si="5"/>
        <v>0</v>
      </c>
      <c r="G84" s="11">
        <f t="shared" si="6"/>
        <v>15</v>
      </c>
      <c r="H84" s="11"/>
      <c r="I84" s="1">
        <f t="shared" si="9"/>
        <v>81</v>
      </c>
      <c r="J84" s="2" t="s">
        <v>96</v>
      </c>
      <c r="K84" s="9">
        <v>1</v>
      </c>
      <c r="L84" s="11">
        <v>83</v>
      </c>
      <c r="M84" s="2"/>
      <c r="N84" s="1">
        <v>127</v>
      </c>
      <c r="O84" s="2" t="s">
        <v>430</v>
      </c>
      <c r="P84" s="9">
        <v>1</v>
      </c>
      <c r="Q84" s="11">
        <v>17</v>
      </c>
    </row>
    <row r="85" spans="1:17" ht="57.6" x14ac:dyDescent="0.3">
      <c r="A85" s="1">
        <f t="shared" si="8"/>
        <v>82</v>
      </c>
      <c r="B85" s="2" t="s">
        <v>167</v>
      </c>
      <c r="C85">
        <v>17</v>
      </c>
      <c r="D85" s="1">
        <f t="shared" si="7"/>
        <v>82</v>
      </c>
      <c r="E85" s="2" t="s">
        <v>464</v>
      </c>
      <c r="F85" s="9">
        <f t="shared" si="5"/>
        <v>0</v>
      </c>
      <c r="G85" s="11">
        <f t="shared" si="6"/>
        <v>15</v>
      </c>
      <c r="H85" s="11"/>
      <c r="I85" s="1">
        <f t="shared" si="9"/>
        <v>82</v>
      </c>
      <c r="J85" s="2" t="s">
        <v>101</v>
      </c>
      <c r="K85" s="9">
        <v>1</v>
      </c>
      <c r="L85" s="11">
        <v>83</v>
      </c>
      <c r="M85" s="2"/>
      <c r="N85" s="1">
        <v>128</v>
      </c>
      <c r="O85" s="2" t="s">
        <v>435</v>
      </c>
      <c r="P85" s="9">
        <v>1</v>
      </c>
      <c r="Q85" s="11">
        <v>17</v>
      </c>
    </row>
    <row r="86" spans="1:17" ht="72" x14ac:dyDescent="0.3">
      <c r="A86" s="1">
        <f t="shared" si="8"/>
        <v>83</v>
      </c>
      <c r="B86" s="2" t="s">
        <v>422</v>
      </c>
      <c r="C86">
        <v>17</v>
      </c>
      <c r="D86" s="1">
        <f t="shared" si="7"/>
        <v>83</v>
      </c>
      <c r="E86" s="2" t="s">
        <v>468</v>
      </c>
      <c r="F86" s="9">
        <f t="shared" si="5"/>
        <v>0</v>
      </c>
      <c r="G86" s="11">
        <f t="shared" si="6"/>
        <v>15</v>
      </c>
      <c r="H86" s="11"/>
      <c r="I86" s="1">
        <f t="shared" si="9"/>
        <v>83</v>
      </c>
      <c r="J86" s="2" t="s">
        <v>106</v>
      </c>
      <c r="K86" s="9">
        <v>1</v>
      </c>
      <c r="L86" s="11">
        <v>77</v>
      </c>
      <c r="M86" s="2"/>
      <c r="N86" s="1">
        <v>129</v>
      </c>
      <c r="O86" s="2" t="s">
        <v>440</v>
      </c>
      <c r="P86" s="9">
        <v>1</v>
      </c>
      <c r="Q86" s="11">
        <v>16</v>
      </c>
    </row>
    <row r="87" spans="1:17" ht="43.2" x14ac:dyDescent="0.3">
      <c r="A87" s="1">
        <f t="shared" si="8"/>
        <v>84</v>
      </c>
      <c r="B87" s="2" t="s">
        <v>426</v>
      </c>
      <c r="C87">
        <v>17</v>
      </c>
      <c r="D87" s="1">
        <f t="shared" si="7"/>
        <v>84</v>
      </c>
      <c r="E87" s="2" t="s">
        <v>472</v>
      </c>
      <c r="F87" s="9">
        <f t="shared" si="5"/>
        <v>0</v>
      </c>
      <c r="G87" s="11">
        <f t="shared" si="6"/>
        <v>15</v>
      </c>
      <c r="H87" s="11"/>
      <c r="I87" s="1">
        <f t="shared" si="9"/>
        <v>84</v>
      </c>
      <c r="J87" s="2" t="s">
        <v>126</v>
      </c>
      <c r="K87" s="9">
        <v>1</v>
      </c>
      <c r="L87" s="11">
        <v>61</v>
      </c>
      <c r="M87" s="2"/>
      <c r="N87" s="1">
        <v>130</v>
      </c>
      <c r="O87" s="2" t="s">
        <v>445</v>
      </c>
      <c r="P87" s="9">
        <v>1</v>
      </c>
      <c r="Q87" s="11">
        <v>16</v>
      </c>
    </row>
    <row r="88" spans="1:17" ht="43.2" x14ac:dyDescent="0.3">
      <c r="A88" s="1">
        <f t="shared" si="8"/>
        <v>85</v>
      </c>
      <c r="B88" s="2" t="s">
        <v>430</v>
      </c>
      <c r="C88">
        <v>17</v>
      </c>
      <c r="D88" s="1">
        <f t="shared" si="7"/>
        <v>85</v>
      </c>
      <c r="E88" s="2" t="s">
        <v>477</v>
      </c>
      <c r="F88" s="9">
        <f t="shared" si="5"/>
        <v>0</v>
      </c>
      <c r="G88" s="11">
        <f t="shared" si="6"/>
        <v>15</v>
      </c>
      <c r="H88" s="11"/>
      <c r="I88" s="1">
        <f t="shared" si="9"/>
        <v>85</v>
      </c>
      <c r="J88" s="2" t="s">
        <v>131</v>
      </c>
      <c r="K88" s="9">
        <v>1</v>
      </c>
      <c r="L88" s="11">
        <v>58</v>
      </c>
      <c r="M88" s="2"/>
      <c r="N88" s="1">
        <v>131</v>
      </c>
      <c r="O88" s="2" t="s">
        <v>460</v>
      </c>
      <c r="P88" s="9">
        <v>1</v>
      </c>
      <c r="Q88" s="11">
        <v>15</v>
      </c>
    </row>
    <row r="89" spans="1:17" ht="43.2" x14ac:dyDescent="0.3">
      <c r="A89" s="1">
        <f t="shared" si="8"/>
        <v>86</v>
      </c>
      <c r="B89" s="2" t="s">
        <v>435</v>
      </c>
      <c r="C89">
        <v>17</v>
      </c>
      <c r="D89" s="1">
        <f t="shared" si="7"/>
        <v>86</v>
      </c>
      <c r="E89" s="2" t="s">
        <v>486</v>
      </c>
      <c r="F89" s="9">
        <f t="shared" si="5"/>
        <v>0</v>
      </c>
      <c r="G89" s="11">
        <f t="shared" si="6"/>
        <v>45</v>
      </c>
      <c r="H89" s="11"/>
      <c r="I89" s="1">
        <f t="shared" si="9"/>
        <v>86</v>
      </c>
      <c r="J89" s="2" t="s">
        <v>142</v>
      </c>
      <c r="K89" s="9">
        <v>1</v>
      </c>
      <c r="L89" s="11">
        <v>50</v>
      </c>
      <c r="M89" s="2"/>
      <c r="N89" s="1">
        <v>132</v>
      </c>
      <c r="O89" s="2" t="s">
        <v>464</v>
      </c>
      <c r="P89" s="9">
        <v>1</v>
      </c>
      <c r="Q89" s="11">
        <v>15</v>
      </c>
    </row>
    <row r="90" spans="1:17" ht="43.2" x14ac:dyDescent="0.3">
      <c r="A90" s="1">
        <f t="shared" si="8"/>
        <v>87</v>
      </c>
      <c r="B90" s="2" t="s">
        <v>440</v>
      </c>
      <c r="C90">
        <v>16</v>
      </c>
      <c r="D90" s="1">
        <f t="shared" si="7"/>
        <v>87</v>
      </c>
      <c r="E90" s="2" t="s">
        <v>495</v>
      </c>
      <c r="F90" s="9">
        <f t="shared" si="5"/>
        <v>0</v>
      </c>
      <c r="G90" s="11">
        <f t="shared" si="6"/>
        <v>17</v>
      </c>
      <c r="H90" s="11"/>
      <c r="I90" s="1">
        <f t="shared" si="9"/>
        <v>87</v>
      </c>
      <c r="J90" s="2" t="s">
        <v>147</v>
      </c>
      <c r="K90" s="9">
        <v>1</v>
      </c>
      <c r="L90" s="11">
        <v>48</v>
      </c>
      <c r="M90" s="2"/>
      <c r="N90" s="1">
        <v>133</v>
      </c>
      <c r="O90" s="2" t="s">
        <v>468</v>
      </c>
      <c r="P90" s="9">
        <v>1</v>
      </c>
      <c r="Q90" s="11">
        <v>15</v>
      </c>
    </row>
    <row r="91" spans="1:17" ht="43.2" x14ac:dyDescent="0.3">
      <c r="A91" s="1">
        <f t="shared" si="8"/>
        <v>88</v>
      </c>
      <c r="B91" s="2" t="s">
        <v>445</v>
      </c>
      <c r="C91">
        <v>16</v>
      </c>
      <c r="D91" s="1">
        <f t="shared" si="7"/>
        <v>88</v>
      </c>
      <c r="E91" s="2" t="s">
        <v>500</v>
      </c>
      <c r="F91" s="9">
        <f t="shared" si="5"/>
        <v>0</v>
      </c>
      <c r="G91" s="11">
        <f t="shared" si="6"/>
        <v>14</v>
      </c>
      <c r="H91" s="11"/>
      <c r="I91" s="1">
        <f t="shared" si="9"/>
        <v>88</v>
      </c>
      <c r="J91" s="2" t="s">
        <v>162</v>
      </c>
      <c r="K91" s="9">
        <v>1</v>
      </c>
      <c r="L91" s="11">
        <v>43</v>
      </c>
      <c r="M91" s="2"/>
      <c r="N91" s="1">
        <v>134</v>
      </c>
      <c r="O91" s="2" t="s">
        <v>472</v>
      </c>
      <c r="P91" s="9">
        <v>1</v>
      </c>
      <c r="Q91" s="11">
        <v>15</v>
      </c>
    </row>
    <row r="92" spans="1:17" ht="57.6" x14ac:dyDescent="0.3">
      <c r="A92" s="1">
        <f t="shared" si="8"/>
        <v>89</v>
      </c>
      <c r="B92" s="2" t="s">
        <v>450</v>
      </c>
      <c r="C92">
        <v>16</v>
      </c>
      <c r="D92" s="1">
        <f t="shared" si="7"/>
        <v>89</v>
      </c>
      <c r="E92" s="2" t="s">
        <v>504</v>
      </c>
      <c r="F92" s="9">
        <f t="shared" si="5"/>
        <v>0</v>
      </c>
      <c r="G92" s="11">
        <f t="shared" si="6"/>
        <v>14</v>
      </c>
      <c r="H92" s="11"/>
      <c r="I92" s="1">
        <f t="shared" si="9"/>
        <v>89</v>
      </c>
      <c r="J92" s="2" t="s">
        <v>175</v>
      </c>
      <c r="K92" s="9">
        <v>1</v>
      </c>
      <c r="L92" s="11">
        <v>42</v>
      </c>
      <c r="M92" s="2"/>
      <c r="N92" s="1">
        <v>135</v>
      </c>
      <c r="O92" s="2" t="s">
        <v>477</v>
      </c>
      <c r="P92" s="9">
        <v>1</v>
      </c>
      <c r="Q92" s="11">
        <v>15</v>
      </c>
    </row>
    <row r="93" spans="1:17" ht="43.2" x14ac:dyDescent="0.3">
      <c r="A93" s="1">
        <f t="shared" si="8"/>
        <v>90</v>
      </c>
      <c r="B93" s="2" t="s">
        <v>455</v>
      </c>
      <c r="C93">
        <v>15</v>
      </c>
      <c r="D93" s="1">
        <f t="shared" si="7"/>
        <v>90</v>
      </c>
      <c r="E93" s="2" t="s">
        <v>508</v>
      </c>
      <c r="F93" s="9">
        <f t="shared" si="5"/>
        <v>0</v>
      </c>
      <c r="G93" s="11">
        <f t="shared" si="6"/>
        <v>13</v>
      </c>
      <c r="H93" s="11"/>
      <c r="I93" s="1">
        <f t="shared" si="9"/>
        <v>90</v>
      </c>
      <c r="J93" s="2" t="s">
        <v>180</v>
      </c>
      <c r="K93" s="9">
        <v>1</v>
      </c>
      <c r="L93" s="11">
        <v>41</v>
      </c>
      <c r="M93" s="2"/>
      <c r="N93" s="1">
        <v>44</v>
      </c>
      <c r="O93" s="2" t="s">
        <v>586</v>
      </c>
      <c r="P93" s="9">
        <v>2</v>
      </c>
      <c r="Q93" s="11">
        <v>14</v>
      </c>
    </row>
    <row r="94" spans="1:17" ht="57.6" x14ac:dyDescent="0.3">
      <c r="A94" s="1">
        <f t="shared" si="8"/>
        <v>91</v>
      </c>
      <c r="B94" s="2" t="s">
        <v>460</v>
      </c>
      <c r="C94">
        <v>15</v>
      </c>
      <c r="D94" s="1">
        <f t="shared" si="7"/>
        <v>91</v>
      </c>
      <c r="E94" s="2" t="s">
        <v>521</v>
      </c>
      <c r="F94" s="9">
        <f t="shared" si="5"/>
        <v>0</v>
      </c>
      <c r="G94" s="11">
        <f t="shared" si="6"/>
        <v>13</v>
      </c>
      <c r="H94" s="11"/>
      <c r="I94" s="1">
        <f t="shared" si="9"/>
        <v>91</v>
      </c>
      <c r="J94" s="2" t="s">
        <v>195</v>
      </c>
      <c r="K94" s="9">
        <v>1</v>
      </c>
      <c r="L94" s="11">
        <v>39</v>
      </c>
      <c r="M94" s="2"/>
      <c r="N94" s="1">
        <v>136</v>
      </c>
      <c r="O94" s="2" t="s">
        <v>500</v>
      </c>
      <c r="P94" s="9">
        <v>1</v>
      </c>
      <c r="Q94" s="11">
        <v>14</v>
      </c>
    </row>
    <row r="95" spans="1:17" ht="43.2" x14ac:dyDescent="0.3">
      <c r="A95" s="1">
        <f t="shared" si="8"/>
        <v>92</v>
      </c>
      <c r="B95" s="2" t="s">
        <v>464</v>
      </c>
      <c r="C95">
        <v>15</v>
      </c>
      <c r="D95" s="1">
        <f t="shared" si="7"/>
        <v>92</v>
      </c>
      <c r="E95" s="2" t="s">
        <v>526</v>
      </c>
      <c r="F95" s="9">
        <f t="shared" si="5"/>
        <v>0</v>
      </c>
      <c r="G95" s="11">
        <f t="shared" si="6"/>
        <v>13</v>
      </c>
      <c r="H95" s="11"/>
      <c r="I95" s="1">
        <f t="shared" si="9"/>
        <v>92</v>
      </c>
      <c r="J95" s="2" t="s">
        <v>205</v>
      </c>
      <c r="K95" s="9">
        <v>1</v>
      </c>
      <c r="L95" s="11">
        <v>36</v>
      </c>
      <c r="M95" s="2"/>
      <c r="N95" s="1">
        <v>137</v>
      </c>
      <c r="O95" s="2" t="s">
        <v>504</v>
      </c>
      <c r="P95" s="9">
        <v>1</v>
      </c>
      <c r="Q95" s="11">
        <v>14</v>
      </c>
    </row>
    <row r="96" spans="1:17" ht="57.6" x14ac:dyDescent="0.3">
      <c r="A96" s="1">
        <f t="shared" si="8"/>
        <v>93</v>
      </c>
      <c r="B96" s="2" t="s">
        <v>468</v>
      </c>
      <c r="C96">
        <v>15</v>
      </c>
      <c r="D96" s="1">
        <f t="shared" si="7"/>
        <v>93</v>
      </c>
      <c r="E96" s="2" t="s">
        <v>530</v>
      </c>
      <c r="F96" s="9">
        <f t="shared" si="5"/>
        <v>0</v>
      </c>
      <c r="G96" s="11">
        <f t="shared" si="6"/>
        <v>13</v>
      </c>
      <c r="H96" s="11"/>
      <c r="I96" s="1">
        <f t="shared" si="9"/>
        <v>93</v>
      </c>
      <c r="J96" s="2" t="s">
        <v>209</v>
      </c>
      <c r="K96" s="9">
        <v>1</v>
      </c>
      <c r="L96" s="11">
        <v>34</v>
      </c>
      <c r="M96" s="2"/>
      <c r="N96" s="1">
        <v>19</v>
      </c>
      <c r="O96" s="2" t="s">
        <v>581</v>
      </c>
      <c r="P96" s="9">
        <v>3</v>
      </c>
      <c r="Q96" s="11">
        <v>13</v>
      </c>
    </row>
    <row r="97" spans="1:17" ht="72" x14ac:dyDescent="0.3">
      <c r="A97" s="1">
        <f t="shared" si="8"/>
        <v>94</v>
      </c>
      <c r="B97" s="2" t="s">
        <v>472</v>
      </c>
      <c r="C97">
        <v>15</v>
      </c>
      <c r="D97" s="1">
        <f t="shared" si="7"/>
        <v>94</v>
      </c>
      <c r="E97" s="2" t="s">
        <v>537</v>
      </c>
      <c r="F97" s="9">
        <f t="shared" si="5"/>
        <v>0</v>
      </c>
      <c r="G97" s="11">
        <f t="shared" si="6"/>
        <v>13</v>
      </c>
      <c r="H97" s="11"/>
      <c r="I97" s="1">
        <f t="shared" si="9"/>
        <v>94</v>
      </c>
      <c r="J97" s="2" t="s">
        <v>214</v>
      </c>
      <c r="K97" s="9">
        <v>1</v>
      </c>
      <c r="L97" s="11">
        <v>33</v>
      </c>
      <c r="M97" s="2"/>
      <c r="N97" s="1">
        <v>43</v>
      </c>
      <c r="O97" s="2" t="s">
        <v>556</v>
      </c>
      <c r="P97" s="9">
        <v>2</v>
      </c>
      <c r="Q97" s="11">
        <v>13</v>
      </c>
    </row>
    <row r="98" spans="1:17" ht="72" x14ac:dyDescent="0.3">
      <c r="A98" s="1">
        <f t="shared" si="8"/>
        <v>95</v>
      </c>
      <c r="B98" s="2" t="s">
        <v>477</v>
      </c>
      <c r="C98">
        <v>15</v>
      </c>
      <c r="D98" s="1">
        <f t="shared" si="7"/>
        <v>95</v>
      </c>
      <c r="E98" s="2" t="s">
        <v>546</v>
      </c>
      <c r="F98" s="9">
        <f t="shared" si="5"/>
        <v>0</v>
      </c>
      <c r="G98" s="11">
        <f t="shared" si="6"/>
        <v>18</v>
      </c>
      <c r="H98" s="11"/>
      <c r="I98" s="1">
        <f t="shared" si="9"/>
        <v>95</v>
      </c>
      <c r="J98" s="2" t="s">
        <v>222</v>
      </c>
      <c r="K98" s="9">
        <v>1</v>
      </c>
      <c r="L98" s="11">
        <v>31</v>
      </c>
      <c r="M98" s="2"/>
      <c r="N98" s="1">
        <v>45</v>
      </c>
      <c r="O98" s="2" t="s">
        <v>594</v>
      </c>
      <c r="P98" s="9">
        <v>2</v>
      </c>
      <c r="Q98" s="11">
        <v>13</v>
      </c>
    </row>
    <row r="99" spans="1:17" ht="100.8" x14ac:dyDescent="0.3">
      <c r="A99" s="1">
        <f t="shared" si="8"/>
        <v>96</v>
      </c>
      <c r="B99" s="2" t="s">
        <v>30</v>
      </c>
      <c r="C99">
        <v>14</v>
      </c>
      <c r="D99" s="1">
        <f t="shared" si="7"/>
        <v>96</v>
      </c>
      <c r="E99" s="2" t="s">
        <v>551</v>
      </c>
      <c r="F99" s="9">
        <f t="shared" si="5"/>
        <v>0</v>
      </c>
      <c r="G99" s="11">
        <f t="shared" si="6"/>
        <v>12</v>
      </c>
      <c r="H99" s="11"/>
      <c r="I99" s="1">
        <f t="shared" si="9"/>
        <v>96</v>
      </c>
      <c r="J99" s="2" t="s">
        <v>226</v>
      </c>
      <c r="K99" s="9">
        <v>1</v>
      </c>
      <c r="L99" s="11">
        <v>30</v>
      </c>
      <c r="M99" s="2"/>
      <c r="N99" s="1">
        <v>47</v>
      </c>
      <c r="O99" s="2" t="s">
        <v>691</v>
      </c>
      <c r="P99" s="9">
        <v>2</v>
      </c>
      <c r="Q99" s="11">
        <v>13</v>
      </c>
    </row>
    <row r="100" spans="1:17" ht="129.6" x14ac:dyDescent="0.3">
      <c r="A100" s="1">
        <f t="shared" si="8"/>
        <v>97</v>
      </c>
      <c r="B100" s="2" t="s">
        <v>486</v>
      </c>
      <c r="C100">
        <v>14</v>
      </c>
      <c r="D100" s="1">
        <f t="shared" si="7"/>
        <v>97</v>
      </c>
      <c r="E100" s="2" t="s">
        <v>556</v>
      </c>
      <c r="F100" s="9">
        <f t="shared" si="5"/>
        <v>0</v>
      </c>
      <c r="G100" s="11">
        <f t="shared" si="6"/>
        <v>13</v>
      </c>
      <c r="H100" s="11"/>
      <c r="I100" s="1">
        <f t="shared" si="9"/>
        <v>97</v>
      </c>
      <c r="J100" s="2" t="s">
        <v>231</v>
      </c>
      <c r="K100" s="9">
        <v>1</v>
      </c>
      <c r="L100" s="11">
        <v>30</v>
      </c>
      <c r="M100" s="2"/>
      <c r="N100" s="1">
        <v>138</v>
      </c>
      <c r="O100" s="2" t="s">
        <v>508</v>
      </c>
      <c r="P100" s="9">
        <v>1</v>
      </c>
      <c r="Q100" s="11">
        <v>13</v>
      </c>
    </row>
    <row r="101" spans="1:17" ht="43.2" x14ac:dyDescent="0.3">
      <c r="A101" s="1">
        <f t="shared" si="8"/>
        <v>98</v>
      </c>
      <c r="B101" s="2" t="s">
        <v>336</v>
      </c>
      <c r="C101">
        <v>14</v>
      </c>
      <c r="D101" s="1">
        <f t="shared" si="7"/>
        <v>98</v>
      </c>
      <c r="E101" s="2" t="s">
        <v>560</v>
      </c>
      <c r="F101" s="9">
        <f t="shared" si="5"/>
        <v>0</v>
      </c>
      <c r="G101" s="11">
        <f t="shared" si="6"/>
        <v>12</v>
      </c>
      <c r="H101" s="11"/>
      <c r="I101" s="1">
        <f t="shared" si="9"/>
        <v>98</v>
      </c>
      <c r="J101" s="2" t="s">
        <v>236</v>
      </c>
      <c r="K101" s="9">
        <v>1</v>
      </c>
      <c r="L101" s="11">
        <v>29</v>
      </c>
      <c r="M101" s="2"/>
      <c r="N101" s="1">
        <v>139</v>
      </c>
      <c r="O101" s="2" t="s">
        <v>521</v>
      </c>
      <c r="P101" s="9">
        <v>1</v>
      </c>
      <c r="Q101" s="11">
        <v>13</v>
      </c>
    </row>
    <row r="102" spans="1:17" ht="72" x14ac:dyDescent="0.3">
      <c r="A102" s="1">
        <f t="shared" si="8"/>
        <v>99</v>
      </c>
      <c r="B102" s="2" t="s">
        <v>495</v>
      </c>
      <c r="C102">
        <v>14</v>
      </c>
      <c r="D102" s="1">
        <f t="shared" si="7"/>
        <v>99</v>
      </c>
      <c r="E102" s="2" t="s">
        <v>564</v>
      </c>
      <c r="F102" s="9">
        <f t="shared" si="5"/>
        <v>0</v>
      </c>
      <c r="G102" s="11">
        <f t="shared" si="6"/>
        <v>12</v>
      </c>
      <c r="H102" s="11"/>
      <c r="I102" s="1">
        <f t="shared" si="9"/>
        <v>99</v>
      </c>
      <c r="J102" s="2" t="s">
        <v>241</v>
      </c>
      <c r="K102" s="9">
        <v>1</v>
      </c>
      <c r="L102" s="11">
        <v>28</v>
      </c>
      <c r="M102" s="2"/>
      <c r="N102" s="1">
        <v>140</v>
      </c>
      <c r="O102" s="2" t="s">
        <v>526</v>
      </c>
      <c r="P102" s="9">
        <v>1</v>
      </c>
      <c r="Q102" s="11">
        <v>13</v>
      </c>
    </row>
    <row r="103" spans="1:17" ht="43.2" x14ac:dyDescent="0.3">
      <c r="A103" s="1">
        <f t="shared" si="8"/>
        <v>100</v>
      </c>
      <c r="B103" s="2" t="s">
        <v>500</v>
      </c>
      <c r="C103">
        <v>14</v>
      </c>
      <c r="D103" s="1">
        <f t="shared" si="7"/>
        <v>100</v>
      </c>
      <c r="E103" s="2" t="s">
        <v>572</v>
      </c>
      <c r="F103" s="9">
        <f t="shared" si="5"/>
        <v>0</v>
      </c>
      <c r="G103" s="11">
        <f t="shared" si="6"/>
        <v>11</v>
      </c>
      <c r="H103" s="11"/>
      <c r="I103" s="1">
        <f t="shared" si="9"/>
        <v>100</v>
      </c>
      <c r="J103" s="2" t="s">
        <v>246</v>
      </c>
      <c r="K103" s="9">
        <v>1</v>
      </c>
      <c r="L103" s="11">
        <v>27</v>
      </c>
      <c r="M103" s="2"/>
      <c r="N103" s="1">
        <v>141</v>
      </c>
      <c r="O103" s="2" t="s">
        <v>530</v>
      </c>
      <c r="P103" s="9">
        <v>1</v>
      </c>
      <c r="Q103" s="11">
        <v>13</v>
      </c>
    </row>
    <row r="104" spans="1:17" ht="129.6" x14ac:dyDescent="0.3">
      <c r="A104" s="1">
        <f t="shared" si="8"/>
        <v>101</v>
      </c>
      <c r="B104" s="2" t="s">
        <v>504</v>
      </c>
      <c r="C104">
        <v>14</v>
      </c>
      <c r="D104" s="1">
        <f t="shared" si="7"/>
        <v>101</v>
      </c>
      <c r="E104" s="2" t="s">
        <v>577</v>
      </c>
      <c r="F104" s="9">
        <f t="shared" si="5"/>
        <v>0</v>
      </c>
      <c r="G104" s="11">
        <f t="shared" si="6"/>
        <v>11</v>
      </c>
      <c r="H104" s="11"/>
      <c r="I104" s="1">
        <f t="shared" si="9"/>
        <v>101</v>
      </c>
      <c r="J104" s="2" t="s">
        <v>251</v>
      </c>
      <c r="K104" s="9">
        <v>1</v>
      </c>
      <c r="L104" s="11">
        <v>27</v>
      </c>
      <c r="M104" s="2"/>
      <c r="N104" s="1">
        <v>142</v>
      </c>
      <c r="O104" s="2" t="s">
        <v>537</v>
      </c>
      <c r="P104" s="9">
        <v>1</v>
      </c>
      <c r="Q104" s="11">
        <v>13</v>
      </c>
    </row>
    <row r="105" spans="1:17" ht="86.4" x14ac:dyDescent="0.3">
      <c r="A105" s="1">
        <f t="shared" si="8"/>
        <v>102</v>
      </c>
      <c r="B105" s="2" t="s">
        <v>508</v>
      </c>
      <c r="C105">
        <v>13</v>
      </c>
      <c r="D105" s="1">
        <f t="shared" si="7"/>
        <v>102</v>
      </c>
      <c r="E105" s="2" t="s">
        <v>581</v>
      </c>
      <c r="F105" s="9">
        <f t="shared" si="5"/>
        <v>0</v>
      </c>
      <c r="G105" s="11">
        <f t="shared" si="6"/>
        <v>13</v>
      </c>
      <c r="H105" s="11"/>
      <c r="I105" s="1">
        <f t="shared" si="9"/>
        <v>102</v>
      </c>
      <c r="J105" s="2" t="s">
        <v>256</v>
      </c>
      <c r="K105" s="9">
        <v>1</v>
      </c>
      <c r="L105" s="11">
        <v>27</v>
      </c>
      <c r="M105" s="2"/>
      <c r="N105" s="1">
        <v>143</v>
      </c>
      <c r="O105" s="2" t="s">
        <v>551</v>
      </c>
      <c r="P105" s="9">
        <v>1</v>
      </c>
      <c r="Q105" s="11">
        <v>12</v>
      </c>
    </row>
    <row r="106" spans="1:17" ht="43.2" x14ac:dyDescent="0.3">
      <c r="A106" s="1">
        <f t="shared" si="8"/>
        <v>103</v>
      </c>
      <c r="B106" s="2" t="s">
        <v>200</v>
      </c>
      <c r="C106">
        <v>13</v>
      </c>
      <c r="D106" s="1">
        <f t="shared" si="7"/>
        <v>103</v>
      </c>
      <c r="E106" s="2" t="s">
        <v>586</v>
      </c>
      <c r="F106" s="9">
        <f t="shared" si="5"/>
        <v>0</v>
      </c>
      <c r="G106" s="11">
        <f t="shared" si="6"/>
        <v>14</v>
      </c>
      <c r="H106" s="11"/>
      <c r="I106" s="1">
        <f t="shared" si="9"/>
        <v>103</v>
      </c>
      <c r="J106" s="2" t="s">
        <v>261</v>
      </c>
      <c r="K106" s="9">
        <v>1</v>
      </c>
      <c r="L106" s="11">
        <v>26</v>
      </c>
      <c r="M106" s="2"/>
      <c r="N106" s="1">
        <v>144</v>
      </c>
      <c r="O106" s="2" t="s">
        <v>560</v>
      </c>
      <c r="P106" s="9">
        <v>1</v>
      </c>
      <c r="Q106" s="11">
        <v>12</v>
      </c>
    </row>
    <row r="107" spans="1:17" ht="43.2" x14ac:dyDescent="0.3">
      <c r="A107" s="1">
        <f t="shared" si="8"/>
        <v>104</v>
      </c>
      <c r="B107" s="2" t="s">
        <v>200</v>
      </c>
      <c r="C107">
        <v>13</v>
      </c>
      <c r="D107" s="1">
        <f t="shared" si="7"/>
        <v>104</v>
      </c>
      <c r="E107" s="2" t="s">
        <v>594</v>
      </c>
      <c r="F107" s="9">
        <f t="shared" si="5"/>
        <v>0</v>
      </c>
      <c r="G107" s="11">
        <f t="shared" si="6"/>
        <v>13</v>
      </c>
      <c r="H107" s="11"/>
      <c r="I107" s="1">
        <f t="shared" si="9"/>
        <v>104</v>
      </c>
      <c r="J107" s="2" t="s">
        <v>266</v>
      </c>
      <c r="K107" s="9">
        <v>1</v>
      </c>
      <c r="L107" s="11">
        <v>26</v>
      </c>
      <c r="M107" s="2"/>
      <c r="N107" s="1">
        <v>145</v>
      </c>
      <c r="O107" s="2" t="s">
        <v>564</v>
      </c>
      <c r="P107" s="9">
        <v>1</v>
      </c>
      <c r="Q107" s="11">
        <v>12</v>
      </c>
    </row>
    <row r="108" spans="1:17" ht="57.6" x14ac:dyDescent="0.3">
      <c r="A108" s="1">
        <f t="shared" si="8"/>
        <v>105</v>
      </c>
      <c r="B108" s="2" t="s">
        <v>521</v>
      </c>
      <c r="C108">
        <v>13</v>
      </c>
      <c r="D108" s="1">
        <f t="shared" si="7"/>
        <v>105</v>
      </c>
      <c r="E108" s="2" t="s">
        <v>607</v>
      </c>
      <c r="F108" s="9">
        <f t="shared" si="5"/>
        <v>0</v>
      </c>
      <c r="G108" s="11">
        <f t="shared" si="6"/>
        <v>10</v>
      </c>
      <c r="H108" s="11"/>
      <c r="I108" s="1">
        <f t="shared" si="9"/>
        <v>105</v>
      </c>
      <c r="J108" s="2" t="s">
        <v>271</v>
      </c>
      <c r="K108" s="9">
        <v>1</v>
      </c>
      <c r="L108" s="11">
        <v>26</v>
      </c>
      <c r="M108" s="2"/>
      <c r="N108" s="1">
        <v>146</v>
      </c>
      <c r="O108" s="2" t="s">
        <v>572</v>
      </c>
      <c r="P108" s="9">
        <v>1</v>
      </c>
      <c r="Q108" s="11">
        <v>11</v>
      </c>
    </row>
    <row r="109" spans="1:17" ht="72" x14ac:dyDescent="0.3">
      <c r="A109" s="1">
        <f t="shared" si="8"/>
        <v>106</v>
      </c>
      <c r="B109" s="2" t="s">
        <v>526</v>
      </c>
      <c r="C109">
        <v>13</v>
      </c>
      <c r="D109" s="1">
        <f t="shared" si="7"/>
        <v>106</v>
      </c>
      <c r="E109" s="2" t="s">
        <v>612</v>
      </c>
      <c r="F109" s="9">
        <f t="shared" si="5"/>
        <v>0</v>
      </c>
      <c r="G109" s="11">
        <f t="shared" si="6"/>
        <v>10</v>
      </c>
      <c r="H109" s="11"/>
      <c r="I109" s="1">
        <f t="shared" si="9"/>
        <v>106</v>
      </c>
      <c r="J109" s="2" t="s">
        <v>281</v>
      </c>
      <c r="K109" s="9">
        <v>1</v>
      </c>
      <c r="L109" s="11">
        <v>25</v>
      </c>
      <c r="M109" s="2"/>
      <c r="N109" s="1">
        <v>147</v>
      </c>
      <c r="O109" s="2" t="s">
        <v>577</v>
      </c>
      <c r="P109" s="9">
        <v>1</v>
      </c>
      <c r="Q109" s="11">
        <v>11</v>
      </c>
    </row>
    <row r="110" spans="1:17" ht="57.6" x14ac:dyDescent="0.3">
      <c r="A110" s="1">
        <f t="shared" si="8"/>
        <v>107</v>
      </c>
      <c r="B110" s="2" t="s">
        <v>530</v>
      </c>
      <c r="C110">
        <v>13</v>
      </c>
      <c r="D110" s="1">
        <f t="shared" si="7"/>
        <v>107</v>
      </c>
      <c r="E110" s="2" t="s">
        <v>616</v>
      </c>
      <c r="F110" s="9">
        <f t="shared" si="5"/>
        <v>0</v>
      </c>
      <c r="G110" s="11">
        <f t="shared" si="6"/>
        <v>10</v>
      </c>
      <c r="H110" s="11"/>
      <c r="I110" s="1">
        <f t="shared" si="9"/>
        <v>107</v>
      </c>
      <c r="J110" s="2" t="s">
        <v>286</v>
      </c>
      <c r="K110" s="9">
        <v>1</v>
      </c>
      <c r="L110" s="11">
        <v>24</v>
      </c>
      <c r="M110" s="2"/>
      <c r="N110" s="1">
        <v>52</v>
      </c>
      <c r="O110" s="2" t="s">
        <v>869</v>
      </c>
      <c r="P110" s="9">
        <v>2</v>
      </c>
      <c r="Q110" s="11">
        <v>10</v>
      </c>
    </row>
    <row r="111" spans="1:17" ht="28.8" x14ac:dyDescent="0.3">
      <c r="A111" s="1">
        <f t="shared" si="8"/>
        <v>108</v>
      </c>
      <c r="B111" s="2" t="s">
        <v>53</v>
      </c>
      <c r="C111">
        <v>13</v>
      </c>
      <c r="D111" s="1">
        <f t="shared" si="7"/>
        <v>108</v>
      </c>
      <c r="E111" s="2" t="s">
        <v>620</v>
      </c>
      <c r="F111" s="9">
        <f t="shared" si="5"/>
        <v>0</v>
      </c>
      <c r="G111" s="11">
        <f t="shared" si="6"/>
        <v>10</v>
      </c>
      <c r="H111" s="11"/>
      <c r="I111" s="1">
        <f t="shared" si="9"/>
        <v>108</v>
      </c>
      <c r="J111" s="2" t="s">
        <v>295</v>
      </c>
      <c r="K111" s="9">
        <v>1</v>
      </c>
      <c r="L111" s="11">
        <v>24</v>
      </c>
      <c r="M111" s="2"/>
      <c r="N111" s="1">
        <v>148</v>
      </c>
      <c r="O111" s="2" t="s">
        <v>607</v>
      </c>
      <c r="P111" s="9">
        <v>1</v>
      </c>
      <c r="Q111" s="11">
        <v>10</v>
      </c>
    </row>
    <row r="112" spans="1:17" ht="100.8" x14ac:dyDescent="0.3">
      <c r="A112" s="1">
        <f t="shared" si="8"/>
        <v>109</v>
      </c>
      <c r="B112" s="2" t="s">
        <v>537</v>
      </c>
      <c r="C112">
        <v>13</v>
      </c>
      <c r="D112" s="1">
        <f t="shared" si="7"/>
        <v>109</v>
      </c>
      <c r="E112" s="2" t="s">
        <v>624</v>
      </c>
      <c r="F112" s="9">
        <f t="shared" si="5"/>
        <v>0</v>
      </c>
      <c r="G112" s="11">
        <f t="shared" si="6"/>
        <v>9</v>
      </c>
      <c r="H112" s="11"/>
      <c r="I112" s="1">
        <f t="shared" si="9"/>
        <v>109</v>
      </c>
      <c r="J112" s="2" t="s">
        <v>304</v>
      </c>
      <c r="K112" s="9">
        <v>1</v>
      </c>
      <c r="L112" s="11">
        <v>23</v>
      </c>
      <c r="M112" s="2"/>
      <c r="N112" s="1">
        <v>149</v>
      </c>
      <c r="O112" s="2" t="s">
        <v>612</v>
      </c>
      <c r="P112" s="9">
        <v>1</v>
      </c>
      <c r="Q112" s="11">
        <v>10</v>
      </c>
    </row>
    <row r="113" spans="1:17" ht="230.4" x14ac:dyDescent="0.3">
      <c r="A113" s="1">
        <f t="shared" si="8"/>
        <v>110</v>
      </c>
      <c r="B113" s="2" t="s">
        <v>486</v>
      </c>
      <c r="C113">
        <v>12</v>
      </c>
      <c r="D113" s="1">
        <f t="shared" si="7"/>
        <v>110</v>
      </c>
      <c r="E113" s="2" t="s">
        <v>629</v>
      </c>
      <c r="F113" s="9">
        <f t="shared" si="5"/>
        <v>0</v>
      </c>
      <c r="G113" s="11">
        <f t="shared" si="6"/>
        <v>9</v>
      </c>
      <c r="H113" s="11"/>
      <c r="I113" s="1">
        <f t="shared" si="9"/>
        <v>110</v>
      </c>
      <c r="J113" s="2" t="s">
        <v>310</v>
      </c>
      <c r="K113" s="9">
        <v>1</v>
      </c>
      <c r="L113" s="11">
        <v>23</v>
      </c>
      <c r="M113" s="2"/>
      <c r="N113" s="1">
        <v>150</v>
      </c>
      <c r="O113" s="2" t="s">
        <v>616</v>
      </c>
      <c r="P113" s="9">
        <v>1</v>
      </c>
      <c r="Q113" s="11">
        <v>10</v>
      </c>
    </row>
    <row r="114" spans="1:17" ht="28.8" x14ac:dyDescent="0.3">
      <c r="A114" s="1">
        <f t="shared" si="8"/>
        <v>111</v>
      </c>
      <c r="B114" s="2" t="s">
        <v>546</v>
      </c>
      <c r="C114">
        <v>12</v>
      </c>
      <c r="D114" s="1">
        <f t="shared" si="7"/>
        <v>111</v>
      </c>
      <c r="E114" s="2" t="s">
        <v>634</v>
      </c>
      <c r="F114" s="9">
        <f t="shared" si="5"/>
        <v>0</v>
      </c>
      <c r="G114" s="11">
        <f t="shared" si="6"/>
        <v>9</v>
      </c>
      <c r="H114" s="11"/>
      <c r="I114" s="1">
        <f t="shared" si="9"/>
        <v>111</v>
      </c>
      <c r="J114" s="2" t="s">
        <v>315</v>
      </c>
      <c r="K114" s="9">
        <v>1</v>
      </c>
      <c r="L114" s="11">
        <v>23</v>
      </c>
      <c r="M114" s="2"/>
      <c r="N114" s="1">
        <v>151</v>
      </c>
      <c r="O114" s="2" t="s">
        <v>620</v>
      </c>
      <c r="P114" s="9">
        <v>1</v>
      </c>
      <c r="Q114" s="11">
        <v>10</v>
      </c>
    </row>
    <row r="115" spans="1:17" ht="57.6" x14ac:dyDescent="0.3">
      <c r="A115" s="1">
        <f t="shared" si="8"/>
        <v>112</v>
      </c>
      <c r="B115" s="2" t="s">
        <v>551</v>
      </c>
      <c r="C115">
        <v>12</v>
      </c>
      <c r="D115" s="1">
        <f t="shared" si="7"/>
        <v>112</v>
      </c>
      <c r="E115" s="2" t="s">
        <v>640</v>
      </c>
      <c r="F115" s="9">
        <f t="shared" si="5"/>
        <v>0</v>
      </c>
      <c r="G115" s="11">
        <f t="shared" si="6"/>
        <v>9</v>
      </c>
      <c r="H115" s="11"/>
      <c r="I115" s="1">
        <f t="shared" si="9"/>
        <v>112</v>
      </c>
      <c r="J115" s="2" t="s">
        <v>319</v>
      </c>
      <c r="K115" s="9">
        <v>1</v>
      </c>
      <c r="L115" s="11">
        <v>22</v>
      </c>
      <c r="M115" s="2"/>
      <c r="N115" s="1">
        <v>13</v>
      </c>
      <c r="O115" s="2" t="s">
        <v>982</v>
      </c>
      <c r="P115" s="9">
        <v>4</v>
      </c>
      <c r="Q115" s="11">
        <v>9</v>
      </c>
    </row>
    <row r="116" spans="1:17" ht="43.2" x14ac:dyDescent="0.3">
      <c r="A116" s="1">
        <f t="shared" si="8"/>
        <v>113</v>
      </c>
      <c r="B116" s="2" t="s">
        <v>556</v>
      </c>
      <c r="C116">
        <v>12</v>
      </c>
      <c r="D116" s="1">
        <f t="shared" si="7"/>
        <v>113</v>
      </c>
      <c r="E116" s="2" t="s">
        <v>645</v>
      </c>
      <c r="F116" s="9">
        <f t="shared" si="5"/>
        <v>0</v>
      </c>
      <c r="G116" s="11">
        <f t="shared" si="6"/>
        <v>9</v>
      </c>
      <c r="H116" s="11"/>
      <c r="I116" s="1">
        <f t="shared" si="9"/>
        <v>113</v>
      </c>
      <c r="J116" s="2" t="s">
        <v>324</v>
      </c>
      <c r="K116" s="9">
        <v>1</v>
      </c>
      <c r="L116" s="11">
        <v>22</v>
      </c>
      <c r="M116" s="2"/>
      <c r="N116" s="1">
        <v>20</v>
      </c>
      <c r="O116" s="2" t="s">
        <v>897</v>
      </c>
      <c r="P116" s="9">
        <v>3</v>
      </c>
      <c r="Q116" s="11">
        <v>9</v>
      </c>
    </row>
    <row r="117" spans="1:17" ht="57.6" x14ac:dyDescent="0.3">
      <c r="A117" s="1">
        <f t="shared" si="8"/>
        <v>114</v>
      </c>
      <c r="B117" s="2" t="s">
        <v>560</v>
      </c>
      <c r="C117">
        <v>12</v>
      </c>
      <c r="D117" s="1">
        <f t="shared" si="7"/>
        <v>114</v>
      </c>
      <c r="E117" s="2" t="s">
        <v>650</v>
      </c>
      <c r="F117" s="9">
        <f t="shared" si="5"/>
        <v>0</v>
      </c>
      <c r="G117" s="11">
        <f t="shared" si="6"/>
        <v>9</v>
      </c>
      <c r="H117" s="11"/>
      <c r="I117" s="1">
        <f t="shared" si="9"/>
        <v>114</v>
      </c>
      <c r="J117" s="2" t="s">
        <v>332</v>
      </c>
      <c r="K117" s="9">
        <v>1</v>
      </c>
      <c r="L117" s="11">
        <v>22</v>
      </c>
      <c r="M117" s="2"/>
      <c r="N117" s="1">
        <v>21</v>
      </c>
      <c r="O117" s="2" t="s">
        <v>906</v>
      </c>
      <c r="P117" s="9">
        <v>3</v>
      </c>
      <c r="Q117" s="11">
        <v>9</v>
      </c>
    </row>
    <row r="118" spans="1:17" ht="72" x14ac:dyDescent="0.3">
      <c r="A118" s="1">
        <f t="shared" si="8"/>
        <v>115</v>
      </c>
      <c r="B118" s="2" t="s">
        <v>564</v>
      </c>
      <c r="C118">
        <v>12</v>
      </c>
      <c r="D118" s="1">
        <f t="shared" si="7"/>
        <v>115</v>
      </c>
      <c r="E118" s="2" t="s">
        <v>655</v>
      </c>
      <c r="F118" s="9">
        <f t="shared" si="5"/>
        <v>0</v>
      </c>
      <c r="G118" s="11">
        <f t="shared" si="6"/>
        <v>9</v>
      </c>
      <c r="H118" s="11"/>
      <c r="I118" s="1">
        <f t="shared" si="9"/>
        <v>115</v>
      </c>
      <c r="J118" s="2" t="s">
        <v>341</v>
      </c>
      <c r="K118" s="9">
        <v>1</v>
      </c>
      <c r="L118" s="11">
        <v>21</v>
      </c>
      <c r="M118" s="2"/>
      <c r="N118" s="1">
        <v>46</v>
      </c>
      <c r="O118" s="2" t="s">
        <v>640</v>
      </c>
      <c r="P118" s="9">
        <v>2</v>
      </c>
      <c r="Q118" s="11">
        <v>9</v>
      </c>
    </row>
    <row r="119" spans="1:17" ht="72" x14ac:dyDescent="0.3">
      <c r="A119" s="1">
        <f t="shared" si="8"/>
        <v>116</v>
      </c>
      <c r="B119" s="2" t="s">
        <v>48</v>
      </c>
      <c r="C119">
        <v>11</v>
      </c>
      <c r="D119" s="1">
        <f t="shared" si="7"/>
        <v>116</v>
      </c>
      <c r="E119" s="2" t="s">
        <v>660</v>
      </c>
      <c r="F119" s="9">
        <f t="shared" si="5"/>
        <v>0</v>
      </c>
      <c r="G119" s="11">
        <f t="shared" si="6"/>
        <v>9</v>
      </c>
      <c r="H119" s="11"/>
      <c r="I119" s="1">
        <f t="shared" si="9"/>
        <v>116</v>
      </c>
      <c r="J119" s="2" t="s">
        <v>346</v>
      </c>
      <c r="K119" s="9">
        <v>1</v>
      </c>
      <c r="L119" s="11">
        <v>21</v>
      </c>
      <c r="M119" s="2"/>
      <c r="N119" s="1">
        <v>152</v>
      </c>
      <c r="O119" s="2" t="s">
        <v>624</v>
      </c>
      <c r="P119" s="9">
        <v>1</v>
      </c>
      <c r="Q119" s="11">
        <v>9</v>
      </c>
    </row>
    <row r="120" spans="1:17" ht="129.6" x14ac:dyDescent="0.3">
      <c r="A120" s="1">
        <f t="shared" si="8"/>
        <v>117</v>
      </c>
      <c r="B120" s="2" t="s">
        <v>572</v>
      </c>
      <c r="C120">
        <v>11</v>
      </c>
      <c r="D120" s="1">
        <f t="shared" si="7"/>
        <v>117</v>
      </c>
      <c r="E120" s="2" t="s">
        <v>670</v>
      </c>
      <c r="F120" s="9">
        <f t="shared" si="5"/>
        <v>0</v>
      </c>
      <c r="G120" s="11">
        <f t="shared" si="6"/>
        <v>9</v>
      </c>
      <c r="H120" s="11"/>
      <c r="I120" s="1">
        <f t="shared" si="9"/>
        <v>117</v>
      </c>
      <c r="J120" s="2" t="s">
        <v>351</v>
      </c>
      <c r="K120" s="9">
        <v>1</v>
      </c>
      <c r="L120" s="11">
        <v>21</v>
      </c>
      <c r="M120" s="2"/>
      <c r="N120" s="1">
        <v>153</v>
      </c>
      <c r="O120" s="2" t="s">
        <v>629</v>
      </c>
      <c r="P120" s="9">
        <v>1</v>
      </c>
      <c r="Q120" s="11">
        <v>9</v>
      </c>
    </row>
    <row r="121" spans="1:17" ht="43.2" x14ac:dyDescent="0.3">
      <c r="A121" s="1">
        <f t="shared" si="8"/>
        <v>118</v>
      </c>
      <c r="B121" s="2" t="s">
        <v>577</v>
      </c>
      <c r="C121">
        <v>11</v>
      </c>
      <c r="D121" s="1">
        <f t="shared" si="7"/>
        <v>118</v>
      </c>
      <c r="E121" s="2" t="s">
        <v>675</v>
      </c>
      <c r="F121" s="9">
        <f t="shared" si="5"/>
        <v>0</v>
      </c>
      <c r="G121" s="11">
        <f t="shared" si="6"/>
        <v>9</v>
      </c>
      <c r="H121" s="11"/>
      <c r="I121" s="1">
        <f t="shared" si="9"/>
        <v>118</v>
      </c>
      <c r="J121" s="2" t="s">
        <v>361</v>
      </c>
      <c r="K121" s="9">
        <v>1</v>
      </c>
      <c r="L121" s="11">
        <v>20</v>
      </c>
      <c r="M121" s="2"/>
      <c r="N121" s="1">
        <v>154</v>
      </c>
      <c r="O121" s="2" t="s">
        <v>634</v>
      </c>
      <c r="P121" s="9">
        <v>1</v>
      </c>
      <c r="Q121" s="11">
        <v>9</v>
      </c>
    </row>
    <row r="122" spans="1:17" ht="57.6" x14ac:dyDescent="0.3">
      <c r="A122" s="1">
        <f t="shared" si="8"/>
        <v>119</v>
      </c>
      <c r="B122" s="2" t="s">
        <v>581</v>
      </c>
      <c r="C122">
        <v>11</v>
      </c>
      <c r="D122" s="1">
        <f t="shared" si="7"/>
        <v>119</v>
      </c>
      <c r="E122" s="2" t="s">
        <v>679</v>
      </c>
      <c r="F122" s="9">
        <f t="shared" si="5"/>
        <v>0</v>
      </c>
      <c r="G122" s="11">
        <f t="shared" si="6"/>
        <v>8</v>
      </c>
      <c r="H122" s="11"/>
      <c r="I122" s="1">
        <f t="shared" si="9"/>
        <v>119</v>
      </c>
      <c r="J122" s="2" t="s">
        <v>371</v>
      </c>
      <c r="K122" s="9">
        <v>1</v>
      </c>
      <c r="L122" s="11">
        <v>20</v>
      </c>
      <c r="M122" s="2"/>
      <c r="N122" s="1">
        <v>155</v>
      </c>
      <c r="O122" s="2" t="s">
        <v>645</v>
      </c>
      <c r="P122" s="9">
        <v>1</v>
      </c>
      <c r="Q122" s="11">
        <v>9</v>
      </c>
    </row>
    <row r="123" spans="1:17" ht="57.6" x14ac:dyDescent="0.3">
      <c r="A123" s="1">
        <f t="shared" si="8"/>
        <v>120</v>
      </c>
      <c r="B123" s="2" t="s">
        <v>586</v>
      </c>
      <c r="C123">
        <v>11</v>
      </c>
      <c r="D123" s="1">
        <f t="shared" si="7"/>
        <v>120</v>
      </c>
      <c r="E123" s="2" t="s">
        <v>691</v>
      </c>
      <c r="F123" s="9">
        <f t="shared" si="5"/>
        <v>0</v>
      </c>
      <c r="G123" s="11">
        <f t="shared" si="6"/>
        <v>13</v>
      </c>
      <c r="H123" s="11"/>
      <c r="I123" s="1">
        <f t="shared" si="9"/>
        <v>120</v>
      </c>
      <c r="J123" s="2" t="s">
        <v>385</v>
      </c>
      <c r="K123" s="9">
        <v>1</v>
      </c>
      <c r="L123" s="11">
        <v>19</v>
      </c>
      <c r="M123" s="2"/>
      <c r="N123" s="1">
        <v>156</v>
      </c>
      <c r="O123" s="2" t="s">
        <v>650</v>
      </c>
      <c r="P123" s="9">
        <v>1</v>
      </c>
      <c r="Q123" s="11">
        <v>9</v>
      </c>
    </row>
    <row r="124" spans="1:17" ht="57.6" x14ac:dyDescent="0.3">
      <c r="A124" s="1">
        <f t="shared" si="8"/>
        <v>121</v>
      </c>
      <c r="B124" s="2" t="s">
        <v>594</v>
      </c>
      <c r="C124">
        <v>10</v>
      </c>
      <c r="D124" s="1">
        <f t="shared" si="7"/>
        <v>121</v>
      </c>
      <c r="E124" s="2" t="s">
        <v>696</v>
      </c>
      <c r="F124" s="9">
        <f t="shared" si="5"/>
        <v>0</v>
      </c>
      <c r="G124" s="11">
        <f t="shared" si="6"/>
        <v>18</v>
      </c>
      <c r="H124" s="11"/>
      <c r="I124" s="1">
        <f t="shared" si="9"/>
        <v>121</v>
      </c>
      <c r="J124" s="2" t="s">
        <v>390</v>
      </c>
      <c r="K124" s="9">
        <v>1</v>
      </c>
      <c r="L124" s="11">
        <v>19</v>
      </c>
      <c r="M124" s="2"/>
      <c r="N124" s="1">
        <v>157</v>
      </c>
      <c r="O124" s="2" t="s">
        <v>655</v>
      </c>
      <c r="P124" s="9">
        <v>1</v>
      </c>
      <c r="Q124" s="11">
        <v>9</v>
      </c>
    </row>
    <row r="125" spans="1:17" ht="72" x14ac:dyDescent="0.3">
      <c r="A125" s="1">
        <f t="shared" si="8"/>
        <v>122</v>
      </c>
      <c r="B125" s="2" t="s">
        <v>455</v>
      </c>
      <c r="C125">
        <v>10</v>
      </c>
      <c r="D125" s="1">
        <f t="shared" si="7"/>
        <v>122</v>
      </c>
      <c r="E125" s="2" t="s">
        <v>700</v>
      </c>
      <c r="F125" s="9">
        <f t="shared" si="5"/>
        <v>0</v>
      </c>
      <c r="G125" s="11">
        <f t="shared" si="6"/>
        <v>8</v>
      </c>
      <c r="H125" s="11"/>
      <c r="I125" s="1">
        <f t="shared" si="9"/>
        <v>122</v>
      </c>
      <c r="J125" s="2" t="s">
        <v>395</v>
      </c>
      <c r="K125" s="9">
        <v>1</v>
      </c>
      <c r="L125" s="11">
        <v>19</v>
      </c>
      <c r="M125" s="2"/>
      <c r="N125" s="1">
        <v>158</v>
      </c>
      <c r="O125" s="2" t="s">
        <v>660</v>
      </c>
      <c r="P125" s="9">
        <v>1</v>
      </c>
      <c r="Q125" s="11">
        <v>9</v>
      </c>
    </row>
    <row r="126" spans="1:17" ht="57.6" x14ac:dyDescent="0.3">
      <c r="A126" s="1">
        <f t="shared" si="8"/>
        <v>123</v>
      </c>
      <c r="B126" s="2" t="s">
        <v>185</v>
      </c>
      <c r="C126">
        <v>10</v>
      </c>
      <c r="D126" s="1">
        <f t="shared" si="7"/>
        <v>123</v>
      </c>
      <c r="E126" s="2" t="s">
        <v>705</v>
      </c>
      <c r="F126" s="9">
        <f t="shared" si="5"/>
        <v>0</v>
      </c>
      <c r="G126" s="11">
        <f t="shared" si="6"/>
        <v>8</v>
      </c>
      <c r="H126" s="11"/>
      <c r="I126" s="1">
        <f t="shared" si="9"/>
        <v>123</v>
      </c>
      <c r="J126" s="2" t="s">
        <v>407</v>
      </c>
      <c r="K126" s="9">
        <v>1</v>
      </c>
      <c r="L126" s="11">
        <v>18</v>
      </c>
      <c r="M126" s="2"/>
      <c r="N126" s="1">
        <v>159</v>
      </c>
      <c r="O126" s="2" t="s">
        <v>670</v>
      </c>
      <c r="P126" s="9">
        <v>1</v>
      </c>
      <c r="Q126" s="11">
        <v>9</v>
      </c>
    </row>
    <row r="127" spans="1:17" ht="28.8" x14ac:dyDescent="0.3">
      <c r="A127" s="1">
        <f t="shared" si="8"/>
        <v>124</v>
      </c>
      <c r="B127" s="2" t="s">
        <v>607</v>
      </c>
      <c r="C127">
        <v>10</v>
      </c>
      <c r="D127" s="1">
        <f t="shared" si="7"/>
        <v>124</v>
      </c>
      <c r="E127" s="2" t="s">
        <v>710</v>
      </c>
      <c r="F127" s="9">
        <f t="shared" si="5"/>
        <v>0</v>
      </c>
      <c r="G127" s="11">
        <f t="shared" si="6"/>
        <v>8</v>
      </c>
      <c r="H127" s="11"/>
      <c r="I127" s="1">
        <f t="shared" si="9"/>
        <v>124</v>
      </c>
      <c r="J127" s="2" t="s">
        <v>411</v>
      </c>
      <c r="K127" s="9">
        <v>1</v>
      </c>
      <c r="L127" s="11">
        <v>18</v>
      </c>
      <c r="M127" s="2"/>
      <c r="N127" s="1">
        <v>160</v>
      </c>
      <c r="O127" s="2" t="s">
        <v>675</v>
      </c>
      <c r="P127" s="9">
        <v>1</v>
      </c>
      <c r="Q127" s="11">
        <v>9</v>
      </c>
    </row>
    <row r="128" spans="1:17" ht="57.6" x14ac:dyDescent="0.3">
      <c r="A128" s="1">
        <f t="shared" si="8"/>
        <v>125</v>
      </c>
      <c r="B128" s="2" t="s">
        <v>612</v>
      </c>
      <c r="C128">
        <v>10</v>
      </c>
      <c r="D128" s="1">
        <f t="shared" si="7"/>
        <v>125</v>
      </c>
      <c r="E128" s="2" t="s">
        <v>714</v>
      </c>
      <c r="F128" s="9">
        <f t="shared" si="5"/>
        <v>0</v>
      </c>
      <c r="G128" s="11">
        <f t="shared" si="6"/>
        <v>8</v>
      </c>
      <c r="H128" s="11"/>
      <c r="I128" s="1">
        <f t="shared" si="9"/>
        <v>125</v>
      </c>
      <c r="J128" s="2" t="s">
        <v>422</v>
      </c>
      <c r="K128" s="9">
        <v>1</v>
      </c>
      <c r="L128" s="11">
        <v>17</v>
      </c>
      <c r="M128" s="2"/>
      <c r="N128" s="1">
        <v>14</v>
      </c>
      <c r="O128" s="2" t="s">
        <v>996</v>
      </c>
      <c r="P128" s="9">
        <v>4</v>
      </c>
      <c r="Q128" s="11">
        <v>8</v>
      </c>
    </row>
    <row r="129" spans="1:17" ht="43.2" x14ac:dyDescent="0.3">
      <c r="A129" s="1">
        <f t="shared" si="8"/>
        <v>126</v>
      </c>
      <c r="B129" s="2" t="s">
        <v>616</v>
      </c>
      <c r="C129">
        <v>10</v>
      </c>
      <c r="D129" s="1">
        <f t="shared" si="7"/>
        <v>126</v>
      </c>
      <c r="E129" s="2" t="s">
        <v>718</v>
      </c>
      <c r="F129" s="9">
        <f t="shared" si="5"/>
        <v>0</v>
      </c>
      <c r="G129" s="11">
        <f t="shared" si="6"/>
        <v>8</v>
      </c>
      <c r="H129" s="11"/>
      <c r="I129" s="1">
        <f t="shared" si="9"/>
        <v>126</v>
      </c>
      <c r="J129" s="2" t="s">
        <v>426</v>
      </c>
      <c r="K129" s="9">
        <v>1</v>
      </c>
      <c r="L129" s="11">
        <v>17</v>
      </c>
      <c r="M129" s="2"/>
      <c r="N129" s="1">
        <v>48</v>
      </c>
      <c r="O129" s="2" t="s">
        <v>710</v>
      </c>
      <c r="P129" s="9">
        <v>2</v>
      </c>
      <c r="Q129" s="11">
        <v>8</v>
      </c>
    </row>
    <row r="130" spans="1:17" ht="57.6" x14ac:dyDescent="0.3">
      <c r="A130" s="1">
        <f t="shared" si="8"/>
        <v>127</v>
      </c>
      <c r="B130" s="2" t="s">
        <v>620</v>
      </c>
      <c r="C130">
        <v>10</v>
      </c>
      <c r="D130" s="1">
        <f t="shared" si="7"/>
        <v>127</v>
      </c>
      <c r="E130" s="2" t="s">
        <v>723</v>
      </c>
      <c r="F130" s="9">
        <f t="shared" si="5"/>
        <v>0</v>
      </c>
      <c r="G130" s="11">
        <f t="shared" si="6"/>
        <v>8</v>
      </c>
      <c r="H130" s="11"/>
      <c r="I130" s="1">
        <f t="shared" si="9"/>
        <v>127</v>
      </c>
      <c r="J130" s="2" t="s">
        <v>430</v>
      </c>
      <c r="K130" s="9">
        <v>1</v>
      </c>
      <c r="L130" s="11">
        <v>17</v>
      </c>
      <c r="M130" s="2"/>
      <c r="N130" s="1">
        <v>161</v>
      </c>
      <c r="O130" s="2" t="s">
        <v>679</v>
      </c>
      <c r="P130" s="9">
        <v>1</v>
      </c>
      <c r="Q130" s="11">
        <v>8</v>
      </c>
    </row>
    <row r="131" spans="1:17" ht="57.6" x14ac:dyDescent="0.3">
      <c r="A131" s="1">
        <f t="shared" si="8"/>
        <v>128</v>
      </c>
      <c r="B131" s="2" t="s">
        <v>624</v>
      </c>
      <c r="C131">
        <v>9</v>
      </c>
      <c r="D131" s="1">
        <f t="shared" si="7"/>
        <v>128</v>
      </c>
      <c r="E131" s="2" t="s">
        <v>728</v>
      </c>
      <c r="F131" s="9">
        <f t="shared" si="5"/>
        <v>0</v>
      </c>
      <c r="G131" s="11">
        <f t="shared" si="6"/>
        <v>7</v>
      </c>
      <c r="H131" s="11"/>
      <c r="I131" s="1">
        <f t="shared" si="9"/>
        <v>128</v>
      </c>
      <c r="J131" s="2" t="s">
        <v>435</v>
      </c>
      <c r="K131" s="9">
        <v>1</v>
      </c>
      <c r="L131" s="11">
        <v>17</v>
      </c>
      <c r="M131" s="2"/>
      <c r="N131" s="1">
        <v>162</v>
      </c>
      <c r="O131" s="2" t="s">
        <v>700</v>
      </c>
      <c r="P131" s="9">
        <v>1</v>
      </c>
      <c r="Q131" s="11">
        <v>8</v>
      </c>
    </row>
    <row r="132" spans="1:17" ht="72" x14ac:dyDescent="0.3">
      <c r="A132" s="1">
        <f t="shared" si="8"/>
        <v>129</v>
      </c>
      <c r="B132" s="2" t="s">
        <v>629</v>
      </c>
      <c r="C132">
        <v>9</v>
      </c>
      <c r="D132" s="1">
        <f t="shared" si="7"/>
        <v>129</v>
      </c>
      <c r="E132" s="2" t="s">
        <v>737</v>
      </c>
      <c r="F132" s="9">
        <f t="shared" ref="F132:F195" si="10">COUNTIF(B132:B754,J132)</f>
        <v>0</v>
      </c>
      <c r="G132" s="11">
        <f t="shared" ref="G132:G195" si="11">SUMIF($B$4:$B$626,E132,$C$4:$C$626)</f>
        <v>7</v>
      </c>
      <c r="H132" s="11"/>
      <c r="I132" s="1">
        <f t="shared" si="9"/>
        <v>129</v>
      </c>
      <c r="J132" s="2" t="s">
        <v>440</v>
      </c>
      <c r="K132" s="9">
        <v>1</v>
      </c>
      <c r="L132" s="11">
        <v>16</v>
      </c>
      <c r="M132" s="2"/>
      <c r="N132" s="1">
        <v>163</v>
      </c>
      <c r="O132" s="2" t="s">
        <v>705</v>
      </c>
      <c r="P132" s="9">
        <v>1</v>
      </c>
      <c r="Q132" s="11">
        <v>8</v>
      </c>
    </row>
    <row r="133" spans="1:17" ht="72" x14ac:dyDescent="0.3">
      <c r="A133" s="1">
        <f t="shared" si="8"/>
        <v>130</v>
      </c>
      <c r="B133" s="2" t="s">
        <v>634</v>
      </c>
      <c r="C133">
        <v>9</v>
      </c>
      <c r="D133" s="1">
        <f t="shared" ref="D133:D196" si="12">+D132+1</f>
        <v>130</v>
      </c>
      <c r="E133" s="2" t="s">
        <v>742</v>
      </c>
      <c r="F133" s="9">
        <f t="shared" si="10"/>
        <v>0</v>
      </c>
      <c r="G133" s="11">
        <f t="shared" si="11"/>
        <v>7</v>
      </c>
      <c r="H133" s="11"/>
      <c r="I133" s="1">
        <f t="shared" si="9"/>
        <v>130</v>
      </c>
      <c r="J133" s="2" t="s">
        <v>445</v>
      </c>
      <c r="K133" s="9">
        <v>1</v>
      </c>
      <c r="L133" s="11">
        <v>16</v>
      </c>
      <c r="M133" s="2"/>
      <c r="N133" s="1">
        <v>164</v>
      </c>
      <c r="O133" s="2" t="s">
        <v>714</v>
      </c>
      <c r="P133" s="9">
        <v>1</v>
      </c>
      <c r="Q133" s="11">
        <v>8</v>
      </c>
    </row>
    <row r="134" spans="1:17" ht="43.2" x14ac:dyDescent="0.3">
      <c r="A134" s="1">
        <f t="shared" ref="A134:A197" si="13">+A133+1</f>
        <v>131</v>
      </c>
      <c r="B134" s="2" t="s">
        <v>640</v>
      </c>
      <c r="C134">
        <v>9</v>
      </c>
      <c r="D134" s="1">
        <f t="shared" si="12"/>
        <v>131</v>
      </c>
      <c r="E134" s="2" t="s">
        <v>747</v>
      </c>
      <c r="F134" s="9">
        <f t="shared" si="10"/>
        <v>0</v>
      </c>
      <c r="G134" s="11">
        <f t="shared" si="11"/>
        <v>7</v>
      </c>
      <c r="H134" s="11"/>
      <c r="I134" s="1">
        <f t="shared" ref="I134:I197" si="14">+I133+1</f>
        <v>131</v>
      </c>
      <c r="J134" s="2" t="s">
        <v>460</v>
      </c>
      <c r="K134" s="9">
        <v>1</v>
      </c>
      <c r="L134" s="11">
        <v>15</v>
      </c>
      <c r="M134" s="2"/>
      <c r="N134" s="1">
        <v>165</v>
      </c>
      <c r="O134" s="2" t="s">
        <v>718</v>
      </c>
      <c r="P134" s="9">
        <v>1</v>
      </c>
      <c r="Q134" s="11">
        <v>8</v>
      </c>
    </row>
    <row r="135" spans="1:17" ht="43.2" x14ac:dyDescent="0.3">
      <c r="A135" s="1">
        <f t="shared" si="13"/>
        <v>132</v>
      </c>
      <c r="B135" s="2" t="s">
        <v>645</v>
      </c>
      <c r="C135">
        <v>9</v>
      </c>
      <c r="D135" s="1">
        <f t="shared" si="12"/>
        <v>132</v>
      </c>
      <c r="E135" s="2" t="s">
        <v>753</v>
      </c>
      <c r="F135" s="9">
        <f t="shared" si="10"/>
        <v>0</v>
      </c>
      <c r="G135" s="11">
        <f t="shared" si="11"/>
        <v>7</v>
      </c>
      <c r="H135" s="11"/>
      <c r="I135" s="1">
        <f t="shared" si="14"/>
        <v>132</v>
      </c>
      <c r="J135" s="2" t="s">
        <v>464</v>
      </c>
      <c r="K135" s="9">
        <v>1</v>
      </c>
      <c r="L135" s="11">
        <v>15</v>
      </c>
      <c r="M135" s="2"/>
      <c r="N135" s="1">
        <v>166</v>
      </c>
      <c r="O135" s="2" t="s">
        <v>723</v>
      </c>
      <c r="P135" s="9">
        <v>1</v>
      </c>
      <c r="Q135" s="11">
        <v>8</v>
      </c>
    </row>
    <row r="136" spans="1:17" ht="43.2" x14ac:dyDescent="0.3">
      <c r="A136" s="1">
        <f t="shared" si="13"/>
        <v>133</v>
      </c>
      <c r="B136" s="2" t="s">
        <v>650</v>
      </c>
      <c r="C136">
        <v>9</v>
      </c>
      <c r="D136" s="1">
        <f t="shared" si="12"/>
        <v>133</v>
      </c>
      <c r="E136" s="2" t="s">
        <v>757</v>
      </c>
      <c r="F136" s="9">
        <f t="shared" si="10"/>
        <v>0</v>
      </c>
      <c r="G136" s="11">
        <f t="shared" si="11"/>
        <v>7</v>
      </c>
      <c r="H136" s="11"/>
      <c r="I136" s="1">
        <f t="shared" si="14"/>
        <v>133</v>
      </c>
      <c r="J136" s="2" t="s">
        <v>468</v>
      </c>
      <c r="K136" s="9">
        <v>1</v>
      </c>
      <c r="L136" s="11">
        <v>15</v>
      </c>
      <c r="M136" s="2"/>
      <c r="N136" s="1">
        <v>49</v>
      </c>
      <c r="O136" s="2" t="s">
        <v>753</v>
      </c>
      <c r="P136" s="9">
        <v>2</v>
      </c>
      <c r="Q136" s="11">
        <v>7</v>
      </c>
    </row>
    <row r="137" spans="1:17" ht="57.6" x14ac:dyDescent="0.3">
      <c r="A137" s="1">
        <f t="shared" si="13"/>
        <v>134</v>
      </c>
      <c r="B137" s="2" t="s">
        <v>655</v>
      </c>
      <c r="C137">
        <v>9</v>
      </c>
      <c r="D137" s="1">
        <f t="shared" si="12"/>
        <v>134</v>
      </c>
      <c r="E137" s="2" t="s">
        <v>762</v>
      </c>
      <c r="F137" s="9">
        <f t="shared" si="10"/>
        <v>0</v>
      </c>
      <c r="G137" s="11">
        <f t="shared" si="11"/>
        <v>7</v>
      </c>
      <c r="H137" s="11"/>
      <c r="I137" s="1">
        <f t="shared" si="14"/>
        <v>134</v>
      </c>
      <c r="J137" s="2" t="s">
        <v>472</v>
      </c>
      <c r="K137" s="9">
        <v>1</v>
      </c>
      <c r="L137" s="11">
        <v>15</v>
      </c>
      <c r="M137" s="2"/>
      <c r="N137" s="1">
        <v>50</v>
      </c>
      <c r="O137" s="2" t="s">
        <v>791</v>
      </c>
      <c r="P137" s="9">
        <v>2</v>
      </c>
      <c r="Q137" s="11">
        <v>7</v>
      </c>
    </row>
    <row r="138" spans="1:17" ht="158.4" x14ac:dyDescent="0.3">
      <c r="A138" s="1">
        <f t="shared" si="13"/>
        <v>135</v>
      </c>
      <c r="B138" s="2" t="s">
        <v>660</v>
      </c>
      <c r="C138">
        <v>9</v>
      </c>
      <c r="D138" s="1">
        <f t="shared" si="12"/>
        <v>135</v>
      </c>
      <c r="E138" s="2" t="s">
        <v>768</v>
      </c>
      <c r="F138" s="9">
        <f t="shared" si="10"/>
        <v>0</v>
      </c>
      <c r="G138" s="11">
        <f t="shared" si="11"/>
        <v>7</v>
      </c>
      <c r="H138" s="11"/>
      <c r="I138" s="1">
        <f t="shared" si="14"/>
        <v>135</v>
      </c>
      <c r="J138" s="2" t="s">
        <v>477</v>
      </c>
      <c r="K138" s="9">
        <v>1</v>
      </c>
      <c r="L138" s="11">
        <v>15</v>
      </c>
      <c r="M138" s="2"/>
      <c r="N138" s="1">
        <v>167</v>
      </c>
      <c r="O138" s="2" t="s">
        <v>728</v>
      </c>
      <c r="P138" s="9">
        <v>1</v>
      </c>
      <c r="Q138" s="11">
        <v>7</v>
      </c>
    </row>
    <row r="139" spans="1:17" ht="86.4" x14ac:dyDescent="0.3">
      <c r="A139" s="1">
        <f t="shared" si="13"/>
        <v>136</v>
      </c>
      <c r="B139" s="2" t="s">
        <v>291</v>
      </c>
      <c r="C139">
        <v>9</v>
      </c>
      <c r="D139" s="1">
        <f t="shared" si="12"/>
        <v>136</v>
      </c>
      <c r="E139" s="2" t="s">
        <v>773</v>
      </c>
      <c r="F139" s="9">
        <f t="shared" si="10"/>
        <v>0</v>
      </c>
      <c r="G139" s="11">
        <f t="shared" si="11"/>
        <v>7</v>
      </c>
      <c r="H139" s="11"/>
      <c r="I139" s="1">
        <f t="shared" si="14"/>
        <v>136</v>
      </c>
      <c r="J139" s="2" t="s">
        <v>500</v>
      </c>
      <c r="K139" s="9">
        <v>1</v>
      </c>
      <c r="L139" s="11">
        <v>14</v>
      </c>
      <c r="M139" s="2"/>
      <c r="N139" s="1">
        <v>168</v>
      </c>
      <c r="O139" s="2" t="s">
        <v>737</v>
      </c>
      <c r="P139" s="9">
        <v>1</v>
      </c>
      <c r="Q139" s="11">
        <v>7</v>
      </c>
    </row>
    <row r="140" spans="1:17" ht="57.6" x14ac:dyDescent="0.3">
      <c r="A140" s="1">
        <f t="shared" si="13"/>
        <v>137</v>
      </c>
      <c r="B140" s="2" t="s">
        <v>670</v>
      </c>
      <c r="C140">
        <v>9</v>
      </c>
      <c r="D140" s="1">
        <f t="shared" si="12"/>
        <v>137</v>
      </c>
      <c r="E140" s="2" t="s">
        <v>777</v>
      </c>
      <c r="F140" s="9">
        <f t="shared" si="10"/>
        <v>0</v>
      </c>
      <c r="G140" s="11">
        <f t="shared" si="11"/>
        <v>7</v>
      </c>
      <c r="H140" s="11"/>
      <c r="I140" s="1">
        <f t="shared" si="14"/>
        <v>137</v>
      </c>
      <c r="J140" s="2" t="s">
        <v>504</v>
      </c>
      <c r="K140" s="9">
        <v>1</v>
      </c>
      <c r="L140" s="11">
        <v>14</v>
      </c>
      <c r="M140" s="2"/>
      <c r="N140" s="1">
        <v>169</v>
      </c>
      <c r="O140" s="2" t="s">
        <v>742</v>
      </c>
      <c r="P140" s="9">
        <v>1</v>
      </c>
      <c r="Q140" s="11">
        <v>7</v>
      </c>
    </row>
    <row r="141" spans="1:17" ht="28.8" x14ac:dyDescent="0.3">
      <c r="A141" s="1">
        <f t="shared" si="13"/>
        <v>138</v>
      </c>
      <c r="B141" s="2" t="s">
        <v>675</v>
      </c>
      <c r="C141">
        <v>9</v>
      </c>
      <c r="D141" s="1">
        <f t="shared" si="12"/>
        <v>138</v>
      </c>
      <c r="E141" s="2" t="s">
        <v>782</v>
      </c>
      <c r="F141" s="9">
        <f t="shared" si="10"/>
        <v>0</v>
      </c>
      <c r="G141" s="11">
        <f t="shared" si="11"/>
        <v>7</v>
      </c>
      <c r="H141" s="11"/>
      <c r="I141" s="1">
        <f t="shared" si="14"/>
        <v>138</v>
      </c>
      <c r="J141" s="2" t="s">
        <v>508</v>
      </c>
      <c r="K141" s="9">
        <v>1</v>
      </c>
      <c r="L141" s="11">
        <v>13</v>
      </c>
      <c r="M141" s="2"/>
      <c r="N141" s="1">
        <v>170</v>
      </c>
      <c r="O141" s="2" t="s">
        <v>747</v>
      </c>
      <c r="P141" s="9">
        <v>1</v>
      </c>
      <c r="Q141" s="11">
        <v>7</v>
      </c>
    </row>
    <row r="142" spans="1:17" ht="28.8" x14ac:dyDescent="0.3">
      <c r="A142" s="1">
        <f t="shared" si="13"/>
        <v>139</v>
      </c>
      <c r="B142" s="2" t="s">
        <v>679</v>
      </c>
      <c r="C142">
        <v>8</v>
      </c>
      <c r="D142" s="1">
        <f t="shared" si="12"/>
        <v>139</v>
      </c>
      <c r="E142" s="2" t="s">
        <v>791</v>
      </c>
      <c r="F142" s="9">
        <f t="shared" si="10"/>
        <v>0</v>
      </c>
      <c r="G142" s="11">
        <f t="shared" si="11"/>
        <v>7</v>
      </c>
      <c r="H142" s="11"/>
      <c r="I142" s="1">
        <f t="shared" si="14"/>
        <v>139</v>
      </c>
      <c r="J142" s="2" t="s">
        <v>521</v>
      </c>
      <c r="K142" s="9">
        <v>1</v>
      </c>
      <c r="L142" s="11">
        <v>13</v>
      </c>
      <c r="M142" s="2"/>
      <c r="N142" s="1">
        <v>171</v>
      </c>
      <c r="O142" s="2" t="s">
        <v>757</v>
      </c>
      <c r="P142" s="9">
        <v>1</v>
      </c>
      <c r="Q142" s="11">
        <v>7</v>
      </c>
    </row>
    <row r="143" spans="1:17" ht="43.2" x14ac:dyDescent="0.3">
      <c r="A143" s="1">
        <f t="shared" si="13"/>
        <v>140</v>
      </c>
      <c r="B143" s="2" t="s">
        <v>200</v>
      </c>
      <c r="C143">
        <v>8</v>
      </c>
      <c r="D143" s="1">
        <f t="shared" si="12"/>
        <v>140</v>
      </c>
      <c r="E143" s="2" t="s">
        <v>795</v>
      </c>
      <c r="F143" s="9">
        <f t="shared" si="10"/>
        <v>0</v>
      </c>
      <c r="G143" s="11">
        <f t="shared" si="11"/>
        <v>6</v>
      </c>
      <c r="H143" s="11"/>
      <c r="I143" s="1">
        <f t="shared" si="14"/>
        <v>140</v>
      </c>
      <c r="J143" s="2" t="s">
        <v>526</v>
      </c>
      <c r="K143" s="9">
        <v>1</v>
      </c>
      <c r="L143" s="11">
        <v>13</v>
      </c>
      <c r="M143" s="2"/>
      <c r="N143" s="1">
        <v>172</v>
      </c>
      <c r="O143" s="2" t="s">
        <v>762</v>
      </c>
      <c r="P143" s="9">
        <v>1</v>
      </c>
      <c r="Q143" s="11">
        <v>7</v>
      </c>
    </row>
    <row r="144" spans="1:17" ht="86.4" x14ac:dyDescent="0.3">
      <c r="A144" s="1">
        <f t="shared" si="13"/>
        <v>141</v>
      </c>
      <c r="B144" s="2" t="s">
        <v>365</v>
      </c>
      <c r="C144">
        <v>8</v>
      </c>
      <c r="D144" s="1">
        <f t="shared" si="12"/>
        <v>141</v>
      </c>
      <c r="E144" s="2" t="s">
        <v>799</v>
      </c>
      <c r="F144" s="9">
        <f t="shared" si="10"/>
        <v>0</v>
      </c>
      <c r="G144" s="11">
        <f t="shared" si="11"/>
        <v>6</v>
      </c>
      <c r="H144" s="11"/>
      <c r="I144" s="1">
        <f t="shared" si="14"/>
        <v>141</v>
      </c>
      <c r="J144" s="2" t="s">
        <v>530</v>
      </c>
      <c r="K144" s="9">
        <v>1</v>
      </c>
      <c r="L144" s="11">
        <v>13</v>
      </c>
      <c r="M144" s="2"/>
      <c r="N144" s="1">
        <v>173</v>
      </c>
      <c r="O144" s="2" t="s">
        <v>768</v>
      </c>
      <c r="P144" s="9">
        <v>1</v>
      </c>
      <c r="Q144" s="11">
        <v>7</v>
      </c>
    </row>
    <row r="145" spans="1:17" ht="57.6" x14ac:dyDescent="0.3">
      <c r="A145" s="1">
        <f t="shared" si="13"/>
        <v>142</v>
      </c>
      <c r="B145" s="2" t="s">
        <v>691</v>
      </c>
      <c r="C145">
        <v>8</v>
      </c>
      <c r="D145" s="1">
        <f t="shared" si="12"/>
        <v>142</v>
      </c>
      <c r="E145" s="2" t="s">
        <v>812</v>
      </c>
      <c r="F145" s="9">
        <f t="shared" si="10"/>
        <v>0</v>
      </c>
      <c r="G145" s="11">
        <f t="shared" si="11"/>
        <v>6</v>
      </c>
      <c r="H145" s="11"/>
      <c r="I145" s="1">
        <f t="shared" si="14"/>
        <v>142</v>
      </c>
      <c r="J145" s="2" t="s">
        <v>537</v>
      </c>
      <c r="K145" s="9">
        <v>1</v>
      </c>
      <c r="L145" s="11">
        <v>13</v>
      </c>
      <c r="M145" s="2"/>
      <c r="N145" s="1">
        <v>174</v>
      </c>
      <c r="O145" s="2" t="s">
        <v>773</v>
      </c>
      <c r="P145" s="9">
        <v>1</v>
      </c>
      <c r="Q145" s="11">
        <v>7</v>
      </c>
    </row>
    <row r="146" spans="1:17" ht="86.4" x14ac:dyDescent="0.3">
      <c r="A146" s="1">
        <f t="shared" si="13"/>
        <v>143</v>
      </c>
      <c r="B146" s="2" t="s">
        <v>696</v>
      </c>
      <c r="C146">
        <v>8</v>
      </c>
      <c r="D146" s="1">
        <f t="shared" si="12"/>
        <v>143</v>
      </c>
      <c r="E146" s="2" t="s">
        <v>816</v>
      </c>
      <c r="F146" s="9">
        <f t="shared" si="10"/>
        <v>0</v>
      </c>
      <c r="G146" s="11">
        <f t="shared" si="11"/>
        <v>6</v>
      </c>
      <c r="H146" s="11"/>
      <c r="I146" s="1">
        <f t="shared" si="14"/>
        <v>143</v>
      </c>
      <c r="J146" s="2" t="s">
        <v>551</v>
      </c>
      <c r="K146" s="9">
        <v>1</v>
      </c>
      <c r="L146" s="11">
        <v>12</v>
      </c>
      <c r="M146" s="2"/>
      <c r="N146" s="1">
        <v>175</v>
      </c>
      <c r="O146" s="2" t="s">
        <v>777</v>
      </c>
      <c r="P146" s="9">
        <v>1</v>
      </c>
      <c r="Q146" s="11">
        <v>7</v>
      </c>
    </row>
    <row r="147" spans="1:17" ht="28.8" x14ac:dyDescent="0.3">
      <c r="A147" s="1">
        <f t="shared" si="13"/>
        <v>144</v>
      </c>
      <c r="B147" s="2" t="s">
        <v>700</v>
      </c>
      <c r="C147">
        <v>8</v>
      </c>
      <c r="D147" s="1">
        <f t="shared" si="12"/>
        <v>144</v>
      </c>
      <c r="E147" s="2" t="s">
        <v>825</v>
      </c>
      <c r="F147" s="9">
        <f t="shared" si="10"/>
        <v>0</v>
      </c>
      <c r="G147" s="11">
        <f t="shared" si="11"/>
        <v>6</v>
      </c>
      <c r="H147" s="11"/>
      <c r="I147" s="1">
        <f t="shared" si="14"/>
        <v>144</v>
      </c>
      <c r="J147" s="2" t="s">
        <v>560</v>
      </c>
      <c r="K147" s="9">
        <v>1</v>
      </c>
      <c r="L147" s="11">
        <v>12</v>
      </c>
      <c r="M147" s="2"/>
      <c r="N147" s="1">
        <v>176</v>
      </c>
      <c r="O147" s="2" t="s">
        <v>782</v>
      </c>
      <c r="P147" s="9">
        <v>1</v>
      </c>
      <c r="Q147" s="11">
        <v>7</v>
      </c>
    </row>
    <row r="148" spans="1:17" ht="72" x14ac:dyDescent="0.3">
      <c r="A148" s="1">
        <f t="shared" si="13"/>
        <v>145</v>
      </c>
      <c r="B148" s="2" t="s">
        <v>705</v>
      </c>
      <c r="C148">
        <v>8</v>
      </c>
      <c r="D148" s="1">
        <f t="shared" si="12"/>
        <v>145</v>
      </c>
      <c r="E148" s="2" t="s">
        <v>832</v>
      </c>
      <c r="F148" s="9">
        <f t="shared" si="10"/>
        <v>0</v>
      </c>
      <c r="G148" s="11">
        <f t="shared" si="11"/>
        <v>6</v>
      </c>
      <c r="H148" s="11"/>
      <c r="I148" s="1">
        <f t="shared" si="14"/>
        <v>145</v>
      </c>
      <c r="J148" s="2" t="s">
        <v>564</v>
      </c>
      <c r="K148" s="9">
        <v>1</v>
      </c>
      <c r="L148" s="11">
        <v>12</v>
      </c>
      <c r="M148" s="2"/>
      <c r="N148" s="1">
        <v>51</v>
      </c>
      <c r="O148" s="2" t="s">
        <v>816</v>
      </c>
      <c r="P148" s="9">
        <v>2</v>
      </c>
      <c r="Q148" s="11">
        <v>6</v>
      </c>
    </row>
    <row r="149" spans="1:17" ht="72" x14ac:dyDescent="0.3">
      <c r="A149" s="1">
        <f t="shared" si="13"/>
        <v>146</v>
      </c>
      <c r="B149" s="2" t="s">
        <v>710</v>
      </c>
      <c r="C149">
        <v>8</v>
      </c>
      <c r="D149" s="1">
        <f t="shared" si="12"/>
        <v>146</v>
      </c>
      <c r="E149" s="2" t="s">
        <v>837</v>
      </c>
      <c r="F149" s="9">
        <f t="shared" si="10"/>
        <v>0</v>
      </c>
      <c r="G149" s="11">
        <f t="shared" si="11"/>
        <v>6</v>
      </c>
      <c r="H149" s="11"/>
      <c r="I149" s="1">
        <f t="shared" si="14"/>
        <v>146</v>
      </c>
      <c r="J149" s="2" t="s">
        <v>572</v>
      </c>
      <c r="K149" s="9">
        <v>1</v>
      </c>
      <c r="L149" s="11">
        <v>11</v>
      </c>
      <c r="M149" s="2"/>
      <c r="N149" s="1">
        <v>177</v>
      </c>
      <c r="O149" s="2" t="s">
        <v>795</v>
      </c>
      <c r="P149" s="9">
        <v>1</v>
      </c>
      <c r="Q149" s="11">
        <v>6</v>
      </c>
    </row>
    <row r="150" spans="1:17" ht="100.8" x14ac:dyDescent="0.3">
      <c r="A150" s="1">
        <f t="shared" si="13"/>
        <v>147</v>
      </c>
      <c r="B150" s="2" t="s">
        <v>714</v>
      </c>
      <c r="C150">
        <v>8</v>
      </c>
      <c r="D150" s="1">
        <f t="shared" si="12"/>
        <v>147</v>
      </c>
      <c r="E150" s="2" t="s">
        <v>843</v>
      </c>
      <c r="F150" s="9">
        <f t="shared" si="10"/>
        <v>0</v>
      </c>
      <c r="G150" s="11">
        <f t="shared" si="11"/>
        <v>6</v>
      </c>
      <c r="H150" s="11"/>
      <c r="I150" s="1">
        <f t="shared" si="14"/>
        <v>147</v>
      </c>
      <c r="J150" s="2" t="s">
        <v>577</v>
      </c>
      <c r="K150" s="9">
        <v>1</v>
      </c>
      <c r="L150" s="11">
        <v>11</v>
      </c>
      <c r="M150" s="2"/>
      <c r="N150" s="1">
        <v>178</v>
      </c>
      <c r="O150" s="2" t="s">
        <v>799</v>
      </c>
      <c r="P150" s="9">
        <v>1</v>
      </c>
      <c r="Q150" s="11">
        <v>6</v>
      </c>
    </row>
    <row r="151" spans="1:17" ht="72" x14ac:dyDescent="0.3">
      <c r="A151" s="1">
        <f t="shared" si="13"/>
        <v>148</v>
      </c>
      <c r="B151" s="2" t="s">
        <v>718</v>
      </c>
      <c r="C151">
        <v>8</v>
      </c>
      <c r="D151" s="1">
        <f t="shared" si="12"/>
        <v>148</v>
      </c>
      <c r="E151" s="2" t="s">
        <v>848</v>
      </c>
      <c r="F151" s="9">
        <f t="shared" si="10"/>
        <v>0</v>
      </c>
      <c r="G151" s="11">
        <f t="shared" si="11"/>
        <v>6</v>
      </c>
      <c r="H151" s="11"/>
      <c r="I151" s="1">
        <f t="shared" si="14"/>
        <v>148</v>
      </c>
      <c r="J151" s="2" t="s">
        <v>607</v>
      </c>
      <c r="K151" s="9">
        <v>1</v>
      </c>
      <c r="L151" s="11">
        <v>10</v>
      </c>
      <c r="M151" s="2"/>
      <c r="N151" s="1">
        <v>179</v>
      </c>
      <c r="O151" s="2" t="s">
        <v>812</v>
      </c>
      <c r="P151" s="9">
        <v>1</v>
      </c>
      <c r="Q151" s="11">
        <v>6</v>
      </c>
    </row>
    <row r="152" spans="1:17" ht="72" x14ac:dyDescent="0.3">
      <c r="A152" s="1">
        <f t="shared" si="13"/>
        <v>149</v>
      </c>
      <c r="B152" s="2" t="s">
        <v>723</v>
      </c>
      <c r="C152">
        <v>8</v>
      </c>
      <c r="D152" s="1">
        <f t="shared" si="12"/>
        <v>149</v>
      </c>
      <c r="E152" s="2" t="s">
        <v>853</v>
      </c>
      <c r="F152" s="9">
        <f t="shared" si="10"/>
        <v>0</v>
      </c>
      <c r="G152" s="11">
        <f t="shared" si="11"/>
        <v>6</v>
      </c>
      <c r="H152" s="11"/>
      <c r="I152" s="1">
        <f t="shared" si="14"/>
        <v>149</v>
      </c>
      <c r="J152" s="2" t="s">
        <v>612</v>
      </c>
      <c r="K152" s="9">
        <v>1</v>
      </c>
      <c r="L152" s="11">
        <v>10</v>
      </c>
      <c r="M152" s="2"/>
      <c r="N152" s="1">
        <v>180</v>
      </c>
      <c r="O152" s="2" t="s">
        <v>825</v>
      </c>
      <c r="P152" s="9">
        <v>1</v>
      </c>
      <c r="Q152" s="11">
        <v>6</v>
      </c>
    </row>
    <row r="153" spans="1:17" ht="57.6" x14ac:dyDescent="0.3">
      <c r="A153" s="1">
        <f t="shared" si="13"/>
        <v>150</v>
      </c>
      <c r="B153" s="2" t="s">
        <v>728</v>
      </c>
      <c r="C153">
        <v>7</v>
      </c>
      <c r="D153" s="1">
        <f t="shared" si="12"/>
        <v>150</v>
      </c>
      <c r="E153" s="2" t="s">
        <v>858</v>
      </c>
      <c r="F153" s="9">
        <f t="shared" si="10"/>
        <v>0</v>
      </c>
      <c r="G153" s="11">
        <f t="shared" si="11"/>
        <v>5</v>
      </c>
      <c r="H153" s="11"/>
      <c r="I153" s="1">
        <f t="shared" si="14"/>
        <v>150</v>
      </c>
      <c r="J153" s="2" t="s">
        <v>616</v>
      </c>
      <c r="K153" s="9">
        <v>1</v>
      </c>
      <c r="L153" s="11">
        <v>10</v>
      </c>
      <c r="M153" s="2"/>
      <c r="N153" s="1">
        <v>181</v>
      </c>
      <c r="O153" s="2" t="s">
        <v>832</v>
      </c>
      <c r="P153" s="9">
        <v>1</v>
      </c>
      <c r="Q153" s="11">
        <v>6</v>
      </c>
    </row>
    <row r="154" spans="1:17" ht="129.6" x14ac:dyDescent="0.3">
      <c r="A154" s="1">
        <f t="shared" si="13"/>
        <v>151</v>
      </c>
      <c r="B154" s="2" t="s">
        <v>38</v>
      </c>
      <c r="C154">
        <v>7</v>
      </c>
      <c r="D154" s="1">
        <f t="shared" si="12"/>
        <v>151</v>
      </c>
      <c r="E154" s="2" t="s">
        <v>863</v>
      </c>
      <c r="F154" s="9">
        <f t="shared" si="10"/>
        <v>0</v>
      </c>
      <c r="G154" s="11">
        <f t="shared" si="11"/>
        <v>5</v>
      </c>
      <c r="H154" s="11"/>
      <c r="I154" s="1">
        <f t="shared" si="14"/>
        <v>151</v>
      </c>
      <c r="J154" s="2" t="s">
        <v>620</v>
      </c>
      <c r="K154" s="9">
        <v>1</v>
      </c>
      <c r="L154" s="11">
        <v>10</v>
      </c>
      <c r="M154" s="2"/>
      <c r="N154" s="1">
        <v>182</v>
      </c>
      <c r="O154" s="2" t="s">
        <v>837</v>
      </c>
      <c r="P154" s="9">
        <v>1</v>
      </c>
      <c r="Q154" s="11">
        <v>6</v>
      </c>
    </row>
    <row r="155" spans="1:17" ht="86.4" x14ac:dyDescent="0.3">
      <c r="A155" s="1">
        <f t="shared" si="13"/>
        <v>152</v>
      </c>
      <c r="B155" s="2" t="s">
        <v>737</v>
      </c>
      <c r="C155">
        <v>7</v>
      </c>
      <c r="D155" s="1">
        <f t="shared" si="12"/>
        <v>152</v>
      </c>
      <c r="E155" s="2" t="s">
        <v>869</v>
      </c>
      <c r="F155" s="9">
        <f t="shared" si="10"/>
        <v>0</v>
      </c>
      <c r="G155" s="11">
        <f t="shared" si="11"/>
        <v>10</v>
      </c>
      <c r="H155" s="11"/>
      <c r="I155" s="1">
        <f t="shared" si="14"/>
        <v>152</v>
      </c>
      <c r="J155" s="2" t="s">
        <v>624</v>
      </c>
      <c r="K155" s="9">
        <v>1</v>
      </c>
      <c r="L155" s="11">
        <v>9</v>
      </c>
      <c r="M155" s="2"/>
      <c r="N155" s="1">
        <v>183</v>
      </c>
      <c r="O155" s="2" t="s">
        <v>843</v>
      </c>
      <c r="P155" s="9">
        <v>1</v>
      </c>
      <c r="Q155" s="11">
        <v>6</v>
      </c>
    </row>
    <row r="156" spans="1:17" ht="129.6" x14ac:dyDescent="0.3">
      <c r="A156" s="1">
        <f t="shared" si="13"/>
        <v>153</v>
      </c>
      <c r="B156" s="2" t="s">
        <v>742</v>
      </c>
      <c r="C156">
        <v>7</v>
      </c>
      <c r="D156" s="1">
        <f t="shared" si="12"/>
        <v>153</v>
      </c>
      <c r="E156" s="2" t="s">
        <v>872</v>
      </c>
      <c r="F156" s="9">
        <f t="shared" si="10"/>
        <v>0</v>
      </c>
      <c r="G156" s="11">
        <f t="shared" si="11"/>
        <v>5</v>
      </c>
      <c r="H156" s="11"/>
      <c r="I156" s="1">
        <f t="shared" si="14"/>
        <v>153</v>
      </c>
      <c r="J156" s="2" t="s">
        <v>629</v>
      </c>
      <c r="K156" s="9">
        <v>1</v>
      </c>
      <c r="L156" s="11">
        <v>9</v>
      </c>
      <c r="M156" s="2"/>
      <c r="N156" s="1">
        <v>184</v>
      </c>
      <c r="O156" s="2" t="s">
        <v>848</v>
      </c>
      <c r="P156" s="9">
        <v>1</v>
      </c>
      <c r="Q156" s="11">
        <v>6</v>
      </c>
    </row>
    <row r="157" spans="1:17" ht="43.2" x14ac:dyDescent="0.3">
      <c r="A157" s="1">
        <f t="shared" si="13"/>
        <v>154</v>
      </c>
      <c r="B157" s="2" t="s">
        <v>747</v>
      </c>
      <c r="C157">
        <v>7</v>
      </c>
      <c r="D157" s="1">
        <f t="shared" si="12"/>
        <v>154</v>
      </c>
      <c r="E157" s="2" t="s">
        <v>878</v>
      </c>
      <c r="F157" s="9">
        <f t="shared" si="10"/>
        <v>0</v>
      </c>
      <c r="G157" s="11">
        <f t="shared" si="11"/>
        <v>5</v>
      </c>
      <c r="H157" s="11"/>
      <c r="I157" s="1">
        <f t="shared" si="14"/>
        <v>154</v>
      </c>
      <c r="J157" s="2" t="s">
        <v>634</v>
      </c>
      <c r="K157" s="9">
        <v>1</v>
      </c>
      <c r="L157" s="11">
        <v>9</v>
      </c>
      <c r="M157" s="2"/>
      <c r="N157" s="1">
        <v>185</v>
      </c>
      <c r="O157" s="2" t="s">
        <v>853</v>
      </c>
      <c r="P157" s="9">
        <v>1</v>
      </c>
      <c r="Q157" s="11">
        <v>6</v>
      </c>
    </row>
    <row r="158" spans="1:17" ht="43.2" x14ac:dyDescent="0.3">
      <c r="A158" s="1">
        <f t="shared" si="13"/>
        <v>155</v>
      </c>
      <c r="B158" s="2" t="s">
        <v>753</v>
      </c>
      <c r="C158">
        <v>7</v>
      </c>
      <c r="D158" s="1">
        <f t="shared" si="12"/>
        <v>155</v>
      </c>
      <c r="E158" s="2" t="s">
        <v>883</v>
      </c>
      <c r="F158" s="9">
        <f t="shared" si="10"/>
        <v>0</v>
      </c>
      <c r="G158" s="11">
        <f t="shared" si="11"/>
        <v>5</v>
      </c>
      <c r="H158" s="11"/>
      <c r="I158" s="1">
        <f t="shared" si="14"/>
        <v>155</v>
      </c>
      <c r="J158" s="2" t="s">
        <v>645</v>
      </c>
      <c r="K158" s="9">
        <v>1</v>
      </c>
      <c r="L158" s="11">
        <v>9</v>
      </c>
      <c r="M158" s="2"/>
      <c r="N158" s="1">
        <v>22</v>
      </c>
      <c r="O158" s="2" t="s">
        <v>1148</v>
      </c>
      <c r="P158" s="9">
        <v>3</v>
      </c>
      <c r="Q158" s="11">
        <v>5</v>
      </c>
    </row>
    <row r="159" spans="1:17" ht="86.4" x14ac:dyDescent="0.3">
      <c r="A159" s="1">
        <f t="shared" si="13"/>
        <v>156</v>
      </c>
      <c r="B159" s="2" t="s">
        <v>757</v>
      </c>
      <c r="C159">
        <v>7</v>
      </c>
      <c r="D159" s="1">
        <f t="shared" si="12"/>
        <v>156</v>
      </c>
      <c r="E159" s="2" t="s">
        <v>888</v>
      </c>
      <c r="F159" s="9">
        <f t="shared" si="10"/>
        <v>0</v>
      </c>
      <c r="G159" s="11">
        <f t="shared" si="11"/>
        <v>5</v>
      </c>
      <c r="H159" s="11"/>
      <c r="I159" s="1">
        <f t="shared" si="14"/>
        <v>156</v>
      </c>
      <c r="J159" s="2" t="s">
        <v>650</v>
      </c>
      <c r="K159" s="9">
        <v>1</v>
      </c>
      <c r="L159" s="11">
        <v>9</v>
      </c>
      <c r="M159" s="2"/>
      <c r="N159" s="1">
        <v>23</v>
      </c>
      <c r="O159" s="2" t="s">
        <v>1234</v>
      </c>
      <c r="P159" s="9">
        <v>3</v>
      </c>
      <c r="Q159" s="11">
        <v>5</v>
      </c>
    </row>
    <row r="160" spans="1:17" ht="57.6" x14ac:dyDescent="0.3">
      <c r="A160" s="1">
        <f t="shared" si="13"/>
        <v>157</v>
      </c>
      <c r="B160" s="2" t="s">
        <v>762</v>
      </c>
      <c r="C160">
        <v>7</v>
      </c>
      <c r="D160" s="1">
        <f t="shared" si="12"/>
        <v>157</v>
      </c>
      <c r="E160" s="2" t="s">
        <v>892</v>
      </c>
      <c r="F160" s="9">
        <f t="shared" si="10"/>
        <v>0</v>
      </c>
      <c r="G160" s="11">
        <f t="shared" si="11"/>
        <v>5</v>
      </c>
      <c r="H160" s="11"/>
      <c r="I160" s="1">
        <f t="shared" si="14"/>
        <v>157</v>
      </c>
      <c r="J160" s="2" t="s">
        <v>655</v>
      </c>
      <c r="K160" s="9">
        <v>1</v>
      </c>
      <c r="L160" s="11">
        <v>9</v>
      </c>
      <c r="M160" s="2"/>
      <c r="N160" s="1">
        <v>53</v>
      </c>
      <c r="O160" s="2" t="s">
        <v>883</v>
      </c>
      <c r="P160" s="9">
        <v>2</v>
      </c>
      <c r="Q160" s="11">
        <v>5</v>
      </c>
    </row>
    <row r="161" spans="1:17" ht="57.6" x14ac:dyDescent="0.3">
      <c r="A161" s="1">
        <f t="shared" si="13"/>
        <v>158</v>
      </c>
      <c r="B161" s="2" t="s">
        <v>768</v>
      </c>
      <c r="C161">
        <v>7</v>
      </c>
      <c r="D161" s="1">
        <f t="shared" si="12"/>
        <v>158</v>
      </c>
      <c r="E161" s="2" t="s">
        <v>897</v>
      </c>
      <c r="F161" s="9">
        <f t="shared" si="10"/>
        <v>0</v>
      </c>
      <c r="G161" s="11">
        <f t="shared" si="11"/>
        <v>9</v>
      </c>
      <c r="H161" s="11"/>
      <c r="I161" s="1">
        <f t="shared" si="14"/>
        <v>158</v>
      </c>
      <c r="J161" s="2" t="s">
        <v>660</v>
      </c>
      <c r="K161" s="9">
        <v>1</v>
      </c>
      <c r="L161" s="11">
        <v>9</v>
      </c>
      <c r="M161" s="2"/>
      <c r="N161" s="1">
        <v>56</v>
      </c>
      <c r="O161" s="2" t="s">
        <v>1064</v>
      </c>
      <c r="P161" s="9">
        <v>2</v>
      </c>
      <c r="Q161" s="11">
        <v>5</v>
      </c>
    </row>
    <row r="162" spans="1:17" ht="57.6" x14ac:dyDescent="0.3">
      <c r="A162" s="1">
        <f t="shared" si="13"/>
        <v>159</v>
      </c>
      <c r="B162" s="2" t="s">
        <v>773</v>
      </c>
      <c r="C162">
        <v>7</v>
      </c>
      <c r="D162" s="1">
        <f t="shared" si="12"/>
        <v>159</v>
      </c>
      <c r="E162" s="2" t="s">
        <v>906</v>
      </c>
      <c r="F162" s="9">
        <f t="shared" si="10"/>
        <v>0</v>
      </c>
      <c r="G162" s="11">
        <f t="shared" si="11"/>
        <v>9</v>
      </c>
      <c r="H162" s="11"/>
      <c r="I162" s="1">
        <f t="shared" si="14"/>
        <v>159</v>
      </c>
      <c r="J162" s="2" t="s">
        <v>670</v>
      </c>
      <c r="K162" s="9">
        <v>1</v>
      </c>
      <c r="L162" s="11">
        <v>9</v>
      </c>
      <c r="M162" s="2"/>
      <c r="N162" s="1">
        <v>186</v>
      </c>
      <c r="O162" s="2" t="s">
        <v>858</v>
      </c>
      <c r="P162" s="9">
        <v>1</v>
      </c>
      <c r="Q162" s="11">
        <v>5</v>
      </c>
    </row>
    <row r="163" spans="1:17" ht="100.8" x14ac:dyDescent="0.3">
      <c r="A163" s="1">
        <f t="shared" si="13"/>
        <v>160</v>
      </c>
      <c r="B163" s="2" t="s">
        <v>777</v>
      </c>
      <c r="C163">
        <v>7</v>
      </c>
      <c r="D163" s="1">
        <f t="shared" si="12"/>
        <v>160</v>
      </c>
      <c r="E163" s="2" t="s">
        <v>913</v>
      </c>
      <c r="F163" s="9">
        <f t="shared" si="10"/>
        <v>0</v>
      </c>
      <c r="G163" s="11">
        <f t="shared" si="11"/>
        <v>5</v>
      </c>
      <c r="H163" s="11"/>
      <c r="I163" s="1">
        <f t="shared" si="14"/>
        <v>160</v>
      </c>
      <c r="J163" s="2" t="s">
        <v>675</v>
      </c>
      <c r="K163" s="9">
        <v>1</v>
      </c>
      <c r="L163" s="11">
        <v>9</v>
      </c>
      <c r="M163" s="2"/>
      <c r="N163" s="1">
        <v>187</v>
      </c>
      <c r="O163" s="2" t="s">
        <v>863</v>
      </c>
      <c r="P163" s="9">
        <v>1</v>
      </c>
      <c r="Q163" s="11">
        <v>5</v>
      </c>
    </row>
    <row r="164" spans="1:17" ht="43.2" x14ac:dyDescent="0.3">
      <c r="A164" s="1">
        <f t="shared" si="13"/>
        <v>161</v>
      </c>
      <c r="B164" s="2" t="s">
        <v>782</v>
      </c>
      <c r="C164">
        <v>7</v>
      </c>
      <c r="D164" s="1">
        <f t="shared" si="12"/>
        <v>161</v>
      </c>
      <c r="E164" s="2" t="s">
        <v>917</v>
      </c>
      <c r="F164" s="9">
        <f t="shared" si="10"/>
        <v>0</v>
      </c>
      <c r="G164" s="11">
        <f t="shared" si="11"/>
        <v>5</v>
      </c>
      <c r="H164" s="11"/>
      <c r="I164" s="1">
        <f t="shared" si="14"/>
        <v>161</v>
      </c>
      <c r="J164" s="2" t="s">
        <v>679</v>
      </c>
      <c r="K164" s="9">
        <v>1</v>
      </c>
      <c r="L164" s="11">
        <v>8</v>
      </c>
      <c r="M164" s="2"/>
      <c r="N164" s="1">
        <v>188</v>
      </c>
      <c r="O164" s="2" t="s">
        <v>872</v>
      </c>
      <c r="P164" s="9">
        <v>1</v>
      </c>
      <c r="Q164" s="11">
        <v>5</v>
      </c>
    </row>
    <row r="165" spans="1:17" ht="158.4" x14ac:dyDescent="0.3">
      <c r="A165" s="1">
        <f t="shared" si="13"/>
        <v>162</v>
      </c>
      <c r="B165" s="2" t="s">
        <v>30</v>
      </c>
      <c r="C165">
        <v>7</v>
      </c>
      <c r="D165" s="1">
        <f t="shared" si="12"/>
        <v>162</v>
      </c>
      <c r="E165" s="2" t="s">
        <v>925</v>
      </c>
      <c r="F165" s="9">
        <f t="shared" si="10"/>
        <v>0</v>
      </c>
      <c r="G165" s="11">
        <f t="shared" si="11"/>
        <v>5</v>
      </c>
      <c r="H165" s="11"/>
      <c r="I165" s="1">
        <f t="shared" si="14"/>
        <v>162</v>
      </c>
      <c r="J165" s="2" t="s">
        <v>700</v>
      </c>
      <c r="K165" s="9">
        <v>1</v>
      </c>
      <c r="L165" s="11">
        <v>8</v>
      </c>
      <c r="M165" s="2"/>
      <c r="N165" s="1">
        <v>189</v>
      </c>
      <c r="O165" s="2" t="s">
        <v>878</v>
      </c>
      <c r="P165" s="9">
        <v>1</v>
      </c>
      <c r="Q165" s="11">
        <v>5</v>
      </c>
    </row>
    <row r="166" spans="1:17" ht="43.2" x14ac:dyDescent="0.3">
      <c r="A166" s="1">
        <f t="shared" si="13"/>
        <v>163</v>
      </c>
      <c r="B166" s="2" t="s">
        <v>791</v>
      </c>
      <c r="C166">
        <v>7</v>
      </c>
      <c r="D166" s="1">
        <f t="shared" si="12"/>
        <v>163</v>
      </c>
      <c r="E166" s="2" t="s">
        <v>930</v>
      </c>
      <c r="F166" s="9">
        <f t="shared" si="10"/>
        <v>0</v>
      </c>
      <c r="G166" s="11">
        <f t="shared" si="11"/>
        <v>4</v>
      </c>
      <c r="H166" s="11"/>
      <c r="I166" s="1">
        <f t="shared" si="14"/>
        <v>163</v>
      </c>
      <c r="J166" s="2" t="s">
        <v>705</v>
      </c>
      <c r="K166" s="9">
        <v>1</v>
      </c>
      <c r="L166" s="11">
        <v>8</v>
      </c>
      <c r="M166" s="2"/>
      <c r="N166" s="1">
        <v>190</v>
      </c>
      <c r="O166" s="2" t="s">
        <v>888</v>
      </c>
      <c r="P166" s="9">
        <v>1</v>
      </c>
      <c r="Q166" s="11">
        <v>5</v>
      </c>
    </row>
    <row r="167" spans="1:17" ht="57.6" x14ac:dyDescent="0.3">
      <c r="A167" s="1">
        <f t="shared" si="13"/>
        <v>164</v>
      </c>
      <c r="B167" s="2" t="s">
        <v>795</v>
      </c>
      <c r="C167">
        <v>6</v>
      </c>
      <c r="D167" s="1">
        <f t="shared" si="12"/>
        <v>164</v>
      </c>
      <c r="E167" s="2" t="s">
        <v>939</v>
      </c>
      <c r="F167" s="9">
        <f t="shared" si="10"/>
        <v>0</v>
      </c>
      <c r="G167" s="11">
        <f t="shared" si="11"/>
        <v>4</v>
      </c>
      <c r="H167" s="11"/>
      <c r="I167" s="1">
        <f t="shared" si="14"/>
        <v>164</v>
      </c>
      <c r="J167" s="2" t="s">
        <v>714</v>
      </c>
      <c r="K167" s="9">
        <v>1</v>
      </c>
      <c r="L167" s="11">
        <v>8</v>
      </c>
      <c r="M167" s="2"/>
      <c r="N167" s="1">
        <v>191</v>
      </c>
      <c r="O167" s="2" t="s">
        <v>892</v>
      </c>
      <c r="P167" s="9">
        <v>1</v>
      </c>
      <c r="Q167" s="11">
        <v>5</v>
      </c>
    </row>
    <row r="168" spans="1:17" ht="57.6" x14ac:dyDescent="0.3">
      <c r="A168" s="1">
        <f t="shared" si="13"/>
        <v>165</v>
      </c>
      <c r="B168" s="2" t="s">
        <v>799</v>
      </c>
      <c r="C168">
        <v>6</v>
      </c>
      <c r="D168" s="1">
        <f t="shared" si="12"/>
        <v>165</v>
      </c>
      <c r="E168" s="2" t="s">
        <v>943</v>
      </c>
      <c r="F168" s="9">
        <f t="shared" si="10"/>
        <v>0</v>
      </c>
      <c r="G168" s="11">
        <f t="shared" si="11"/>
        <v>4</v>
      </c>
      <c r="H168" s="11"/>
      <c r="I168" s="1">
        <f t="shared" si="14"/>
        <v>165</v>
      </c>
      <c r="J168" s="2" t="s">
        <v>718</v>
      </c>
      <c r="K168" s="9">
        <v>1</v>
      </c>
      <c r="L168" s="11">
        <v>8</v>
      </c>
      <c r="M168" s="2"/>
      <c r="N168" s="1">
        <v>192</v>
      </c>
      <c r="O168" s="2" t="s">
        <v>913</v>
      </c>
      <c r="P168" s="9">
        <v>1</v>
      </c>
      <c r="Q168" s="11">
        <v>5</v>
      </c>
    </row>
    <row r="169" spans="1:17" ht="43.2" x14ac:dyDescent="0.3">
      <c r="A169" s="1">
        <f t="shared" si="13"/>
        <v>166</v>
      </c>
      <c r="B169" s="2" t="s">
        <v>486</v>
      </c>
      <c r="C169">
        <v>6</v>
      </c>
      <c r="D169" s="1">
        <f t="shared" si="12"/>
        <v>166</v>
      </c>
      <c r="E169" s="2" t="s">
        <v>948</v>
      </c>
      <c r="F169" s="9">
        <f t="shared" si="10"/>
        <v>0</v>
      </c>
      <c r="G169" s="11">
        <f t="shared" si="11"/>
        <v>4</v>
      </c>
      <c r="H169" s="11"/>
      <c r="I169" s="1">
        <f t="shared" si="14"/>
        <v>166</v>
      </c>
      <c r="J169" s="2" t="s">
        <v>723</v>
      </c>
      <c r="K169" s="9">
        <v>1</v>
      </c>
      <c r="L169" s="11">
        <v>8</v>
      </c>
      <c r="M169" s="2"/>
      <c r="N169" s="1">
        <v>193</v>
      </c>
      <c r="O169" s="2" t="s">
        <v>917</v>
      </c>
      <c r="P169" s="9">
        <v>1</v>
      </c>
      <c r="Q169" s="11">
        <v>5</v>
      </c>
    </row>
    <row r="170" spans="1:17" ht="100.8" x14ac:dyDescent="0.3">
      <c r="A170" s="1">
        <f t="shared" si="13"/>
        <v>167</v>
      </c>
      <c r="B170" s="2" t="s">
        <v>365</v>
      </c>
      <c r="C170">
        <v>6</v>
      </c>
      <c r="D170" s="1">
        <f t="shared" si="12"/>
        <v>167</v>
      </c>
      <c r="E170" s="2" t="s">
        <v>953</v>
      </c>
      <c r="F170" s="9">
        <f t="shared" si="10"/>
        <v>0</v>
      </c>
      <c r="G170" s="11">
        <f t="shared" si="11"/>
        <v>4</v>
      </c>
      <c r="H170" s="11"/>
      <c r="I170" s="1">
        <f t="shared" si="14"/>
        <v>167</v>
      </c>
      <c r="J170" s="2" t="s">
        <v>728</v>
      </c>
      <c r="K170" s="9">
        <v>1</v>
      </c>
      <c r="L170" s="11">
        <v>7</v>
      </c>
      <c r="M170" s="2"/>
      <c r="N170" s="1">
        <v>194</v>
      </c>
      <c r="O170" s="2" t="s">
        <v>925</v>
      </c>
      <c r="P170" s="9">
        <v>1</v>
      </c>
      <c r="Q170" s="11">
        <v>5</v>
      </c>
    </row>
    <row r="171" spans="1:17" ht="86.4" x14ac:dyDescent="0.3">
      <c r="A171" s="1">
        <f t="shared" si="13"/>
        <v>168</v>
      </c>
      <c r="B171" s="2" t="s">
        <v>812</v>
      </c>
      <c r="C171">
        <v>6</v>
      </c>
      <c r="D171" s="1">
        <f t="shared" si="12"/>
        <v>168</v>
      </c>
      <c r="E171" s="2" t="s">
        <v>964</v>
      </c>
      <c r="F171" s="9">
        <f t="shared" si="10"/>
        <v>0</v>
      </c>
      <c r="G171" s="11">
        <f t="shared" si="11"/>
        <v>4</v>
      </c>
      <c r="H171" s="11"/>
      <c r="I171" s="1">
        <f t="shared" si="14"/>
        <v>168</v>
      </c>
      <c r="J171" s="2" t="s">
        <v>737</v>
      </c>
      <c r="K171" s="9">
        <v>1</v>
      </c>
      <c r="L171" s="11">
        <v>7</v>
      </c>
      <c r="M171" s="2"/>
      <c r="N171" s="1">
        <v>15</v>
      </c>
      <c r="O171" s="2" t="s">
        <v>1229</v>
      </c>
      <c r="P171" s="9">
        <v>4</v>
      </c>
      <c r="Q171" s="11">
        <v>4</v>
      </c>
    </row>
    <row r="172" spans="1:17" ht="43.2" x14ac:dyDescent="0.3">
      <c r="A172" s="1">
        <f t="shared" si="13"/>
        <v>169</v>
      </c>
      <c r="B172" s="2" t="s">
        <v>816</v>
      </c>
      <c r="C172">
        <v>6</v>
      </c>
      <c r="D172" s="1">
        <f t="shared" si="12"/>
        <v>169</v>
      </c>
      <c r="E172" s="2" t="s">
        <v>973</v>
      </c>
      <c r="F172" s="9">
        <f t="shared" si="10"/>
        <v>0</v>
      </c>
      <c r="G172" s="11">
        <f t="shared" si="11"/>
        <v>4</v>
      </c>
      <c r="H172" s="11"/>
      <c r="I172" s="1">
        <f t="shared" si="14"/>
        <v>169</v>
      </c>
      <c r="J172" s="2" t="s">
        <v>742</v>
      </c>
      <c r="K172" s="9">
        <v>1</v>
      </c>
      <c r="L172" s="11">
        <v>7</v>
      </c>
      <c r="M172" s="2"/>
      <c r="N172" s="1">
        <v>54</v>
      </c>
      <c r="O172" s="2" t="s">
        <v>930</v>
      </c>
      <c r="P172" s="9">
        <v>2</v>
      </c>
      <c r="Q172" s="11">
        <v>4</v>
      </c>
    </row>
    <row r="173" spans="1:17" ht="86.4" x14ac:dyDescent="0.3">
      <c r="A173" s="1">
        <f t="shared" si="13"/>
        <v>170</v>
      </c>
      <c r="B173" s="2" t="s">
        <v>365</v>
      </c>
      <c r="C173">
        <v>6</v>
      </c>
      <c r="D173" s="1">
        <f t="shared" si="12"/>
        <v>170</v>
      </c>
      <c r="E173" s="2" t="s">
        <v>977</v>
      </c>
      <c r="F173" s="9">
        <f t="shared" si="10"/>
        <v>0</v>
      </c>
      <c r="G173" s="11">
        <f t="shared" si="11"/>
        <v>4</v>
      </c>
      <c r="H173" s="11"/>
      <c r="I173" s="1">
        <f t="shared" si="14"/>
        <v>170</v>
      </c>
      <c r="J173" s="2" t="s">
        <v>747</v>
      </c>
      <c r="K173" s="9">
        <v>1</v>
      </c>
      <c r="L173" s="11">
        <v>7</v>
      </c>
      <c r="M173" s="2"/>
      <c r="N173" s="1">
        <v>55</v>
      </c>
      <c r="O173" s="2" t="s">
        <v>977</v>
      </c>
      <c r="P173" s="9">
        <v>2</v>
      </c>
      <c r="Q173" s="11">
        <v>4</v>
      </c>
    </row>
    <row r="174" spans="1:17" ht="86.4" x14ac:dyDescent="0.3">
      <c r="A174" s="1">
        <f t="shared" si="13"/>
        <v>171</v>
      </c>
      <c r="B174" s="2" t="s">
        <v>825</v>
      </c>
      <c r="C174">
        <v>6</v>
      </c>
      <c r="D174" s="1">
        <f t="shared" si="12"/>
        <v>171</v>
      </c>
      <c r="E174" s="2" t="s">
        <v>982</v>
      </c>
      <c r="F174" s="9">
        <f t="shared" si="10"/>
        <v>0</v>
      </c>
      <c r="G174" s="11">
        <f t="shared" si="11"/>
        <v>9</v>
      </c>
      <c r="H174" s="11"/>
      <c r="I174" s="1">
        <f t="shared" si="14"/>
        <v>171</v>
      </c>
      <c r="J174" s="2" t="s">
        <v>757</v>
      </c>
      <c r="K174" s="9">
        <v>1</v>
      </c>
      <c r="L174" s="11">
        <v>7</v>
      </c>
      <c r="M174" s="2"/>
      <c r="N174" s="1">
        <v>58</v>
      </c>
      <c r="O174" s="2" t="s">
        <v>1161</v>
      </c>
      <c r="P174" s="9">
        <v>2</v>
      </c>
      <c r="Q174" s="11">
        <v>4</v>
      </c>
    </row>
    <row r="175" spans="1:17" ht="57.6" x14ac:dyDescent="0.3">
      <c r="A175" s="1">
        <f t="shared" si="13"/>
        <v>172</v>
      </c>
      <c r="B175" s="2" t="s">
        <v>486</v>
      </c>
      <c r="C175">
        <v>6</v>
      </c>
      <c r="D175" s="1">
        <f t="shared" si="12"/>
        <v>172</v>
      </c>
      <c r="E175" s="2" t="s">
        <v>986</v>
      </c>
      <c r="F175" s="9">
        <f t="shared" si="10"/>
        <v>0</v>
      </c>
      <c r="G175" s="11">
        <f t="shared" si="11"/>
        <v>4</v>
      </c>
      <c r="H175" s="11"/>
      <c r="I175" s="1">
        <f t="shared" si="14"/>
        <v>172</v>
      </c>
      <c r="J175" s="2" t="s">
        <v>762</v>
      </c>
      <c r="K175" s="9">
        <v>1</v>
      </c>
      <c r="L175" s="11">
        <v>7</v>
      </c>
      <c r="M175" s="2"/>
      <c r="N175" s="1">
        <v>195</v>
      </c>
      <c r="O175" s="2" t="s">
        <v>939</v>
      </c>
      <c r="P175" s="9">
        <v>1</v>
      </c>
      <c r="Q175" s="11">
        <v>4</v>
      </c>
    </row>
    <row r="176" spans="1:17" ht="86.4" x14ac:dyDescent="0.3">
      <c r="A176" s="1">
        <f t="shared" si="13"/>
        <v>173</v>
      </c>
      <c r="B176" s="2" t="s">
        <v>832</v>
      </c>
      <c r="C176">
        <v>6</v>
      </c>
      <c r="D176" s="1">
        <f t="shared" si="12"/>
        <v>173</v>
      </c>
      <c r="E176" s="2" t="s">
        <v>991</v>
      </c>
      <c r="F176" s="9">
        <f t="shared" si="10"/>
        <v>0</v>
      </c>
      <c r="G176" s="11">
        <f t="shared" si="11"/>
        <v>4</v>
      </c>
      <c r="H176" s="11"/>
      <c r="I176" s="1">
        <f t="shared" si="14"/>
        <v>173</v>
      </c>
      <c r="J176" s="2" t="s">
        <v>768</v>
      </c>
      <c r="K176" s="9">
        <v>1</v>
      </c>
      <c r="L176" s="11">
        <v>7</v>
      </c>
      <c r="M176" s="2"/>
      <c r="N176" s="1">
        <v>196</v>
      </c>
      <c r="O176" s="2" t="s">
        <v>943</v>
      </c>
      <c r="P176" s="9">
        <v>1</v>
      </c>
      <c r="Q176" s="11">
        <v>4</v>
      </c>
    </row>
    <row r="177" spans="1:17" ht="57.6" x14ac:dyDescent="0.3">
      <c r="A177" s="1">
        <f t="shared" si="13"/>
        <v>174</v>
      </c>
      <c r="B177" s="2" t="s">
        <v>837</v>
      </c>
      <c r="C177">
        <v>6</v>
      </c>
      <c r="D177" s="1">
        <f t="shared" si="12"/>
        <v>174</v>
      </c>
      <c r="E177" s="2" t="s">
        <v>996</v>
      </c>
      <c r="F177" s="9">
        <f t="shared" si="10"/>
        <v>0</v>
      </c>
      <c r="G177" s="11">
        <f t="shared" si="11"/>
        <v>8</v>
      </c>
      <c r="H177" s="11"/>
      <c r="I177" s="1">
        <f t="shared" si="14"/>
        <v>174</v>
      </c>
      <c r="J177" s="2" t="s">
        <v>773</v>
      </c>
      <c r="K177" s="9">
        <v>1</v>
      </c>
      <c r="L177" s="11">
        <v>7</v>
      </c>
      <c r="M177" s="2"/>
      <c r="N177" s="1">
        <v>197</v>
      </c>
      <c r="O177" s="2" t="s">
        <v>948</v>
      </c>
      <c r="P177" s="9">
        <v>1</v>
      </c>
      <c r="Q177" s="11">
        <v>4</v>
      </c>
    </row>
    <row r="178" spans="1:17" ht="43.2" x14ac:dyDescent="0.3">
      <c r="A178" s="1">
        <f t="shared" si="13"/>
        <v>175</v>
      </c>
      <c r="B178" s="2" t="s">
        <v>843</v>
      </c>
      <c r="C178">
        <v>6</v>
      </c>
      <c r="D178" s="1">
        <f t="shared" si="12"/>
        <v>175</v>
      </c>
      <c r="E178" s="2" t="s">
        <v>1003</v>
      </c>
      <c r="F178" s="9">
        <f t="shared" si="10"/>
        <v>0</v>
      </c>
      <c r="G178" s="11">
        <f t="shared" si="11"/>
        <v>4</v>
      </c>
      <c r="H178" s="11"/>
      <c r="I178" s="1">
        <f t="shared" si="14"/>
        <v>175</v>
      </c>
      <c r="J178" s="2" t="s">
        <v>777</v>
      </c>
      <c r="K178" s="9">
        <v>1</v>
      </c>
      <c r="L178" s="11">
        <v>7</v>
      </c>
      <c r="M178" s="2"/>
      <c r="N178" s="1">
        <v>198</v>
      </c>
      <c r="O178" s="2" t="s">
        <v>953</v>
      </c>
      <c r="P178" s="9">
        <v>1</v>
      </c>
      <c r="Q178" s="11">
        <v>4</v>
      </c>
    </row>
    <row r="179" spans="1:17" ht="28.8" x14ac:dyDescent="0.3">
      <c r="A179" s="1">
        <f t="shared" si="13"/>
        <v>176</v>
      </c>
      <c r="B179" s="2" t="s">
        <v>848</v>
      </c>
      <c r="C179">
        <v>6</v>
      </c>
      <c r="D179" s="1">
        <f t="shared" si="12"/>
        <v>176</v>
      </c>
      <c r="E179" s="2" t="s">
        <v>1013</v>
      </c>
      <c r="F179" s="9">
        <f t="shared" si="10"/>
        <v>0</v>
      </c>
      <c r="G179" s="11">
        <f t="shared" si="11"/>
        <v>4</v>
      </c>
      <c r="H179" s="11"/>
      <c r="I179" s="1">
        <f t="shared" si="14"/>
        <v>176</v>
      </c>
      <c r="J179" s="2" t="s">
        <v>782</v>
      </c>
      <c r="K179" s="9">
        <v>1</v>
      </c>
      <c r="L179" s="11">
        <v>7</v>
      </c>
      <c r="M179" s="2"/>
      <c r="N179" s="1">
        <v>199</v>
      </c>
      <c r="O179" s="2" t="s">
        <v>964</v>
      </c>
      <c r="P179" s="9">
        <v>1</v>
      </c>
      <c r="Q179" s="11">
        <v>4</v>
      </c>
    </row>
    <row r="180" spans="1:17" ht="57.6" x14ac:dyDescent="0.3">
      <c r="A180" s="1">
        <f t="shared" si="13"/>
        <v>177</v>
      </c>
      <c r="B180" s="2" t="s">
        <v>853</v>
      </c>
      <c r="C180">
        <v>6</v>
      </c>
      <c r="D180" s="1">
        <f t="shared" si="12"/>
        <v>177</v>
      </c>
      <c r="E180" s="2" t="s">
        <v>1021</v>
      </c>
      <c r="F180" s="9">
        <f t="shared" si="10"/>
        <v>0</v>
      </c>
      <c r="G180" s="11">
        <f t="shared" si="11"/>
        <v>4</v>
      </c>
      <c r="H180" s="11"/>
      <c r="I180" s="1">
        <f t="shared" si="14"/>
        <v>177</v>
      </c>
      <c r="J180" s="2" t="s">
        <v>795</v>
      </c>
      <c r="K180" s="9">
        <v>1</v>
      </c>
      <c r="L180" s="11">
        <v>6</v>
      </c>
      <c r="M180" s="2"/>
      <c r="N180" s="1">
        <v>200</v>
      </c>
      <c r="O180" s="2" t="s">
        <v>973</v>
      </c>
      <c r="P180" s="9">
        <v>1</v>
      </c>
      <c r="Q180" s="11">
        <v>4</v>
      </c>
    </row>
    <row r="181" spans="1:17" ht="57.6" x14ac:dyDescent="0.3">
      <c r="A181" s="1">
        <f t="shared" si="13"/>
        <v>178</v>
      </c>
      <c r="B181" s="2" t="s">
        <v>858</v>
      </c>
      <c r="C181">
        <v>5</v>
      </c>
      <c r="D181" s="1">
        <f t="shared" si="12"/>
        <v>178</v>
      </c>
      <c r="E181" s="2" t="s">
        <v>1025</v>
      </c>
      <c r="F181" s="9">
        <f t="shared" si="10"/>
        <v>0</v>
      </c>
      <c r="G181" s="11">
        <f t="shared" si="11"/>
        <v>4</v>
      </c>
      <c r="H181" s="11"/>
      <c r="I181" s="1">
        <f t="shared" si="14"/>
        <v>178</v>
      </c>
      <c r="J181" s="2" t="s">
        <v>799</v>
      </c>
      <c r="K181" s="9">
        <v>1</v>
      </c>
      <c r="L181" s="11">
        <v>6</v>
      </c>
      <c r="M181" s="2"/>
      <c r="N181" s="1">
        <v>201</v>
      </c>
      <c r="O181" s="2" t="s">
        <v>986</v>
      </c>
      <c r="P181" s="9">
        <v>1</v>
      </c>
      <c r="Q181" s="11">
        <v>4</v>
      </c>
    </row>
    <row r="182" spans="1:17" ht="43.2" x14ac:dyDescent="0.3">
      <c r="A182" s="1">
        <f t="shared" si="13"/>
        <v>179</v>
      </c>
      <c r="B182" s="2" t="s">
        <v>863</v>
      </c>
      <c r="C182">
        <v>5</v>
      </c>
      <c r="D182" s="1">
        <f t="shared" si="12"/>
        <v>179</v>
      </c>
      <c r="E182" s="2" t="s">
        <v>1030</v>
      </c>
      <c r="F182" s="9">
        <f t="shared" si="10"/>
        <v>0</v>
      </c>
      <c r="G182" s="11">
        <f t="shared" si="11"/>
        <v>4</v>
      </c>
      <c r="H182" s="11"/>
      <c r="I182" s="1">
        <f t="shared" si="14"/>
        <v>179</v>
      </c>
      <c r="J182" s="2" t="s">
        <v>812</v>
      </c>
      <c r="K182" s="9">
        <v>1</v>
      </c>
      <c r="L182" s="11">
        <v>6</v>
      </c>
      <c r="M182" s="2"/>
      <c r="N182" s="1">
        <v>202</v>
      </c>
      <c r="O182" s="2" t="s">
        <v>991</v>
      </c>
      <c r="P182" s="9">
        <v>1</v>
      </c>
      <c r="Q182" s="11">
        <v>4</v>
      </c>
    </row>
    <row r="183" spans="1:17" ht="100.8" x14ac:dyDescent="0.3">
      <c r="A183" s="1">
        <f t="shared" si="13"/>
        <v>180</v>
      </c>
      <c r="B183" s="2" t="s">
        <v>869</v>
      </c>
      <c r="C183">
        <v>5</v>
      </c>
      <c r="D183" s="1">
        <f t="shared" si="12"/>
        <v>180</v>
      </c>
      <c r="E183" s="2" t="s">
        <v>1047</v>
      </c>
      <c r="F183" s="9">
        <f t="shared" si="10"/>
        <v>0</v>
      </c>
      <c r="G183" s="11">
        <f t="shared" si="11"/>
        <v>3</v>
      </c>
      <c r="H183" s="11"/>
      <c r="I183" s="1">
        <f t="shared" si="14"/>
        <v>180</v>
      </c>
      <c r="J183" s="2" t="s">
        <v>825</v>
      </c>
      <c r="K183" s="9">
        <v>1</v>
      </c>
      <c r="L183" s="11">
        <v>6</v>
      </c>
      <c r="M183" s="2"/>
      <c r="N183" s="1">
        <v>203</v>
      </c>
      <c r="O183" s="2" t="s">
        <v>1003</v>
      </c>
      <c r="P183" s="9">
        <v>1</v>
      </c>
      <c r="Q183" s="11">
        <v>4</v>
      </c>
    </row>
    <row r="184" spans="1:17" ht="57.6" x14ac:dyDescent="0.3">
      <c r="A184" s="1">
        <f t="shared" si="13"/>
        <v>181</v>
      </c>
      <c r="B184" s="2" t="s">
        <v>872</v>
      </c>
      <c r="C184">
        <v>5</v>
      </c>
      <c r="D184" s="1">
        <f t="shared" si="12"/>
        <v>181</v>
      </c>
      <c r="E184" s="2" t="s">
        <v>1052</v>
      </c>
      <c r="F184" s="9">
        <f t="shared" si="10"/>
        <v>0</v>
      </c>
      <c r="G184" s="11">
        <f t="shared" si="11"/>
        <v>3</v>
      </c>
      <c r="H184" s="11"/>
      <c r="I184" s="1">
        <f t="shared" si="14"/>
        <v>181</v>
      </c>
      <c r="J184" s="2" t="s">
        <v>832</v>
      </c>
      <c r="K184" s="9">
        <v>1</v>
      </c>
      <c r="L184" s="11">
        <v>6</v>
      </c>
      <c r="M184" s="2"/>
      <c r="N184" s="1">
        <v>204</v>
      </c>
      <c r="O184" s="2" t="s">
        <v>1013</v>
      </c>
      <c r="P184" s="9">
        <v>1</v>
      </c>
      <c r="Q184" s="11">
        <v>4</v>
      </c>
    </row>
    <row r="185" spans="1:17" ht="57.6" x14ac:dyDescent="0.3">
      <c r="A185" s="1">
        <f t="shared" si="13"/>
        <v>182</v>
      </c>
      <c r="B185" s="2" t="s">
        <v>869</v>
      </c>
      <c r="C185">
        <v>5</v>
      </c>
      <c r="D185" s="1">
        <f t="shared" si="12"/>
        <v>182</v>
      </c>
      <c r="E185" s="2" t="s">
        <v>1056</v>
      </c>
      <c r="F185" s="9">
        <f t="shared" si="10"/>
        <v>0</v>
      </c>
      <c r="G185" s="11">
        <f t="shared" si="11"/>
        <v>3</v>
      </c>
      <c r="H185" s="11"/>
      <c r="I185" s="1">
        <f t="shared" si="14"/>
        <v>182</v>
      </c>
      <c r="J185" s="2" t="s">
        <v>837</v>
      </c>
      <c r="K185" s="9">
        <v>1</v>
      </c>
      <c r="L185" s="11">
        <v>6</v>
      </c>
      <c r="M185" s="2"/>
      <c r="N185" s="1">
        <v>205</v>
      </c>
      <c r="O185" s="2" t="s">
        <v>1021</v>
      </c>
      <c r="P185" s="9">
        <v>1</v>
      </c>
      <c r="Q185" s="11">
        <v>4</v>
      </c>
    </row>
    <row r="186" spans="1:17" ht="86.4" x14ac:dyDescent="0.3">
      <c r="A186" s="1">
        <f t="shared" si="13"/>
        <v>183</v>
      </c>
      <c r="B186" s="2" t="s">
        <v>878</v>
      </c>
      <c r="C186">
        <v>5</v>
      </c>
      <c r="D186" s="1">
        <f t="shared" si="12"/>
        <v>183</v>
      </c>
      <c r="E186" s="2" t="s">
        <v>1064</v>
      </c>
      <c r="F186" s="9">
        <f t="shared" si="10"/>
        <v>0</v>
      </c>
      <c r="G186" s="11">
        <f t="shared" si="11"/>
        <v>5</v>
      </c>
      <c r="H186" s="11"/>
      <c r="I186" s="1">
        <f t="shared" si="14"/>
        <v>183</v>
      </c>
      <c r="J186" s="2" t="s">
        <v>843</v>
      </c>
      <c r="K186" s="9">
        <v>1</v>
      </c>
      <c r="L186" s="11">
        <v>6</v>
      </c>
      <c r="M186" s="2"/>
      <c r="N186" s="1">
        <v>206</v>
      </c>
      <c r="O186" s="2" t="s">
        <v>1025</v>
      </c>
      <c r="P186" s="9">
        <v>1</v>
      </c>
      <c r="Q186" s="11">
        <v>4</v>
      </c>
    </row>
    <row r="187" spans="1:17" ht="72" x14ac:dyDescent="0.3">
      <c r="A187" s="1">
        <f t="shared" si="13"/>
        <v>184</v>
      </c>
      <c r="B187" s="2" t="s">
        <v>883</v>
      </c>
      <c r="C187">
        <v>5</v>
      </c>
      <c r="D187" s="1">
        <f t="shared" si="12"/>
        <v>184</v>
      </c>
      <c r="E187" s="2" t="s">
        <v>1069</v>
      </c>
      <c r="F187" s="9">
        <f t="shared" si="10"/>
        <v>0</v>
      </c>
      <c r="G187" s="11">
        <f t="shared" si="11"/>
        <v>3</v>
      </c>
      <c r="H187" s="11"/>
      <c r="I187" s="1">
        <f t="shared" si="14"/>
        <v>184</v>
      </c>
      <c r="J187" s="2" t="s">
        <v>848</v>
      </c>
      <c r="K187" s="9">
        <v>1</v>
      </c>
      <c r="L187" s="11">
        <v>6</v>
      </c>
      <c r="M187" s="2"/>
      <c r="N187" s="1">
        <v>207</v>
      </c>
      <c r="O187" s="2" t="s">
        <v>1030</v>
      </c>
      <c r="P187" s="9">
        <v>1</v>
      </c>
      <c r="Q187" s="11">
        <v>4</v>
      </c>
    </row>
    <row r="188" spans="1:17" ht="43.2" x14ac:dyDescent="0.3">
      <c r="A188" s="1">
        <f t="shared" si="13"/>
        <v>185</v>
      </c>
      <c r="B188" s="2" t="s">
        <v>888</v>
      </c>
      <c r="C188">
        <v>5</v>
      </c>
      <c r="D188" s="1">
        <f t="shared" si="12"/>
        <v>185</v>
      </c>
      <c r="E188" s="2" t="s">
        <v>1077</v>
      </c>
      <c r="F188" s="9">
        <f t="shared" si="10"/>
        <v>0</v>
      </c>
      <c r="G188" s="11">
        <f t="shared" si="11"/>
        <v>3</v>
      </c>
      <c r="H188" s="11"/>
      <c r="I188" s="1">
        <f t="shared" si="14"/>
        <v>185</v>
      </c>
      <c r="J188" s="2" t="s">
        <v>853</v>
      </c>
      <c r="K188" s="9">
        <v>1</v>
      </c>
      <c r="L188" s="11">
        <v>6</v>
      </c>
      <c r="M188" s="2"/>
      <c r="N188" s="1">
        <v>57</v>
      </c>
      <c r="O188" s="2" t="s">
        <v>1144</v>
      </c>
      <c r="P188" s="9">
        <v>2</v>
      </c>
      <c r="Q188" s="11">
        <v>3</v>
      </c>
    </row>
    <row r="189" spans="1:17" ht="57.6" x14ac:dyDescent="0.3">
      <c r="A189" s="1">
        <f t="shared" si="13"/>
        <v>186</v>
      </c>
      <c r="B189" s="2" t="s">
        <v>892</v>
      </c>
      <c r="C189">
        <v>5</v>
      </c>
      <c r="D189" s="1">
        <f t="shared" si="12"/>
        <v>186</v>
      </c>
      <c r="E189" s="2" t="s">
        <v>1082</v>
      </c>
      <c r="F189" s="9">
        <f t="shared" si="10"/>
        <v>0</v>
      </c>
      <c r="G189" s="11">
        <f t="shared" si="11"/>
        <v>3</v>
      </c>
      <c r="H189" s="11"/>
      <c r="I189" s="1">
        <f t="shared" si="14"/>
        <v>186</v>
      </c>
      <c r="J189" s="2" t="s">
        <v>858</v>
      </c>
      <c r="K189" s="9">
        <v>1</v>
      </c>
      <c r="L189" s="11">
        <v>5</v>
      </c>
      <c r="M189" s="2"/>
      <c r="N189" s="1">
        <v>59</v>
      </c>
      <c r="O189" s="2" t="s">
        <v>1206</v>
      </c>
      <c r="P189" s="9">
        <v>2</v>
      </c>
      <c r="Q189" s="11">
        <v>3</v>
      </c>
    </row>
    <row r="190" spans="1:17" ht="100.8" x14ac:dyDescent="0.3">
      <c r="A190" s="1">
        <f t="shared" si="13"/>
        <v>187</v>
      </c>
      <c r="B190" s="2" t="s">
        <v>897</v>
      </c>
      <c r="C190">
        <v>5</v>
      </c>
      <c r="D190" s="1">
        <f t="shared" si="12"/>
        <v>187</v>
      </c>
      <c r="E190" s="2" t="s">
        <v>1086</v>
      </c>
      <c r="F190" s="9">
        <f t="shared" si="10"/>
        <v>0</v>
      </c>
      <c r="G190" s="11">
        <f t="shared" si="11"/>
        <v>3</v>
      </c>
      <c r="H190" s="11"/>
      <c r="I190" s="1">
        <f t="shared" si="14"/>
        <v>187</v>
      </c>
      <c r="J190" s="2" t="s">
        <v>863</v>
      </c>
      <c r="K190" s="9">
        <v>1</v>
      </c>
      <c r="L190" s="11">
        <v>5</v>
      </c>
      <c r="M190" s="2"/>
      <c r="N190" s="1">
        <v>63</v>
      </c>
      <c r="O190" s="2" t="s">
        <v>1449</v>
      </c>
      <c r="P190" s="9">
        <v>2</v>
      </c>
      <c r="Q190" s="11">
        <v>3</v>
      </c>
    </row>
    <row r="191" spans="1:17" ht="57.6" x14ac:dyDescent="0.3">
      <c r="A191" s="1">
        <f t="shared" si="13"/>
        <v>188</v>
      </c>
      <c r="B191" s="2" t="s">
        <v>152</v>
      </c>
      <c r="C191">
        <v>5</v>
      </c>
      <c r="D191" s="1">
        <f t="shared" si="12"/>
        <v>188</v>
      </c>
      <c r="E191" s="2" t="s">
        <v>1091</v>
      </c>
      <c r="F191" s="9">
        <f t="shared" si="10"/>
        <v>0</v>
      </c>
      <c r="G191" s="11">
        <f t="shared" si="11"/>
        <v>3</v>
      </c>
      <c r="H191" s="11"/>
      <c r="I191" s="1">
        <f t="shared" si="14"/>
        <v>188</v>
      </c>
      <c r="J191" s="2" t="s">
        <v>872</v>
      </c>
      <c r="K191" s="9">
        <v>1</v>
      </c>
      <c r="L191" s="11">
        <v>5</v>
      </c>
      <c r="M191" s="2"/>
      <c r="N191" s="1">
        <v>64</v>
      </c>
      <c r="O191" s="2" t="s">
        <v>1464</v>
      </c>
      <c r="P191" s="9">
        <v>2</v>
      </c>
      <c r="Q191" s="11">
        <v>3</v>
      </c>
    </row>
    <row r="192" spans="1:17" ht="57.6" x14ac:dyDescent="0.3">
      <c r="A192" s="1">
        <f t="shared" si="13"/>
        <v>189</v>
      </c>
      <c r="B192" s="2" t="s">
        <v>906</v>
      </c>
      <c r="C192">
        <v>5</v>
      </c>
      <c r="D192" s="1">
        <f t="shared" si="12"/>
        <v>189</v>
      </c>
      <c r="E192" s="2" t="s">
        <v>1096</v>
      </c>
      <c r="F192" s="9">
        <f t="shared" si="10"/>
        <v>0</v>
      </c>
      <c r="G192" s="11">
        <f t="shared" si="11"/>
        <v>3</v>
      </c>
      <c r="H192" s="11"/>
      <c r="I192" s="1">
        <f t="shared" si="14"/>
        <v>189</v>
      </c>
      <c r="J192" s="2" t="s">
        <v>878</v>
      </c>
      <c r="K192" s="9">
        <v>1</v>
      </c>
      <c r="L192" s="11">
        <v>5</v>
      </c>
      <c r="M192" s="2"/>
      <c r="N192" s="1">
        <v>208</v>
      </c>
      <c r="O192" s="2" t="s">
        <v>1047</v>
      </c>
      <c r="P192" s="9">
        <v>1</v>
      </c>
      <c r="Q192" s="11">
        <v>3</v>
      </c>
    </row>
    <row r="193" spans="1:17" ht="57.6" x14ac:dyDescent="0.3">
      <c r="A193" s="1">
        <f t="shared" si="13"/>
        <v>190</v>
      </c>
      <c r="B193" s="2" t="s">
        <v>157</v>
      </c>
      <c r="C193">
        <v>5</v>
      </c>
      <c r="D193" s="1">
        <f t="shared" si="12"/>
        <v>190</v>
      </c>
      <c r="E193" s="2" t="s">
        <v>1101</v>
      </c>
      <c r="F193" s="9">
        <f t="shared" si="10"/>
        <v>0</v>
      </c>
      <c r="G193" s="11">
        <f t="shared" si="11"/>
        <v>3</v>
      </c>
      <c r="H193" s="11"/>
      <c r="I193" s="1">
        <f t="shared" si="14"/>
        <v>190</v>
      </c>
      <c r="J193" s="2" t="s">
        <v>888</v>
      </c>
      <c r="K193" s="9">
        <v>1</v>
      </c>
      <c r="L193" s="11">
        <v>5</v>
      </c>
      <c r="M193" s="2"/>
      <c r="N193" s="1">
        <v>209</v>
      </c>
      <c r="O193" s="2" t="s">
        <v>1052</v>
      </c>
      <c r="P193" s="9">
        <v>1</v>
      </c>
      <c r="Q193" s="11">
        <v>3</v>
      </c>
    </row>
    <row r="194" spans="1:17" ht="43.2" x14ac:dyDescent="0.3">
      <c r="A194" s="1">
        <f t="shared" si="13"/>
        <v>191</v>
      </c>
      <c r="B194" s="2" t="s">
        <v>913</v>
      </c>
      <c r="C194">
        <v>5</v>
      </c>
      <c r="D194" s="1">
        <f t="shared" si="12"/>
        <v>191</v>
      </c>
      <c r="E194" s="2" t="s">
        <v>1105</v>
      </c>
      <c r="F194" s="9">
        <f t="shared" si="10"/>
        <v>0</v>
      </c>
      <c r="G194" s="11">
        <f t="shared" si="11"/>
        <v>3</v>
      </c>
      <c r="H194" s="11"/>
      <c r="I194" s="1">
        <f t="shared" si="14"/>
        <v>191</v>
      </c>
      <c r="J194" s="2" t="s">
        <v>892</v>
      </c>
      <c r="K194" s="9">
        <v>1</v>
      </c>
      <c r="L194" s="11">
        <v>5</v>
      </c>
      <c r="M194" s="2"/>
      <c r="N194" s="1">
        <v>210</v>
      </c>
      <c r="O194" s="2" t="s">
        <v>1056</v>
      </c>
      <c r="P194" s="9">
        <v>1</v>
      </c>
      <c r="Q194" s="11">
        <v>3</v>
      </c>
    </row>
    <row r="195" spans="1:17" ht="86.4" x14ac:dyDescent="0.3">
      <c r="A195" s="1">
        <f t="shared" si="13"/>
        <v>192</v>
      </c>
      <c r="B195" s="2" t="s">
        <v>917</v>
      </c>
      <c r="C195">
        <v>5</v>
      </c>
      <c r="D195" s="1">
        <f t="shared" si="12"/>
        <v>192</v>
      </c>
      <c r="E195" s="2" t="s">
        <v>1111</v>
      </c>
      <c r="F195" s="9">
        <f t="shared" si="10"/>
        <v>0</v>
      </c>
      <c r="G195" s="11">
        <f t="shared" si="11"/>
        <v>3</v>
      </c>
      <c r="H195" s="11"/>
      <c r="I195" s="1">
        <f t="shared" si="14"/>
        <v>192</v>
      </c>
      <c r="J195" s="2" t="s">
        <v>913</v>
      </c>
      <c r="K195" s="9">
        <v>1</v>
      </c>
      <c r="L195" s="11">
        <v>5</v>
      </c>
      <c r="M195" s="2"/>
      <c r="N195" s="1">
        <v>211</v>
      </c>
      <c r="O195" s="2" t="s">
        <v>1069</v>
      </c>
      <c r="P195" s="9">
        <v>1</v>
      </c>
      <c r="Q195" s="11">
        <v>3</v>
      </c>
    </row>
    <row r="196" spans="1:17" ht="57.6" x14ac:dyDescent="0.3">
      <c r="A196" s="1">
        <f t="shared" si="13"/>
        <v>193</v>
      </c>
      <c r="B196" s="2" t="s">
        <v>691</v>
      </c>
      <c r="C196">
        <v>5</v>
      </c>
      <c r="D196" s="1">
        <f t="shared" si="12"/>
        <v>193</v>
      </c>
      <c r="E196" s="2" t="s">
        <v>1115</v>
      </c>
      <c r="F196" s="9">
        <f t="shared" ref="F196:F259" si="15">COUNTIF(B196:B818,J196)</f>
        <v>0</v>
      </c>
      <c r="G196" s="11">
        <f t="shared" ref="G196:G259" si="16">SUMIF($B$4:$B$626,E196,$C$4:$C$626)</f>
        <v>3</v>
      </c>
      <c r="H196" s="11"/>
      <c r="I196" s="1">
        <f t="shared" si="14"/>
        <v>193</v>
      </c>
      <c r="J196" s="2" t="s">
        <v>917</v>
      </c>
      <c r="K196" s="9">
        <v>1</v>
      </c>
      <c r="L196" s="11">
        <v>5</v>
      </c>
      <c r="M196" s="2"/>
      <c r="N196" s="1">
        <v>212</v>
      </c>
      <c r="O196" s="2" t="s">
        <v>1077</v>
      </c>
      <c r="P196" s="9">
        <v>1</v>
      </c>
      <c r="Q196" s="11">
        <v>3</v>
      </c>
    </row>
    <row r="197" spans="1:17" ht="100.8" x14ac:dyDescent="0.3">
      <c r="A197" s="1">
        <f t="shared" si="13"/>
        <v>194</v>
      </c>
      <c r="B197" s="2" t="s">
        <v>925</v>
      </c>
      <c r="C197">
        <v>5</v>
      </c>
      <c r="D197" s="1">
        <f t="shared" ref="D197:D260" si="17">+D196+1</f>
        <v>194</v>
      </c>
      <c r="E197" s="2" t="s">
        <v>1120</v>
      </c>
      <c r="F197" s="9">
        <f t="shared" si="15"/>
        <v>1</v>
      </c>
      <c r="G197" s="11">
        <f t="shared" si="16"/>
        <v>3</v>
      </c>
      <c r="H197" s="11"/>
      <c r="I197" s="1">
        <f t="shared" si="14"/>
        <v>194</v>
      </c>
      <c r="J197" s="2" t="s">
        <v>925</v>
      </c>
      <c r="K197" s="9">
        <v>1</v>
      </c>
      <c r="L197" s="11">
        <v>5</v>
      </c>
      <c r="M197" s="2"/>
      <c r="N197" s="1">
        <v>213</v>
      </c>
      <c r="O197" s="2" t="s">
        <v>1082</v>
      </c>
      <c r="P197" s="9">
        <v>1</v>
      </c>
      <c r="Q197" s="11">
        <v>3</v>
      </c>
    </row>
    <row r="198" spans="1:17" ht="86.4" x14ac:dyDescent="0.3">
      <c r="A198" s="1">
        <f t="shared" ref="A198:A261" si="18">+A197+1</f>
        <v>195</v>
      </c>
      <c r="B198" s="2" t="s">
        <v>930</v>
      </c>
      <c r="C198">
        <v>4</v>
      </c>
      <c r="D198" s="1">
        <f t="shared" si="17"/>
        <v>195</v>
      </c>
      <c r="E198" s="2" t="s">
        <v>1132</v>
      </c>
      <c r="F198" s="9">
        <f t="shared" si="15"/>
        <v>1</v>
      </c>
      <c r="G198" s="11">
        <f t="shared" si="16"/>
        <v>3</v>
      </c>
      <c r="H198" s="11"/>
      <c r="I198" s="1">
        <f t="shared" ref="I198:I261" si="19">+I197+1</f>
        <v>195</v>
      </c>
      <c r="J198" s="2" t="s">
        <v>939</v>
      </c>
      <c r="K198" s="9">
        <v>1</v>
      </c>
      <c r="L198" s="11">
        <v>4</v>
      </c>
      <c r="M198" s="2"/>
      <c r="N198" s="1">
        <v>214</v>
      </c>
      <c r="O198" s="2" t="s">
        <v>1086</v>
      </c>
      <c r="P198" s="9">
        <v>1</v>
      </c>
      <c r="Q198" s="11">
        <v>3</v>
      </c>
    </row>
    <row r="199" spans="1:17" ht="57.6" x14ac:dyDescent="0.3">
      <c r="A199" s="1">
        <f t="shared" si="18"/>
        <v>196</v>
      </c>
      <c r="B199" s="2" t="s">
        <v>157</v>
      </c>
      <c r="C199">
        <v>4</v>
      </c>
      <c r="D199" s="1">
        <f t="shared" si="17"/>
        <v>196</v>
      </c>
      <c r="E199" s="2" t="s">
        <v>1137</v>
      </c>
      <c r="F199" s="9">
        <f t="shared" si="15"/>
        <v>1</v>
      </c>
      <c r="G199" s="11">
        <f t="shared" si="16"/>
        <v>3</v>
      </c>
      <c r="H199" s="11"/>
      <c r="I199" s="1">
        <f t="shared" si="19"/>
        <v>196</v>
      </c>
      <c r="J199" s="2" t="s">
        <v>943</v>
      </c>
      <c r="K199" s="9">
        <v>1</v>
      </c>
      <c r="L199" s="11">
        <v>4</v>
      </c>
      <c r="M199" s="2"/>
      <c r="N199" s="1">
        <v>215</v>
      </c>
      <c r="O199" s="2" t="s">
        <v>1091</v>
      </c>
      <c r="P199" s="9">
        <v>1</v>
      </c>
      <c r="Q199" s="11">
        <v>3</v>
      </c>
    </row>
    <row r="200" spans="1:17" ht="43.2" x14ac:dyDescent="0.3">
      <c r="A200" s="1">
        <f t="shared" si="18"/>
        <v>197</v>
      </c>
      <c r="B200" s="2" t="s">
        <v>939</v>
      </c>
      <c r="C200">
        <v>4</v>
      </c>
      <c r="D200" s="1">
        <f t="shared" si="17"/>
        <v>197</v>
      </c>
      <c r="E200" s="2" t="s">
        <v>1144</v>
      </c>
      <c r="F200" s="9">
        <f t="shared" si="15"/>
        <v>1</v>
      </c>
      <c r="G200" s="11">
        <f t="shared" si="16"/>
        <v>3</v>
      </c>
      <c r="H200" s="11"/>
      <c r="I200" s="1">
        <f t="shared" si="19"/>
        <v>197</v>
      </c>
      <c r="J200" s="2" t="s">
        <v>948</v>
      </c>
      <c r="K200" s="9">
        <v>1</v>
      </c>
      <c r="L200" s="11">
        <v>4</v>
      </c>
      <c r="M200" s="2"/>
      <c r="N200" s="1">
        <v>216</v>
      </c>
      <c r="O200" s="2" t="s">
        <v>1096</v>
      </c>
      <c r="P200" s="9">
        <v>1</v>
      </c>
      <c r="Q200" s="11">
        <v>3</v>
      </c>
    </row>
    <row r="201" spans="1:17" ht="86.4" x14ac:dyDescent="0.3">
      <c r="A201" s="1">
        <f t="shared" si="18"/>
        <v>198</v>
      </c>
      <c r="B201" s="2" t="s">
        <v>943</v>
      </c>
      <c r="C201">
        <v>4</v>
      </c>
      <c r="D201" s="1">
        <f t="shared" si="17"/>
        <v>198</v>
      </c>
      <c r="E201" s="2" t="s">
        <v>1148</v>
      </c>
      <c r="F201" s="9">
        <f t="shared" si="15"/>
        <v>1</v>
      </c>
      <c r="G201" s="11">
        <f t="shared" si="16"/>
        <v>5</v>
      </c>
      <c r="H201" s="11"/>
      <c r="I201" s="1">
        <f t="shared" si="19"/>
        <v>198</v>
      </c>
      <c r="J201" s="2" t="s">
        <v>953</v>
      </c>
      <c r="K201" s="9">
        <v>1</v>
      </c>
      <c r="L201" s="11">
        <v>4</v>
      </c>
      <c r="M201" s="2"/>
      <c r="N201" s="1">
        <v>217</v>
      </c>
      <c r="O201" s="2" t="s">
        <v>1101</v>
      </c>
      <c r="P201" s="9">
        <v>1</v>
      </c>
      <c r="Q201" s="11">
        <v>3</v>
      </c>
    </row>
    <row r="202" spans="1:17" ht="115.2" x14ac:dyDescent="0.3">
      <c r="A202" s="1">
        <f t="shared" si="18"/>
        <v>199</v>
      </c>
      <c r="B202" s="2" t="s">
        <v>948</v>
      </c>
      <c r="C202">
        <v>4</v>
      </c>
      <c r="D202" s="1">
        <f t="shared" si="17"/>
        <v>199</v>
      </c>
      <c r="E202" s="2" t="s">
        <v>1151</v>
      </c>
      <c r="F202" s="9">
        <f t="shared" si="15"/>
        <v>1</v>
      </c>
      <c r="G202" s="11">
        <f t="shared" si="16"/>
        <v>3</v>
      </c>
      <c r="H202" s="11"/>
      <c r="I202" s="1">
        <f t="shared" si="19"/>
        <v>199</v>
      </c>
      <c r="J202" s="2" t="s">
        <v>964</v>
      </c>
      <c r="K202" s="9">
        <v>1</v>
      </c>
      <c r="L202" s="11">
        <v>4</v>
      </c>
      <c r="M202" s="2"/>
      <c r="N202" s="1">
        <v>218</v>
      </c>
      <c r="O202" s="2" t="s">
        <v>1105</v>
      </c>
      <c r="P202" s="9">
        <v>1</v>
      </c>
      <c r="Q202" s="11">
        <v>3</v>
      </c>
    </row>
    <row r="203" spans="1:17" ht="43.2" x14ac:dyDescent="0.3">
      <c r="A203" s="1">
        <f t="shared" si="18"/>
        <v>200</v>
      </c>
      <c r="B203" s="2" t="s">
        <v>953</v>
      </c>
      <c r="C203">
        <v>4</v>
      </c>
      <c r="D203" s="1">
        <f t="shared" si="17"/>
        <v>200</v>
      </c>
      <c r="E203" s="2" t="s">
        <v>1157</v>
      </c>
      <c r="F203" s="9">
        <f t="shared" si="15"/>
        <v>1</v>
      </c>
      <c r="G203" s="11">
        <f t="shared" si="16"/>
        <v>3</v>
      </c>
      <c r="H203" s="11"/>
      <c r="I203" s="1">
        <f t="shared" si="19"/>
        <v>200</v>
      </c>
      <c r="J203" s="2" t="s">
        <v>973</v>
      </c>
      <c r="K203" s="9">
        <v>1</v>
      </c>
      <c r="L203" s="11">
        <v>4</v>
      </c>
      <c r="M203" s="2"/>
      <c r="N203" s="1">
        <v>219</v>
      </c>
      <c r="O203" s="2" t="s">
        <v>1111</v>
      </c>
      <c r="P203" s="9">
        <v>1</v>
      </c>
      <c r="Q203" s="11">
        <v>3</v>
      </c>
    </row>
    <row r="204" spans="1:17" ht="129.6" x14ac:dyDescent="0.3">
      <c r="A204" s="1">
        <f t="shared" si="18"/>
        <v>201</v>
      </c>
      <c r="B204" s="2" t="s">
        <v>200</v>
      </c>
      <c r="C204">
        <v>4</v>
      </c>
      <c r="D204" s="1">
        <f t="shared" si="17"/>
        <v>201</v>
      </c>
      <c r="E204" s="2" t="s">
        <v>1161</v>
      </c>
      <c r="F204" s="9">
        <f t="shared" si="15"/>
        <v>1</v>
      </c>
      <c r="G204" s="11">
        <f t="shared" si="16"/>
        <v>4</v>
      </c>
      <c r="H204" s="11"/>
      <c r="I204" s="1">
        <f t="shared" si="19"/>
        <v>201</v>
      </c>
      <c r="J204" s="2" t="s">
        <v>986</v>
      </c>
      <c r="K204" s="9">
        <v>1</v>
      </c>
      <c r="L204" s="11">
        <v>4</v>
      </c>
      <c r="M204" s="2"/>
      <c r="N204" s="1">
        <v>220</v>
      </c>
      <c r="O204" s="2" t="s">
        <v>1115</v>
      </c>
      <c r="P204" s="9">
        <v>1</v>
      </c>
      <c r="Q204" s="11">
        <v>3</v>
      </c>
    </row>
    <row r="205" spans="1:17" ht="86.4" x14ac:dyDescent="0.3">
      <c r="A205" s="1">
        <f t="shared" si="18"/>
        <v>202</v>
      </c>
      <c r="B205" s="2" t="s">
        <v>897</v>
      </c>
      <c r="C205">
        <v>4</v>
      </c>
      <c r="D205" s="1">
        <f t="shared" si="17"/>
        <v>202</v>
      </c>
      <c r="E205" s="2" t="s">
        <v>1166</v>
      </c>
      <c r="F205" s="9">
        <f t="shared" si="15"/>
        <v>1</v>
      </c>
      <c r="G205" s="11">
        <f t="shared" si="16"/>
        <v>3</v>
      </c>
      <c r="H205" s="11"/>
      <c r="I205" s="1">
        <f t="shared" si="19"/>
        <v>202</v>
      </c>
      <c r="J205" s="2" t="s">
        <v>991</v>
      </c>
      <c r="K205" s="9">
        <v>1</v>
      </c>
      <c r="L205" s="11">
        <v>4</v>
      </c>
      <c r="M205" s="2"/>
      <c r="N205" s="1">
        <v>221</v>
      </c>
      <c r="O205" s="2" t="s">
        <v>1120</v>
      </c>
      <c r="P205" s="9">
        <v>1</v>
      </c>
      <c r="Q205" s="11">
        <v>3</v>
      </c>
    </row>
    <row r="206" spans="1:17" ht="86.4" x14ac:dyDescent="0.3">
      <c r="A206" s="1">
        <f t="shared" si="18"/>
        <v>203</v>
      </c>
      <c r="B206" s="2" t="s">
        <v>964</v>
      </c>
      <c r="C206">
        <v>4</v>
      </c>
      <c r="D206" s="1">
        <f t="shared" si="17"/>
        <v>203</v>
      </c>
      <c r="E206" s="2" t="s">
        <v>1173</v>
      </c>
      <c r="F206" s="9">
        <f t="shared" si="15"/>
        <v>1</v>
      </c>
      <c r="G206" s="11">
        <f t="shared" si="16"/>
        <v>3</v>
      </c>
      <c r="H206" s="11"/>
      <c r="I206" s="1">
        <f t="shared" si="19"/>
        <v>203</v>
      </c>
      <c r="J206" s="2" t="s">
        <v>1003</v>
      </c>
      <c r="K206" s="9">
        <v>1</v>
      </c>
      <c r="L206" s="11">
        <v>4</v>
      </c>
      <c r="M206" s="2"/>
      <c r="N206" s="1">
        <v>222</v>
      </c>
      <c r="O206" s="2" t="s">
        <v>1132</v>
      </c>
      <c r="P206" s="9">
        <v>1</v>
      </c>
      <c r="Q206" s="11">
        <v>3</v>
      </c>
    </row>
    <row r="207" spans="1:17" ht="57.6" x14ac:dyDescent="0.3">
      <c r="A207" s="1">
        <f t="shared" si="18"/>
        <v>204</v>
      </c>
      <c r="B207" s="2" t="s">
        <v>365</v>
      </c>
      <c r="C207">
        <v>4</v>
      </c>
      <c r="D207" s="1">
        <f t="shared" si="17"/>
        <v>204</v>
      </c>
      <c r="E207" s="2" t="s">
        <v>1183</v>
      </c>
      <c r="F207" s="9">
        <f t="shared" si="15"/>
        <v>1</v>
      </c>
      <c r="G207" s="11">
        <f t="shared" si="16"/>
        <v>3</v>
      </c>
      <c r="H207" s="11"/>
      <c r="I207" s="1">
        <f t="shared" si="19"/>
        <v>204</v>
      </c>
      <c r="J207" s="2" t="s">
        <v>1013</v>
      </c>
      <c r="K207" s="9">
        <v>1</v>
      </c>
      <c r="L207" s="11">
        <v>4</v>
      </c>
      <c r="M207" s="2"/>
      <c r="N207" s="1">
        <v>223</v>
      </c>
      <c r="O207" s="2" t="s">
        <v>1137</v>
      </c>
      <c r="P207" s="9">
        <v>1</v>
      </c>
      <c r="Q207" s="11">
        <v>3</v>
      </c>
    </row>
    <row r="208" spans="1:17" ht="57.6" x14ac:dyDescent="0.3">
      <c r="A208" s="1">
        <f t="shared" si="18"/>
        <v>205</v>
      </c>
      <c r="B208" s="2" t="s">
        <v>973</v>
      </c>
      <c r="C208">
        <v>4</v>
      </c>
      <c r="D208" s="1">
        <f t="shared" si="17"/>
        <v>205</v>
      </c>
      <c r="E208" s="2" t="s">
        <v>1186</v>
      </c>
      <c r="F208" s="9">
        <f t="shared" si="15"/>
        <v>1</v>
      </c>
      <c r="G208" s="11">
        <f t="shared" si="16"/>
        <v>3</v>
      </c>
      <c r="H208" s="11"/>
      <c r="I208" s="1">
        <f t="shared" si="19"/>
        <v>205</v>
      </c>
      <c r="J208" s="2" t="s">
        <v>1021</v>
      </c>
      <c r="K208" s="9">
        <v>1</v>
      </c>
      <c r="L208" s="11">
        <v>4</v>
      </c>
      <c r="M208" s="2"/>
      <c r="N208" s="1">
        <v>224</v>
      </c>
      <c r="O208" s="2" t="s">
        <v>1151</v>
      </c>
      <c r="P208" s="9">
        <v>1</v>
      </c>
      <c r="Q208" s="11">
        <v>3</v>
      </c>
    </row>
    <row r="209" spans="1:17" ht="86.4" x14ac:dyDescent="0.3">
      <c r="A209" s="1">
        <f t="shared" si="18"/>
        <v>206</v>
      </c>
      <c r="B209" s="2" t="s">
        <v>977</v>
      </c>
      <c r="C209">
        <v>4</v>
      </c>
      <c r="D209" s="1">
        <f t="shared" si="17"/>
        <v>206</v>
      </c>
      <c r="E209" s="2" t="s">
        <v>1189</v>
      </c>
      <c r="F209" s="9">
        <f t="shared" si="15"/>
        <v>1</v>
      </c>
      <c r="G209" s="11">
        <f t="shared" si="16"/>
        <v>3</v>
      </c>
      <c r="H209" s="11"/>
      <c r="I209" s="1">
        <f t="shared" si="19"/>
        <v>206</v>
      </c>
      <c r="J209" s="2" t="s">
        <v>1025</v>
      </c>
      <c r="K209" s="9">
        <v>1</v>
      </c>
      <c r="L209" s="11">
        <v>4</v>
      </c>
      <c r="M209" s="2"/>
      <c r="N209" s="1">
        <v>225</v>
      </c>
      <c r="O209" s="2" t="s">
        <v>1157</v>
      </c>
      <c r="P209" s="9">
        <v>1</v>
      </c>
      <c r="Q209" s="11">
        <v>3</v>
      </c>
    </row>
    <row r="210" spans="1:17" ht="57.6" x14ac:dyDescent="0.3">
      <c r="A210" s="1">
        <f t="shared" si="18"/>
        <v>207</v>
      </c>
      <c r="B210" s="2" t="s">
        <v>982</v>
      </c>
      <c r="C210">
        <v>4</v>
      </c>
      <c r="D210" s="1">
        <f t="shared" si="17"/>
        <v>207</v>
      </c>
      <c r="E210" s="2" t="s">
        <v>1196</v>
      </c>
      <c r="F210" s="9">
        <f t="shared" si="15"/>
        <v>1</v>
      </c>
      <c r="G210" s="11">
        <f t="shared" si="16"/>
        <v>3</v>
      </c>
      <c r="H210" s="11"/>
      <c r="I210" s="1">
        <f t="shared" si="19"/>
        <v>207</v>
      </c>
      <c r="J210" s="2" t="s">
        <v>1030</v>
      </c>
      <c r="K210" s="9">
        <v>1</v>
      </c>
      <c r="L210" s="11">
        <v>4</v>
      </c>
      <c r="M210" s="2"/>
      <c r="N210" s="1">
        <v>226</v>
      </c>
      <c r="O210" s="2" t="s">
        <v>1166</v>
      </c>
      <c r="P210" s="9">
        <v>1</v>
      </c>
      <c r="Q210" s="11">
        <v>3</v>
      </c>
    </row>
    <row r="211" spans="1:17" ht="72" x14ac:dyDescent="0.3">
      <c r="A211" s="1">
        <f t="shared" si="18"/>
        <v>208</v>
      </c>
      <c r="B211" s="2" t="s">
        <v>986</v>
      </c>
      <c r="C211">
        <v>4</v>
      </c>
      <c r="D211" s="1">
        <f t="shared" si="17"/>
        <v>208</v>
      </c>
      <c r="E211" s="2" t="s">
        <v>1201</v>
      </c>
      <c r="F211" s="9">
        <f t="shared" si="15"/>
        <v>1</v>
      </c>
      <c r="G211" s="11">
        <f t="shared" si="16"/>
        <v>3</v>
      </c>
      <c r="H211" s="11"/>
      <c r="I211" s="1">
        <f t="shared" si="19"/>
        <v>208</v>
      </c>
      <c r="J211" s="2" t="s">
        <v>1047</v>
      </c>
      <c r="K211" s="9">
        <v>1</v>
      </c>
      <c r="L211" s="11">
        <v>3</v>
      </c>
      <c r="M211" s="2"/>
      <c r="N211" s="1">
        <v>227</v>
      </c>
      <c r="O211" s="2" t="s">
        <v>1173</v>
      </c>
      <c r="P211" s="9">
        <v>1</v>
      </c>
      <c r="Q211" s="11">
        <v>3</v>
      </c>
    </row>
    <row r="212" spans="1:17" ht="86.4" x14ac:dyDescent="0.3">
      <c r="A212" s="1">
        <f t="shared" si="18"/>
        <v>209</v>
      </c>
      <c r="B212" s="2" t="s">
        <v>991</v>
      </c>
      <c r="C212">
        <v>4</v>
      </c>
      <c r="D212" s="1">
        <f t="shared" si="17"/>
        <v>209</v>
      </c>
      <c r="E212" s="2" t="s">
        <v>1206</v>
      </c>
      <c r="F212" s="9">
        <f t="shared" si="15"/>
        <v>1</v>
      </c>
      <c r="G212" s="11">
        <f t="shared" si="16"/>
        <v>3</v>
      </c>
      <c r="H212" s="11"/>
      <c r="I212" s="1">
        <f t="shared" si="19"/>
        <v>209</v>
      </c>
      <c r="J212" s="2" t="s">
        <v>1052</v>
      </c>
      <c r="K212" s="9">
        <v>1</v>
      </c>
      <c r="L212" s="11">
        <v>3</v>
      </c>
      <c r="M212" s="2"/>
      <c r="N212" s="1">
        <v>228</v>
      </c>
      <c r="O212" s="2" t="s">
        <v>1183</v>
      </c>
      <c r="P212" s="9">
        <v>1</v>
      </c>
      <c r="Q212" s="11">
        <v>3</v>
      </c>
    </row>
    <row r="213" spans="1:17" ht="100.8" x14ac:dyDescent="0.3">
      <c r="A213" s="1">
        <f t="shared" si="18"/>
        <v>210</v>
      </c>
      <c r="B213" s="2" t="s">
        <v>996</v>
      </c>
      <c r="C213">
        <v>4</v>
      </c>
      <c r="D213" s="1">
        <f t="shared" si="17"/>
        <v>210</v>
      </c>
      <c r="E213" s="2" t="s">
        <v>1216</v>
      </c>
      <c r="F213" s="9">
        <f t="shared" si="15"/>
        <v>1</v>
      </c>
      <c r="G213" s="11">
        <f t="shared" si="16"/>
        <v>3</v>
      </c>
      <c r="H213" s="11"/>
      <c r="I213" s="1">
        <f t="shared" si="19"/>
        <v>210</v>
      </c>
      <c r="J213" s="2" t="s">
        <v>1056</v>
      </c>
      <c r="K213" s="9">
        <v>1</v>
      </c>
      <c r="L213" s="11">
        <v>3</v>
      </c>
      <c r="M213" s="2"/>
      <c r="N213" s="1">
        <v>229</v>
      </c>
      <c r="O213" s="2" t="s">
        <v>1186</v>
      </c>
      <c r="P213" s="9">
        <v>1</v>
      </c>
      <c r="Q213" s="11">
        <v>3</v>
      </c>
    </row>
    <row r="214" spans="1:17" ht="72" x14ac:dyDescent="0.3">
      <c r="A214" s="1">
        <f t="shared" si="18"/>
        <v>211</v>
      </c>
      <c r="B214" s="2" t="s">
        <v>906</v>
      </c>
      <c r="C214">
        <v>4</v>
      </c>
      <c r="D214" s="1">
        <f t="shared" si="17"/>
        <v>211</v>
      </c>
      <c r="E214" s="2" t="s">
        <v>1223</v>
      </c>
      <c r="F214" s="9">
        <f t="shared" si="15"/>
        <v>1</v>
      </c>
      <c r="G214" s="11">
        <f t="shared" si="16"/>
        <v>3</v>
      </c>
      <c r="H214" s="11"/>
      <c r="I214" s="1">
        <f t="shared" si="19"/>
        <v>211</v>
      </c>
      <c r="J214" s="2" t="s">
        <v>1069</v>
      </c>
      <c r="K214" s="9">
        <v>1</v>
      </c>
      <c r="L214" s="11">
        <v>3</v>
      </c>
      <c r="M214" s="2"/>
      <c r="N214" s="1">
        <v>230</v>
      </c>
      <c r="O214" s="2" t="s">
        <v>1189</v>
      </c>
      <c r="P214" s="9">
        <v>1</v>
      </c>
      <c r="Q214" s="11">
        <v>3</v>
      </c>
    </row>
    <row r="215" spans="1:17" ht="129.6" x14ac:dyDescent="0.3">
      <c r="A215" s="1">
        <f t="shared" si="18"/>
        <v>212</v>
      </c>
      <c r="B215" s="2" t="s">
        <v>1003</v>
      </c>
      <c r="C215">
        <v>4</v>
      </c>
      <c r="D215" s="1">
        <f t="shared" si="17"/>
        <v>212</v>
      </c>
      <c r="E215" s="2" t="s">
        <v>1229</v>
      </c>
      <c r="F215" s="9">
        <f t="shared" si="15"/>
        <v>1</v>
      </c>
      <c r="G215" s="11">
        <f t="shared" si="16"/>
        <v>4</v>
      </c>
      <c r="H215" s="11"/>
      <c r="I215" s="1">
        <f t="shared" si="19"/>
        <v>212</v>
      </c>
      <c r="J215" s="2" t="s">
        <v>1077</v>
      </c>
      <c r="K215" s="9">
        <v>1</v>
      </c>
      <c r="L215" s="11">
        <v>3</v>
      </c>
      <c r="M215" s="2"/>
      <c r="N215" s="1">
        <v>231</v>
      </c>
      <c r="O215" s="2" t="s">
        <v>1196</v>
      </c>
      <c r="P215" s="9">
        <v>1</v>
      </c>
      <c r="Q215" s="11">
        <v>3</v>
      </c>
    </row>
    <row r="216" spans="1:17" ht="129.6" x14ac:dyDescent="0.3">
      <c r="A216" s="1">
        <f t="shared" si="18"/>
        <v>213</v>
      </c>
      <c r="B216" s="2" t="s">
        <v>111</v>
      </c>
      <c r="C216">
        <v>4</v>
      </c>
      <c r="D216" s="1">
        <f t="shared" si="17"/>
        <v>213</v>
      </c>
      <c r="E216" s="2" t="s">
        <v>1234</v>
      </c>
      <c r="F216" s="9">
        <f t="shared" si="15"/>
        <v>1</v>
      </c>
      <c r="G216" s="11">
        <f t="shared" si="16"/>
        <v>5</v>
      </c>
      <c r="H216" s="11"/>
      <c r="I216" s="1">
        <f t="shared" si="19"/>
        <v>213</v>
      </c>
      <c r="J216" s="2" t="s">
        <v>1082</v>
      </c>
      <c r="K216" s="9">
        <v>1</v>
      </c>
      <c r="L216" s="11">
        <v>3</v>
      </c>
      <c r="M216" s="2"/>
      <c r="N216" s="1">
        <v>232</v>
      </c>
      <c r="O216" s="2" t="s">
        <v>1201</v>
      </c>
      <c r="P216" s="9">
        <v>1</v>
      </c>
      <c r="Q216" s="11">
        <v>3</v>
      </c>
    </row>
    <row r="217" spans="1:17" ht="72" x14ac:dyDescent="0.3">
      <c r="A217" s="1">
        <f t="shared" si="18"/>
        <v>214</v>
      </c>
      <c r="B217" s="2" t="s">
        <v>696</v>
      </c>
      <c r="C217">
        <v>4</v>
      </c>
      <c r="D217" s="1">
        <f t="shared" si="17"/>
        <v>214</v>
      </c>
      <c r="E217" s="2" t="s">
        <v>1240</v>
      </c>
      <c r="F217" s="9">
        <f t="shared" si="15"/>
        <v>1</v>
      </c>
      <c r="G217" s="11">
        <f t="shared" si="16"/>
        <v>3</v>
      </c>
      <c r="H217" s="11"/>
      <c r="I217" s="1">
        <f t="shared" si="19"/>
        <v>214</v>
      </c>
      <c r="J217" s="2" t="s">
        <v>1086</v>
      </c>
      <c r="K217" s="9">
        <v>1</v>
      </c>
      <c r="L217" s="11">
        <v>3</v>
      </c>
      <c r="M217" s="2"/>
      <c r="N217" s="1">
        <v>233</v>
      </c>
      <c r="O217" s="2" t="s">
        <v>1216</v>
      </c>
      <c r="P217" s="9">
        <v>1</v>
      </c>
      <c r="Q217" s="11">
        <v>3</v>
      </c>
    </row>
    <row r="218" spans="1:17" ht="129.6" x14ac:dyDescent="0.3">
      <c r="A218" s="1">
        <f t="shared" si="18"/>
        <v>215</v>
      </c>
      <c r="B218" s="2" t="s">
        <v>1013</v>
      </c>
      <c r="C218">
        <v>4</v>
      </c>
      <c r="D218" s="1">
        <f t="shared" si="17"/>
        <v>215</v>
      </c>
      <c r="E218" s="2" t="s">
        <v>1246</v>
      </c>
      <c r="F218" s="9">
        <f t="shared" si="15"/>
        <v>1</v>
      </c>
      <c r="G218" s="11">
        <f t="shared" si="16"/>
        <v>3</v>
      </c>
      <c r="H218" s="11"/>
      <c r="I218" s="1">
        <f t="shared" si="19"/>
        <v>215</v>
      </c>
      <c r="J218" s="2" t="s">
        <v>1091</v>
      </c>
      <c r="K218" s="9">
        <v>1</v>
      </c>
      <c r="L218" s="11">
        <v>3</v>
      </c>
      <c r="M218" s="2"/>
      <c r="N218" s="1">
        <v>234</v>
      </c>
      <c r="O218" s="2" t="s">
        <v>1223</v>
      </c>
      <c r="P218" s="9">
        <v>1</v>
      </c>
      <c r="Q218" s="11">
        <v>3</v>
      </c>
    </row>
    <row r="219" spans="1:17" ht="86.4" x14ac:dyDescent="0.3">
      <c r="A219" s="1">
        <f t="shared" si="18"/>
        <v>216</v>
      </c>
      <c r="B219" s="2" t="s">
        <v>365</v>
      </c>
      <c r="C219">
        <v>4</v>
      </c>
      <c r="D219" s="1">
        <f t="shared" si="17"/>
        <v>216</v>
      </c>
      <c r="E219" s="2" t="s">
        <v>1252</v>
      </c>
      <c r="F219" s="9">
        <f t="shared" si="15"/>
        <v>1</v>
      </c>
      <c r="G219" s="11">
        <f t="shared" si="16"/>
        <v>3</v>
      </c>
      <c r="H219" s="11"/>
      <c r="I219" s="1">
        <f t="shared" si="19"/>
        <v>216</v>
      </c>
      <c r="J219" s="2" t="s">
        <v>1096</v>
      </c>
      <c r="K219" s="9">
        <v>1</v>
      </c>
      <c r="L219" s="11">
        <v>3</v>
      </c>
      <c r="M219" s="2"/>
      <c r="N219" s="1">
        <v>235</v>
      </c>
      <c r="O219" s="2" t="s">
        <v>1240</v>
      </c>
      <c r="P219" s="9">
        <v>1</v>
      </c>
      <c r="Q219" s="11">
        <v>3</v>
      </c>
    </row>
    <row r="220" spans="1:17" ht="86.4" x14ac:dyDescent="0.3">
      <c r="A220" s="1">
        <f t="shared" si="18"/>
        <v>217</v>
      </c>
      <c r="B220" s="2" t="s">
        <v>1021</v>
      </c>
      <c r="C220">
        <v>4</v>
      </c>
      <c r="D220" s="1">
        <f t="shared" si="17"/>
        <v>217</v>
      </c>
      <c r="E220" s="2" t="s">
        <v>1259</v>
      </c>
      <c r="F220" s="9">
        <f t="shared" si="15"/>
        <v>1</v>
      </c>
      <c r="G220" s="11">
        <f t="shared" si="16"/>
        <v>3</v>
      </c>
      <c r="H220" s="11"/>
      <c r="I220" s="1">
        <f t="shared" si="19"/>
        <v>217</v>
      </c>
      <c r="J220" s="2" t="s">
        <v>1101</v>
      </c>
      <c r="K220" s="9">
        <v>1</v>
      </c>
      <c r="L220" s="11">
        <v>3</v>
      </c>
      <c r="M220" s="2"/>
      <c r="N220" s="1">
        <v>236</v>
      </c>
      <c r="O220" s="2" t="s">
        <v>1246</v>
      </c>
      <c r="P220" s="9">
        <v>1</v>
      </c>
      <c r="Q220" s="11">
        <v>3</v>
      </c>
    </row>
    <row r="221" spans="1:17" ht="86.4" x14ac:dyDescent="0.3">
      <c r="A221" s="1">
        <f t="shared" si="18"/>
        <v>218</v>
      </c>
      <c r="B221" s="2" t="s">
        <v>1025</v>
      </c>
      <c r="C221">
        <v>4</v>
      </c>
      <c r="D221" s="1">
        <f t="shared" si="17"/>
        <v>218</v>
      </c>
      <c r="E221" s="2" t="s">
        <v>1265</v>
      </c>
      <c r="F221" s="9">
        <f t="shared" si="15"/>
        <v>1</v>
      </c>
      <c r="G221" s="11">
        <f t="shared" si="16"/>
        <v>3</v>
      </c>
      <c r="H221" s="11"/>
      <c r="I221" s="1">
        <f t="shared" si="19"/>
        <v>218</v>
      </c>
      <c r="J221" s="2" t="s">
        <v>1105</v>
      </c>
      <c r="K221" s="9">
        <v>1</v>
      </c>
      <c r="L221" s="11">
        <v>3</v>
      </c>
      <c r="M221" s="2"/>
      <c r="N221" s="1">
        <v>237</v>
      </c>
      <c r="O221" s="2" t="s">
        <v>1252</v>
      </c>
      <c r="P221" s="9">
        <v>1</v>
      </c>
      <c r="Q221" s="11">
        <v>3</v>
      </c>
    </row>
    <row r="222" spans="1:17" ht="57.6" x14ac:dyDescent="0.3">
      <c r="A222" s="1">
        <f t="shared" si="18"/>
        <v>219</v>
      </c>
      <c r="B222" s="2" t="s">
        <v>1030</v>
      </c>
      <c r="C222">
        <v>4</v>
      </c>
      <c r="D222" s="1">
        <f t="shared" si="17"/>
        <v>219</v>
      </c>
      <c r="E222" s="2" t="s">
        <v>1269</v>
      </c>
      <c r="F222" s="9">
        <f t="shared" si="15"/>
        <v>1</v>
      </c>
      <c r="G222" s="11">
        <f t="shared" si="16"/>
        <v>2</v>
      </c>
      <c r="H222" s="11"/>
      <c r="I222" s="1">
        <f t="shared" si="19"/>
        <v>219</v>
      </c>
      <c r="J222" s="2" t="s">
        <v>1111</v>
      </c>
      <c r="K222" s="9">
        <v>1</v>
      </c>
      <c r="L222" s="11">
        <v>3</v>
      </c>
      <c r="M222" s="2"/>
      <c r="N222" s="1">
        <v>238</v>
      </c>
      <c r="O222" s="2" t="s">
        <v>1259</v>
      </c>
      <c r="P222" s="9">
        <v>1</v>
      </c>
      <c r="Q222" s="11">
        <v>3</v>
      </c>
    </row>
    <row r="223" spans="1:17" ht="57.6" x14ac:dyDescent="0.3">
      <c r="A223" s="1">
        <f t="shared" si="18"/>
        <v>220</v>
      </c>
      <c r="B223" s="2" t="s">
        <v>328</v>
      </c>
      <c r="C223">
        <v>4</v>
      </c>
      <c r="D223" s="1">
        <f t="shared" si="17"/>
        <v>220</v>
      </c>
      <c r="E223" s="2" t="s">
        <v>1273</v>
      </c>
      <c r="F223" s="9">
        <f t="shared" si="15"/>
        <v>1</v>
      </c>
      <c r="G223" s="11">
        <f t="shared" si="16"/>
        <v>2</v>
      </c>
      <c r="H223" s="11"/>
      <c r="I223" s="1">
        <f t="shared" si="19"/>
        <v>220</v>
      </c>
      <c r="J223" s="2" t="s">
        <v>1115</v>
      </c>
      <c r="K223" s="9">
        <v>1</v>
      </c>
      <c r="L223" s="11">
        <v>3</v>
      </c>
      <c r="M223" s="2"/>
      <c r="N223" s="1">
        <v>239</v>
      </c>
      <c r="O223" s="2" t="s">
        <v>1265</v>
      </c>
      <c r="P223" s="9">
        <v>1</v>
      </c>
      <c r="Q223" s="11">
        <v>3</v>
      </c>
    </row>
    <row r="224" spans="1:17" ht="86.4" x14ac:dyDescent="0.3">
      <c r="A224" s="1">
        <f t="shared" si="18"/>
        <v>221</v>
      </c>
      <c r="B224" s="2" t="s">
        <v>546</v>
      </c>
      <c r="C224">
        <v>4</v>
      </c>
      <c r="D224" s="1">
        <f t="shared" si="17"/>
        <v>221</v>
      </c>
      <c r="E224" s="2" t="s">
        <v>1283</v>
      </c>
      <c r="F224" s="9">
        <f t="shared" si="15"/>
        <v>1</v>
      </c>
      <c r="G224" s="11">
        <f t="shared" si="16"/>
        <v>2</v>
      </c>
      <c r="H224" s="11"/>
      <c r="I224" s="1">
        <f t="shared" si="19"/>
        <v>221</v>
      </c>
      <c r="J224" s="2" t="s">
        <v>1120</v>
      </c>
      <c r="K224" s="9">
        <v>1</v>
      </c>
      <c r="L224" s="11">
        <v>3</v>
      </c>
      <c r="M224" s="2"/>
      <c r="N224" s="1">
        <v>7</v>
      </c>
      <c r="O224" s="2" t="s">
        <v>1513</v>
      </c>
      <c r="P224" s="9">
        <v>6</v>
      </c>
      <c r="Q224" s="11">
        <v>2</v>
      </c>
    </row>
    <row r="225" spans="1:17" ht="86.4" x14ac:dyDescent="0.3">
      <c r="A225" s="1">
        <f t="shared" si="18"/>
        <v>222</v>
      </c>
      <c r="B225" s="2" t="s">
        <v>190</v>
      </c>
      <c r="C225">
        <v>3</v>
      </c>
      <c r="D225" s="1">
        <f t="shared" si="17"/>
        <v>222</v>
      </c>
      <c r="E225" s="2" t="s">
        <v>1288</v>
      </c>
      <c r="F225" s="9">
        <f t="shared" si="15"/>
        <v>1</v>
      </c>
      <c r="G225" s="11">
        <f t="shared" si="16"/>
        <v>2</v>
      </c>
      <c r="H225" s="11"/>
      <c r="I225" s="1">
        <f t="shared" si="19"/>
        <v>222</v>
      </c>
      <c r="J225" s="2" t="s">
        <v>1132</v>
      </c>
      <c r="K225" s="9">
        <v>1</v>
      </c>
      <c r="L225" s="11">
        <v>3</v>
      </c>
      <c r="M225" s="2"/>
      <c r="N225" s="1">
        <v>24</v>
      </c>
      <c r="O225" s="2" t="s">
        <v>1380</v>
      </c>
      <c r="P225" s="9">
        <v>3</v>
      </c>
      <c r="Q225" s="11">
        <v>2</v>
      </c>
    </row>
    <row r="226" spans="1:17" ht="86.4" x14ac:dyDescent="0.3">
      <c r="A226" s="1">
        <f t="shared" si="18"/>
        <v>223</v>
      </c>
      <c r="B226" s="2" t="s">
        <v>200</v>
      </c>
      <c r="C226">
        <v>3</v>
      </c>
      <c r="D226" s="1">
        <f t="shared" si="17"/>
        <v>223</v>
      </c>
      <c r="E226" s="2" t="s">
        <v>1292</v>
      </c>
      <c r="F226" s="9">
        <f t="shared" si="15"/>
        <v>1</v>
      </c>
      <c r="G226" s="11">
        <f t="shared" si="16"/>
        <v>2</v>
      </c>
      <c r="H226" s="11"/>
      <c r="I226" s="1">
        <f t="shared" si="19"/>
        <v>223</v>
      </c>
      <c r="J226" s="2" t="s">
        <v>1137</v>
      </c>
      <c r="K226" s="9">
        <v>1</v>
      </c>
      <c r="L226" s="11">
        <v>3</v>
      </c>
      <c r="M226" s="2"/>
      <c r="N226" s="1">
        <v>25</v>
      </c>
      <c r="O226" s="2" t="s">
        <v>1393</v>
      </c>
      <c r="P226" s="9">
        <v>3</v>
      </c>
      <c r="Q226" s="11">
        <v>2</v>
      </c>
    </row>
    <row r="227" spans="1:17" ht="57.6" x14ac:dyDescent="0.3">
      <c r="A227" s="1">
        <f t="shared" si="18"/>
        <v>224</v>
      </c>
      <c r="B227" s="2" t="s">
        <v>1047</v>
      </c>
      <c r="C227">
        <v>3</v>
      </c>
      <c r="D227" s="1">
        <f t="shared" si="17"/>
        <v>224</v>
      </c>
      <c r="E227" s="2" t="s">
        <v>1302</v>
      </c>
      <c r="F227" s="9">
        <f t="shared" si="15"/>
        <v>1</v>
      </c>
      <c r="G227" s="11">
        <f t="shared" si="16"/>
        <v>2</v>
      </c>
      <c r="H227" s="11"/>
      <c r="I227" s="1">
        <f t="shared" si="19"/>
        <v>224</v>
      </c>
      <c r="J227" s="2" t="s">
        <v>1151</v>
      </c>
      <c r="K227" s="9">
        <v>1</v>
      </c>
      <c r="L227" s="11">
        <v>3</v>
      </c>
      <c r="M227" s="2"/>
      <c r="N227" s="1">
        <v>60</v>
      </c>
      <c r="O227" s="2" t="s">
        <v>1269</v>
      </c>
      <c r="P227" s="9">
        <v>2</v>
      </c>
      <c r="Q227" s="11">
        <v>2</v>
      </c>
    </row>
    <row r="228" spans="1:17" ht="28.8" x14ac:dyDescent="0.3">
      <c r="A228" s="1">
        <f t="shared" si="18"/>
        <v>225</v>
      </c>
      <c r="B228" s="2" t="s">
        <v>1052</v>
      </c>
      <c r="C228">
        <v>3</v>
      </c>
      <c r="D228" s="1">
        <f t="shared" si="17"/>
        <v>225</v>
      </c>
      <c r="E228" s="2" t="s">
        <v>1313</v>
      </c>
      <c r="F228" s="9">
        <f t="shared" si="15"/>
        <v>1</v>
      </c>
      <c r="G228" s="11">
        <f t="shared" si="16"/>
        <v>2</v>
      </c>
      <c r="H228" s="11"/>
      <c r="I228" s="1">
        <f t="shared" si="19"/>
        <v>225</v>
      </c>
      <c r="J228" s="2" t="s">
        <v>1157</v>
      </c>
      <c r="K228" s="9">
        <v>1</v>
      </c>
      <c r="L228" s="11">
        <v>3</v>
      </c>
      <c r="M228" s="2"/>
      <c r="N228" s="1">
        <v>61</v>
      </c>
      <c r="O228" s="2" t="s">
        <v>1288</v>
      </c>
      <c r="P228" s="9">
        <v>2</v>
      </c>
      <c r="Q228" s="11">
        <v>2</v>
      </c>
    </row>
    <row r="229" spans="1:17" ht="57.6" x14ac:dyDescent="0.3">
      <c r="A229" s="1">
        <f t="shared" si="18"/>
        <v>226</v>
      </c>
      <c r="B229" s="2" t="s">
        <v>1056</v>
      </c>
      <c r="C229">
        <v>3</v>
      </c>
      <c r="D229" s="1">
        <f t="shared" si="17"/>
        <v>226</v>
      </c>
      <c r="E229" s="2" t="s">
        <v>1318</v>
      </c>
      <c r="F229" s="9">
        <f t="shared" si="15"/>
        <v>1</v>
      </c>
      <c r="G229" s="11">
        <f t="shared" si="16"/>
        <v>2</v>
      </c>
      <c r="H229" s="11"/>
      <c r="I229" s="1">
        <f t="shared" si="19"/>
        <v>226</v>
      </c>
      <c r="J229" s="2" t="s">
        <v>1166</v>
      </c>
      <c r="K229" s="9">
        <v>1</v>
      </c>
      <c r="L229" s="11">
        <v>3</v>
      </c>
      <c r="M229" s="2"/>
      <c r="N229" s="1">
        <v>62</v>
      </c>
      <c r="O229" s="2" t="s">
        <v>1292</v>
      </c>
      <c r="P229" s="9">
        <v>2</v>
      </c>
      <c r="Q229" s="11">
        <v>2</v>
      </c>
    </row>
    <row r="230" spans="1:17" ht="72" x14ac:dyDescent="0.3">
      <c r="A230" s="1">
        <f t="shared" si="18"/>
        <v>227</v>
      </c>
      <c r="B230" s="2" t="s">
        <v>586</v>
      </c>
      <c r="C230">
        <v>3</v>
      </c>
      <c r="D230" s="1">
        <f t="shared" si="17"/>
        <v>227</v>
      </c>
      <c r="E230" s="2" t="s">
        <v>1325</v>
      </c>
      <c r="F230" s="9">
        <f t="shared" si="15"/>
        <v>1</v>
      </c>
      <c r="G230" s="11">
        <f t="shared" si="16"/>
        <v>2</v>
      </c>
      <c r="H230" s="11"/>
      <c r="I230" s="1">
        <f t="shared" si="19"/>
        <v>227</v>
      </c>
      <c r="J230" s="2" t="s">
        <v>1173</v>
      </c>
      <c r="K230" s="9">
        <v>1</v>
      </c>
      <c r="L230" s="11">
        <v>3</v>
      </c>
      <c r="M230" s="2"/>
      <c r="N230" s="1">
        <v>65</v>
      </c>
      <c r="O230" s="2" t="s">
        <v>1478</v>
      </c>
      <c r="P230" s="9">
        <v>2</v>
      </c>
      <c r="Q230" s="11">
        <v>2</v>
      </c>
    </row>
    <row r="231" spans="1:17" ht="72" x14ac:dyDescent="0.3">
      <c r="A231" s="1">
        <f t="shared" si="18"/>
        <v>228</v>
      </c>
      <c r="B231" s="2" t="s">
        <v>1064</v>
      </c>
      <c r="C231">
        <v>3</v>
      </c>
      <c r="D231" s="1">
        <f t="shared" si="17"/>
        <v>228</v>
      </c>
      <c r="E231" s="2" t="s">
        <v>1337</v>
      </c>
      <c r="F231" s="9">
        <f t="shared" si="15"/>
        <v>1</v>
      </c>
      <c r="G231" s="11">
        <f t="shared" si="16"/>
        <v>2</v>
      </c>
      <c r="H231" s="11"/>
      <c r="I231" s="1">
        <f t="shared" si="19"/>
        <v>228</v>
      </c>
      <c r="J231" s="2" t="s">
        <v>1183</v>
      </c>
      <c r="K231" s="9">
        <v>1</v>
      </c>
      <c r="L231" s="11">
        <v>3</v>
      </c>
      <c r="M231" s="2"/>
      <c r="N231" s="1">
        <v>66</v>
      </c>
      <c r="O231" s="2" t="s">
        <v>1624</v>
      </c>
      <c r="P231" s="9">
        <v>2</v>
      </c>
      <c r="Q231" s="11">
        <v>2</v>
      </c>
    </row>
    <row r="232" spans="1:17" ht="43.2" x14ac:dyDescent="0.3">
      <c r="A232" s="1">
        <f t="shared" si="18"/>
        <v>229</v>
      </c>
      <c r="B232" s="2" t="s">
        <v>1069</v>
      </c>
      <c r="C232">
        <v>3</v>
      </c>
      <c r="D232" s="1">
        <f t="shared" si="17"/>
        <v>229</v>
      </c>
      <c r="E232" s="2" t="s">
        <v>1342</v>
      </c>
      <c r="F232" s="9">
        <f t="shared" si="15"/>
        <v>1</v>
      </c>
      <c r="G232" s="11">
        <f t="shared" si="16"/>
        <v>2</v>
      </c>
      <c r="H232" s="11"/>
      <c r="I232" s="1">
        <f t="shared" si="19"/>
        <v>229</v>
      </c>
      <c r="J232" s="2" t="s">
        <v>1186</v>
      </c>
      <c r="K232" s="9">
        <v>1</v>
      </c>
      <c r="L232" s="11">
        <v>3</v>
      </c>
      <c r="M232" s="2"/>
      <c r="N232" s="1">
        <v>240</v>
      </c>
      <c r="O232" s="2" t="s">
        <v>1273</v>
      </c>
      <c r="P232" s="9">
        <v>1</v>
      </c>
      <c r="Q232" s="11">
        <v>2</v>
      </c>
    </row>
    <row r="233" spans="1:17" ht="86.4" x14ac:dyDescent="0.3">
      <c r="A233" s="1">
        <f t="shared" si="18"/>
        <v>230</v>
      </c>
      <c r="B233" s="2" t="s">
        <v>696</v>
      </c>
      <c r="C233">
        <v>3</v>
      </c>
      <c r="D233" s="1">
        <f t="shared" si="17"/>
        <v>230</v>
      </c>
      <c r="E233" s="2" t="s">
        <v>1348</v>
      </c>
      <c r="F233" s="9">
        <f t="shared" si="15"/>
        <v>1</v>
      </c>
      <c r="G233" s="11">
        <f t="shared" si="16"/>
        <v>2</v>
      </c>
      <c r="H233" s="11"/>
      <c r="I233" s="1">
        <f t="shared" si="19"/>
        <v>230</v>
      </c>
      <c r="J233" s="2" t="s">
        <v>1189</v>
      </c>
      <c r="K233" s="9">
        <v>1</v>
      </c>
      <c r="L233" s="11">
        <v>3</v>
      </c>
      <c r="M233" s="2"/>
      <c r="N233" s="1">
        <v>241</v>
      </c>
      <c r="O233" s="2" t="s">
        <v>1283</v>
      </c>
      <c r="P233" s="9">
        <v>1</v>
      </c>
      <c r="Q233" s="11">
        <v>2</v>
      </c>
    </row>
    <row r="234" spans="1:17" ht="43.2" x14ac:dyDescent="0.3">
      <c r="A234" s="1">
        <f t="shared" si="18"/>
        <v>231</v>
      </c>
      <c r="B234" s="2" t="s">
        <v>1077</v>
      </c>
      <c r="C234">
        <v>3</v>
      </c>
      <c r="D234" s="1">
        <f t="shared" si="17"/>
        <v>231</v>
      </c>
      <c r="E234" s="2" t="s">
        <v>1367</v>
      </c>
      <c r="F234" s="9">
        <f t="shared" si="15"/>
        <v>1</v>
      </c>
      <c r="G234" s="11">
        <f t="shared" si="16"/>
        <v>2</v>
      </c>
      <c r="H234" s="11"/>
      <c r="I234" s="1">
        <f t="shared" si="19"/>
        <v>231</v>
      </c>
      <c r="J234" s="2" t="s">
        <v>1196</v>
      </c>
      <c r="K234" s="9">
        <v>1</v>
      </c>
      <c r="L234" s="11">
        <v>3</v>
      </c>
      <c r="M234" s="2"/>
      <c r="N234" s="1">
        <v>242</v>
      </c>
      <c r="O234" s="2" t="s">
        <v>1302</v>
      </c>
      <c r="P234" s="9">
        <v>1</v>
      </c>
      <c r="Q234" s="11">
        <v>2</v>
      </c>
    </row>
    <row r="235" spans="1:17" ht="72" x14ac:dyDescent="0.3">
      <c r="A235" s="1">
        <f t="shared" si="18"/>
        <v>232</v>
      </c>
      <c r="B235" s="2" t="s">
        <v>1082</v>
      </c>
      <c r="C235">
        <v>3</v>
      </c>
      <c r="D235" s="1">
        <f t="shared" si="17"/>
        <v>232</v>
      </c>
      <c r="E235" s="2" t="s">
        <v>1370</v>
      </c>
      <c r="F235" s="9">
        <f t="shared" si="15"/>
        <v>1</v>
      </c>
      <c r="G235" s="11">
        <f t="shared" si="16"/>
        <v>2</v>
      </c>
      <c r="H235" s="11"/>
      <c r="I235" s="1">
        <f t="shared" si="19"/>
        <v>232</v>
      </c>
      <c r="J235" s="2" t="s">
        <v>1201</v>
      </c>
      <c r="K235" s="9">
        <v>1</v>
      </c>
      <c r="L235" s="11">
        <v>3</v>
      </c>
      <c r="M235" s="2"/>
      <c r="N235" s="1">
        <v>243</v>
      </c>
      <c r="O235" s="2" t="s">
        <v>1313</v>
      </c>
      <c r="P235" s="9">
        <v>1</v>
      </c>
      <c r="Q235" s="11">
        <v>2</v>
      </c>
    </row>
    <row r="236" spans="1:17" ht="158.4" x14ac:dyDescent="0.3">
      <c r="A236" s="1">
        <f t="shared" si="18"/>
        <v>233</v>
      </c>
      <c r="B236" s="2" t="s">
        <v>1086</v>
      </c>
      <c r="C236">
        <v>3</v>
      </c>
      <c r="D236" s="1">
        <f t="shared" si="17"/>
        <v>233</v>
      </c>
      <c r="E236" s="2" t="s">
        <v>1374</v>
      </c>
      <c r="F236" s="9">
        <f t="shared" si="15"/>
        <v>1</v>
      </c>
      <c r="G236" s="11">
        <f t="shared" si="16"/>
        <v>2</v>
      </c>
      <c r="H236" s="11"/>
      <c r="I236" s="1">
        <f t="shared" si="19"/>
        <v>233</v>
      </c>
      <c r="J236" s="2" t="s">
        <v>1216</v>
      </c>
      <c r="K236" s="9">
        <v>1</v>
      </c>
      <c r="L236" s="11">
        <v>3</v>
      </c>
      <c r="M236" s="2"/>
      <c r="N236" s="1">
        <v>244</v>
      </c>
      <c r="O236" s="2" t="s">
        <v>1318</v>
      </c>
      <c r="P236" s="9">
        <v>1</v>
      </c>
      <c r="Q236" s="11">
        <v>2</v>
      </c>
    </row>
    <row r="237" spans="1:17" ht="129.6" x14ac:dyDescent="0.3">
      <c r="A237" s="1">
        <f t="shared" si="18"/>
        <v>234</v>
      </c>
      <c r="B237" s="2" t="s">
        <v>1091</v>
      </c>
      <c r="C237">
        <v>3</v>
      </c>
      <c r="D237" s="1">
        <f t="shared" si="17"/>
        <v>234</v>
      </c>
      <c r="E237" s="2" t="s">
        <v>1380</v>
      </c>
      <c r="F237" s="9">
        <f t="shared" si="15"/>
        <v>1</v>
      </c>
      <c r="G237" s="11">
        <f t="shared" si="16"/>
        <v>2</v>
      </c>
      <c r="H237" s="11"/>
      <c r="I237" s="1">
        <f t="shared" si="19"/>
        <v>234</v>
      </c>
      <c r="J237" s="2" t="s">
        <v>1223</v>
      </c>
      <c r="K237" s="9">
        <v>1</v>
      </c>
      <c r="L237" s="11">
        <v>3</v>
      </c>
      <c r="M237" s="2"/>
      <c r="N237" s="1">
        <v>245</v>
      </c>
      <c r="O237" s="2" t="s">
        <v>1325</v>
      </c>
      <c r="P237" s="9">
        <v>1</v>
      </c>
      <c r="Q237" s="11">
        <v>2</v>
      </c>
    </row>
    <row r="238" spans="1:17" ht="57.6" x14ac:dyDescent="0.3">
      <c r="A238" s="1">
        <f t="shared" si="18"/>
        <v>235</v>
      </c>
      <c r="B238" s="2" t="s">
        <v>1096</v>
      </c>
      <c r="C238">
        <v>3</v>
      </c>
      <c r="D238" s="1">
        <f t="shared" si="17"/>
        <v>235</v>
      </c>
      <c r="E238" s="2" t="s">
        <v>1385</v>
      </c>
      <c r="F238" s="9">
        <f t="shared" si="15"/>
        <v>1</v>
      </c>
      <c r="G238" s="11">
        <f t="shared" si="16"/>
        <v>2</v>
      </c>
      <c r="H238" s="11"/>
      <c r="I238" s="1">
        <f t="shared" si="19"/>
        <v>235</v>
      </c>
      <c r="J238" s="2" t="s">
        <v>1240</v>
      </c>
      <c r="K238" s="9">
        <v>1</v>
      </c>
      <c r="L238" s="11">
        <v>3</v>
      </c>
      <c r="M238" s="2"/>
      <c r="N238" s="1">
        <v>246</v>
      </c>
      <c r="O238" s="2" t="s">
        <v>1337</v>
      </c>
      <c r="P238" s="9">
        <v>1</v>
      </c>
      <c r="Q238" s="11">
        <v>2</v>
      </c>
    </row>
    <row r="239" spans="1:17" ht="72" x14ac:dyDescent="0.3">
      <c r="A239" s="1">
        <f t="shared" si="18"/>
        <v>236</v>
      </c>
      <c r="B239" s="2" t="s">
        <v>1101</v>
      </c>
      <c r="C239">
        <v>3</v>
      </c>
      <c r="D239" s="1">
        <f t="shared" si="17"/>
        <v>236</v>
      </c>
      <c r="E239" s="2" t="s">
        <v>1389</v>
      </c>
      <c r="F239" s="9">
        <f t="shared" si="15"/>
        <v>1</v>
      </c>
      <c r="G239" s="11">
        <f t="shared" si="16"/>
        <v>2</v>
      </c>
      <c r="H239" s="11"/>
      <c r="I239" s="1">
        <f t="shared" si="19"/>
        <v>236</v>
      </c>
      <c r="J239" s="2" t="s">
        <v>1246</v>
      </c>
      <c r="K239" s="9">
        <v>1</v>
      </c>
      <c r="L239" s="11">
        <v>3</v>
      </c>
      <c r="M239" s="2"/>
      <c r="N239" s="1">
        <v>247</v>
      </c>
      <c r="O239" s="2" t="s">
        <v>1342</v>
      </c>
      <c r="P239" s="9">
        <v>1</v>
      </c>
      <c r="Q239" s="11">
        <v>2</v>
      </c>
    </row>
    <row r="240" spans="1:17" ht="129.6" x14ac:dyDescent="0.3">
      <c r="A240" s="1">
        <f t="shared" si="18"/>
        <v>237</v>
      </c>
      <c r="B240" s="2" t="s">
        <v>1105</v>
      </c>
      <c r="C240">
        <v>3</v>
      </c>
      <c r="D240" s="1">
        <f t="shared" si="17"/>
        <v>237</v>
      </c>
      <c r="E240" s="2" t="s">
        <v>1393</v>
      </c>
      <c r="F240" s="9">
        <f t="shared" si="15"/>
        <v>1</v>
      </c>
      <c r="G240" s="11">
        <f t="shared" si="16"/>
        <v>2</v>
      </c>
      <c r="H240" s="11"/>
      <c r="I240" s="1">
        <f t="shared" si="19"/>
        <v>237</v>
      </c>
      <c r="J240" s="2" t="s">
        <v>1252</v>
      </c>
      <c r="K240" s="9">
        <v>1</v>
      </c>
      <c r="L240" s="11">
        <v>3</v>
      </c>
      <c r="M240" s="2"/>
      <c r="N240" s="1">
        <v>248</v>
      </c>
      <c r="O240" s="2" t="s">
        <v>1348</v>
      </c>
      <c r="P240" s="9">
        <v>1</v>
      </c>
      <c r="Q240" s="11">
        <v>2</v>
      </c>
    </row>
    <row r="241" spans="1:17" ht="100.8" x14ac:dyDescent="0.3">
      <c r="A241" s="1">
        <f t="shared" si="18"/>
        <v>238</v>
      </c>
      <c r="B241" s="2" t="s">
        <v>1111</v>
      </c>
      <c r="C241">
        <v>3</v>
      </c>
      <c r="D241" s="1">
        <f t="shared" si="17"/>
        <v>238</v>
      </c>
      <c r="E241" s="2" t="s">
        <v>1398</v>
      </c>
      <c r="F241" s="9">
        <f t="shared" si="15"/>
        <v>1</v>
      </c>
      <c r="G241" s="11">
        <f t="shared" si="16"/>
        <v>2</v>
      </c>
      <c r="H241" s="11"/>
      <c r="I241" s="1">
        <f t="shared" si="19"/>
        <v>238</v>
      </c>
      <c r="J241" s="2" t="s">
        <v>1259</v>
      </c>
      <c r="K241" s="9">
        <v>1</v>
      </c>
      <c r="L241" s="11">
        <v>3</v>
      </c>
      <c r="M241" s="2"/>
      <c r="N241" s="1">
        <v>249</v>
      </c>
      <c r="O241" s="2" t="s">
        <v>1367</v>
      </c>
      <c r="P241" s="9">
        <v>1</v>
      </c>
      <c r="Q241" s="11">
        <v>2</v>
      </c>
    </row>
    <row r="242" spans="1:17" ht="72" x14ac:dyDescent="0.3">
      <c r="A242" s="1">
        <f t="shared" si="18"/>
        <v>239</v>
      </c>
      <c r="B242" s="2" t="s">
        <v>1115</v>
      </c>
      <c r="C242">
        <v>3</v>
      </c>
      <c r="D242" s="1">
        <f t="shared" si="17"/>
        <v>239</v>
      </c>
      <c r="E242" s="2" t="s">
        <v>1403</v>
      </c>
      <c r="F242" s="9">
        <f t="shared" si="15"/>
        <v>1</v>
      </c>
      <c r="G242" s="11">
        <f t="shared" si="16"/>
        <v>2</v>
      </c>
      <c r="H242" s="11"/>
      <c r="I242" s="1">
        <f t="shared" si="19"/>
        <v>239</v>
      </c>
      <c r="J242" s="2" t="s">
        <v>1265</v>
      </c>
      <c r="K242" s="9">
        <v>1</v>
      </c>
      <c r="L242" s="11">
        <v>3</v>
      </c>
      <c r="M242" s="2"/>
      <c r="N242" s="1">
        <v>250</v>
      </c>
      <c r="O242" s="2" t="s">
        <v>1370</v>
      </c>
      <c r="P242" s="9">
        <v>1</v>
      </c>
      <c r="Q242" s="11">
        <v>2</v>
      </c>
    </row>
    <row r="243" spans="1:17" ht="230.4" x14ac:dyDescent="0.3">
      <c r="A243" s="1">
        <f t="shared" si="18"/>
        <v>240</v>
      </c>
      <c r="B243" s="2" t="s">
        <v>1120</v>
      </c>
      <c r="C243">
        <v>3</v>
      </c>
      <c r="D243" s="1">
        <f t="shared" si="17"/>
        <v>240</v>
      </c>
      <c r="E243" s="2" t="s">
        <v>1410</v>
      </c>
      <c r="F243" s="9">
        <f t="shared" si="15"/>
        <v>1</v>
      </c>
      <c r="G243" s="11">
        <f t="shared" si="16"/>
        <v>2</v>
      </c>
      <c r="H243" s="11"/>
      <c r="I243" s="1">
        <f t="shared" si="19"/>
        <v>240</v>
      </c>
      <c r="J243" s="2" t="s">
        <v>1273</v>
      </c>
      <c r="K243" s="9">
        <v>1</v>
      </c>
      <c r="L243" s="11">
        <v>2</v>
      </c>
      <c r="M243" s="2"/>
      <c r="N243" s="1">
        <v>251</v>
      </c>
      <c r="O243" s="2" t="s">
        <v>1374</v>
      </c>
      <c r="P243" s="9">
        <v>1</v>
      </c>
      <c r="Q243" s="11">
        <v>2</v>
      </c>
    </row>
    <row r="244" spans="1:17" ht="72" x14ac:dyDescent="0.3">
      <c r="A244" s="1">
        <f t="shared" si="18"/>
        <v>241</v>
      </c>
      <c r="B244" s="2" t="s">
        <v>996</v>
      </c>
      <c r="C244">
        <v>3</v>
      </c>
      <c r="D244" s="1">
        <f t="shared" si="17"/>
        <v>241</v>
      </c>
      <c r="E244" s="2" t="s">
        <v>1416</v>
      </c>
      <c r="F244" s="9">
        <f t="shared" si="15"/>
        <v>1</v>
      </c>
      <c r="G244" s="11">
        <f t="shared" si="16"/>
        <v>2</v>
      </c>
      <c r="H244" s="11"/>
      <c r="I244" s="1">
        <f t="shared" si="19"/>
        <v>241</v>
      </c>
      <c r="J244" s="2" t="s">
        <v>1283</v>
      </c>
      <c r="K244" s="9">
        <v>1</v>
      </c>
      <c r="L244" s="11">
        <v>2</v>
      </c>
      <c r="M244" s="2"/>
      <c r="N244" s="1">
        <v>252</v>
      </c>
      <c r="O244" s="2" t="s">
        <v>1385</v>
      </c>
      <c r="P244" s="9">
        <v>1</v>
      </c>
      <c r="Q244" s="11">
        <v>2</v>
      </c>
    </row>
    <row r="245" spans="1:17" ht="158.4" x14ac:dyDescent="0.3">
      <c r="A245" s="1">
        <f t="shared" si="18"/>
        <v>242</v>
      </c>
      <c r="B245" s="2" t="s">
        <v>594</v>
      </c>
      <c r="C245">
        <v>3</v>
      </c>
      <c r="D245" s="1">
        <f t="shared" si="17"/>
        <v>242</v>
      </c>
      <c r="E245" s="2" t="s">
        <v>1422</v>
      </c>
      <c r="F245" s="9">
        <f t="shared" si="15"/>
        <v>1</v>
      </c>
      <c r="G245" s="11">
        <f t="shared" si="16"/>
        <v>2</v>
      </c>
      <c r="H245" s="11"/>
      <c r="I245" s="1">
        <f t="shared" si="19"/>
        <v>242</v>
      </c>
      <c r="J245" s="2" t="s">
        <v>1302</v>
      </c>
      <c r="K245" s="9">
        <v>1</v>
      </c>
      <c r="L245" s="11">
        <v>2</v>
      </c>
      <c r="M245" s="2"/>
      <c r="N245" s="1">
        <v>253</v>
      </c>
      <c r="O245" s="2" t="s">
        <v>1389</v>
      </c>
      <c r="P245" s="9">
        <v>1</v>
      </c>
      <c r="Q245" s="11">
        <v>2</v>
      </c>
    </row>
    <row r="246" spans="1:17" ht="144" x14ac:dyDescent="0.3">
      <c r="A246" s="1">
        <f t="shared" si="18"/>
        <v>243</v>
      </c>
      <c r="B246" s="2" t="s">
        <v>1132</v>
      </c>
      <c r="C246">
        <v>3</v>
      </c>
      <c r="D246" s="1">
        <f t="shared" si="17"/>
        <v>243</v>
      </c>
      <c r="E246" s="2" t="s">
        <v>1428</v>
      </c>
      <c r="F246" s="9">
        <f t="shared" si="15"/>
        <v>1</v>
      </c>
      <c r="G246" s="11">
        <f t="shared" si="16"/>
        <v>2</v>
      </c>
      <c r="H246" s="11"/>
      <c r="I246" s="1">
        <f t="shared" si="19"/>
        <v>243</v>
      </c>
      <c r="J246" s="2" t="s">
        <v>1313</v>
      </c>
      <c r="K246" s="9">
        <v>1</v>
      </c>
      <c r="L246" s="11">
        <v>2</v>
      </c>
      <c r="M246" s="2"/>
      <c r="N246" s="1">
        <v>254</v>
      </c>
      <c r="O246" s="2" t="s">
        <v>1398</v>
      </c>
      <c r="P246" s="9">
        <v>1</v>
      </c>
      <c r="Q246" s="11">
        <v>2</v>
      </c>
    </row>
    <row r="247" spans="1:17" ht="86.4" x14ac:dyDescent="0.3">
      <c r="A247" s="1">
        <f t="shared" si="18"/>
        <v>244</v>
      </c>
      <c r="B247" s="2" t="s">
        <v>1137</v>
      </c>
      <c r="C247">
        <v>3</v>
      </c>
      <c r="D247" s="1">
        <f t="shared" si="17"/>
        <v>244</v>
      </c>
      <c r="E247" s="2" t="s">
        <v>1432</v>
      </c>
      <c r="F247" s="9">
        <f t="shared" si="15"/>
        <v>1</v>
      </c>
      <c r="G247" s="11">
        <f t="shared" si="16"/>
        <v>2</v>
      </c>
      <c r="H247" s="11"/>
      <c r="I247" s="1">
        <f t="shared" si="19"/>
        <v>244</v>
      </c>
      <c r="J247" s="2" t="s">
        <v>1318</v>
      </c>
      <c r="K247" s="9">
        <v>1</v>
      </c>
      <c r="L247" s="11">
        <v>2</v>
      </c>
      <c r="M247" s="2"/>
      <c r="N247" s="1">
        <v>255</v>
      </c>
      <c r="O247" s="2" t="s">
        <v>1403</v>
      </c>
      <c r="P247" s="9">
        <v>1</v>
      </c>
      <c r="Q247" s="11">
        <v>2</v>
      </c>
    </row>
    <row r="248" spans="1:17" ht="144" x14ac:dyDescent="0.3">
      <c r="A248" s="1">
        <f t="shared" si="18"/>
        <v>245</v>
      </c>
      <c r="B248" s="2" t="s">
        <v>486</v>
      </c>
      <c r="C248">
        <v>3</v>
      </c>
      <c r="D248" s="1">
        <f t="shared" si="17"/>
        <v>245</v>
      </c>
      <c r="E248" s="2" t="s">
        <v>1439</v>
      </c>
      <c r="F248" s="9">
        <f t="shared" si="15"/>
        <v>1</v>
      </c>
      <c r="G248" s="11">
        <f t="shared" si="16"/>
        <v>2</v>
      </c>
      <c r="H248" s="11"/>
      <c r="I248" s="1">
        <f t="shared" si="19"/>
        <v>245</v>
      </c>
      <c r="J248" s="2" t="s">
        <v>1325</v>
      </c>
      <c r="K248" s="9">
        <v>1</v>
      </c>
      <c r="L248" s="11">
        <v>2</v>
      </c>
      <c r="M248" s="2"/>
      <c r="N248" s="1">
        <v>256</v>
      </c>
      <c r="O248" s="2" t="s">
        <v>1410</v>
      </c>
      <c r="P248" s="9">
        <v>1</v>
      </c>
      <c r="Q248" s="11">
        <v>2</v>
      </c>
    </row>
    <row r="249" spans="1:17" ht="100.8" x14ac:dyDescent="0.3">
      <c r="A249" s="1">
        <f t="shared" si="18"/>
        <v>246</v>
      </c>
      <c r="B249" s="2" t="s">
        <v>1144</v>
      </c>
      <c r="C249">
        <v>3</v>
      </c>
      <c r="D249" s="1">
        <f t="shared" si="17"/>
        <v>246</v>
      </c>
      <c r="E249" s="2" t="s">
        <v>1443</v>
      </c>
      <c r="F249" s="9">
        <f t="shared" si="15"/>
        <v>1</v>
      </c>
      <c r="G249" s="11">
        <f t="shared" si="16"/>
        <v>2</v>
      </c>
      <c r="H249" s="11"/>
      <c r="I249" s="1">
        <f t="shared" si="19"/>
        <v>246</v>
      </c>
      <c r="J249" s="2" t="s">
        <v>1337</v>
      </c>
      <c r="K249" s="9">
        <v>1</v>
      </c>
      <c r="L249" s="11">
        <v>2</v>
      </c>
      <c r="M249" s="2"/>
      <c r="N249" s="1">
        <v>257</v>
      </c>
      <c r="O249" s="2" t="s">
        <v>1416</v>
      </c>
      <c r="P249" s="9">
        <v>1</v>
      </c>
      <c r="Q249" s="11">
        <v>2</v>
      </c>
    </row>
    <row r="250" spans="1:17" ht="86.4" x14ac:dyDescent="0.3">
      <c r="A250" s="1">
        <f t="shared" si="18"/>
        <v>247</v>
      </c>
      <c r="B250" s="2" t="s">
        <v>1148</v>
      </c>
      <c r="C250">
        <v>3</v>
      </c>
      <c r="D250" s="1">
        <f t="shared" si="17"/>
        <v>247</v>
      </c>
      <c r="E250" s="2" t="s">
        <v>1449</v>
      </c>
      <c r="F250" s="9">
        <f t="shared" si="15"/>
        <v>1</v>
      </c>
      <c r="G250" s="11">
        <f t="shared" si="16"/>
        <v>3</v>
      </c>
      <c r="H250" s="11"/>
      <c r="I250" s="1">
        <f t="shared" si="19"/>
        <v>247</v>
      </c>
      <c r="J250" s="2" t="s">
        <v>1342</v>
      </c>
      <c r="K250" s="9">
        <v>1</v>
      </c>
      <c r="L250" s="11">
        <v>2</v>
      </c>
      <c r="M250" s="2"/>
      <c r="N250" s="1">
        <v>258</v>
      </c>
      <c r="O250" s="2" t="s">
        <v>1422</v>
      </c>
      <c r="P250" s="9">
        <v>1</v>
      </c>
      <c r="Q250" s="11">
        <v>2</v>
      </c>
    </row>
    <row r="251" spans="1:17" ht="158.4" x14ac:dyDescent="0.3">
      <c r="A251" s="1">
        <f t="shared" si="18"/>
        <v>248</v>
      </c>
      <c r="B251" s="2" t="s">
        <v>1151</v>
      </c>
      <c r="C251">
        <v>3</v>
      </c>
      <c r="D251" s="1">
        <f t="shared" si="17"/>
        <v>248</v>
      </c>
      <c r="E251" s="2" t="s">
        <v>1454</v>
      </c>
      <c r="F251" s="9">
        <f t="shared" si="15"/>
        <v>1</v>
      </c>
      <c r="G251" s="11">
        <f t="shared" si="16"/>
        <v>2</v>
      </c>
      <c r="H251" s="11"/>
      <c r="I251" s="1">
        <f t="shared" si="19"/>
        <v>248</v>
      </c>
      <c r="J251" s="2" t="s">
        <v>1348</v>
      </c>
      <c r="K251" s="9">
        <v>1</v>
      </c>
      <c r="L251" s="11">
        <v>2</v>
      </c>
      <c r="M251" s="2"/>
      <c r="N251" s="1">
        <v>259</v>
      </c>
      <c r="O251" s="2" t="s">
        <v>1428</v>
      </c>
      <c r="P251" s="9">
        <v>1</v>
      </c>
      <c r="Q251" s="11">
        <v>2</v>
      </c>
    </row>
    <row r="252" spans="1:17" ht="129.6" x14ac:dyDescent="0.3">
      <c r="A252" s="1">
        <f t="shared" si="18"/>
        <v>249</v>
      </c>
      <c r="B252" s="2" t="s">
        <v>1157</v>
      </c>
      <c r="C252">
        <v>3</v>
      </c>
      <c r="D252" s="1">
        <f t="shared" si="17"/>
        <v>249</v>
      </c>
      <c r="E252" s="2" t="s">
        <v>1460</v>
      </c>
      <c r="F252" s="9">
        <f t="shared" si="15"/>
        <v>1</v>
      </c>
      <c r="G252" s="11">
        <f t="shared" si="16"/>
        <v>2</v>
      </c>
      <c r="H252" s="11"/>
      <c r="I252" s="1">
        <f t="shared" si="19"/>
        <v>249</v>
      </c>
      <c r="J252" s="2" t="s">
        <v>1367</v>
      </c>
      <c r="K252" s="9">
        <v>1</v>
      </c>
      <c r="L252" s="11">
        <v>2</v>
      </c>
      <c r="M252" s="2"/>
      <c r="N252" s="1">
        <v>260</v>
      </c>
      <c r="O252" s="2" t="s">
        <v>1432</v>
      </c>
      <c r="P252" s="9">
        <v>1</v>
      </c>
      <c r="Q252" s="11">
        <v>2</v>
      </c>
    </row>
    <row r="253" spans="1:17" ht="72" x14ac:dyDescent="0.3">
      <c r="A253" s="1">
        <f t="shared" si="18"/>
        <v>250</v>
      </c>
      <c r="B253" s="2" t="s">
        <v>1161</v>
      </c>
      <c r="C253">
        <v>3</v>
      </c>
      <c r="D253" s="1">
        <f t="shared" si="17"/>
        <v>250</v>
      </c>
      <c r="E253" s="2" t="s">
        <v>1464</v>
      </c>
      <c r="F253" s="9">
        <f t="shared" si="15"/>
        <v>1</v>
      </c>
      <c r="G253" s="11">
        <f t="shared" si="16"/>
        <v>3</v>
      </c>
      <c r="H253" s="11"/>
      <c r="I253" s="1">
        <f t="shared" si="19"/>
        <v>250</v>
      </c>
      <c r="J253" s="2" t="s">
        <v>1370</v>
      </c>
      <c r="K253" s="9">
        <v>1</v>
      </c>
      <c r="L253" s="11">
        <v>2</v>
      </c>
      <c r="M253" s="2"/>
      <c r="N253" s="1">
        <v>261</v>
      </c>
      <c r="O253" s="2" t="s">
        <v>1439</v>
      </c>
      <c r="P253" s="9">
        <v>1</v>
      </c>
      <c r="Q253" s="11">
        <v>2</v>
      </c>
    </row>
    <row r="254" spans="1:17" ht="115.2" x14ac:dyDescent="0.3">
      <c r="A254" s="1">
        <f t="shared" si="18"/>
        <v>251</v>
      </c>
      <c r="B254" s="2" t="s">
        <v>1166</v>
      </c>
      <c r="C254">
        <v>3</v>
      </c>
      <c r="D254" s="1">
        <f t="shared" si="17"/>
        <v>251</v>
      </c>
      <c r="E254" s="2" t="s">
        <v>1469</v>
      </c>
      <c r="F254" s="9">
        <f t="shared" si="15"/>
        <v>1</v>
      </c>
      <c r="G254" s="11">
        <f t="shared" si="16"/>
        <v>2</v>
      </c>
      <c r="H254" s="11"/>
      <c r="I254" s="1">
        <f t="shared" si="19"/>
        <v>251</v>
      </c>
      <c r="J254" s="2" t="s">
        <v>1374</v>
      </c>
      <c r="K254" s="9">
        <v>1</v>
      </c>
      <c r="L254" s="11">
        <v>2</v>
      </c>
      <c r="M254" s="2"/>
      <c r="N254" s="1">
        <v>262</v>
      </c>
      <c r="O254" s="2" t="s">
        <v>1443</v>
      </c>
      <c r="P254" s="9">
        <v>1</v>
      </c>
      <c r="Q254" s="11">
        <v>2</v>
      </c>
    </row>
    <row r="255" spans="1:17" ht="115.2" x14ac:dyDescent="0.3">
      <c r="A255" s="1">
        <f t="shared" si="18"/>
        <v>252</v>
      </c>
      <c r="B255" s="2" t="s">
        <v>1173</v>
      </c>
      <c r="C255">
        <v>3</v>
      </c>
      <c r="D255" s="1">
        <f t="shared" si="17"/>
        <v>252</v>
      </c>
      <c r="E255" s="2" t="s">
        <v>1474</v>
      </c>
      <c r="F255" s="9">
        <f t="shared" si="15"/>
        <v>1</v>
      </c>
      <c r="G255" s="11">
        <f t="shared" si="16"/>
        <v>2</v>
      </c>
      <c r="H255" s="11"/>
      <c r="I255" s="1">
        <f t="shared" si="19"/>
        <v>252</v>
      </c>
      <c r="J255" s="2" t="s">
        <v>1385</v>
      </c>
      <c r="K255" s="9">
        <v>1</v>
      </c>
      <c r="L255" s="11">
        <v>2</v>
      </c>
      <c r="M255" s="2"/>
      <c r="N255" s="1">
        <v>263</v>
      </c>
      <c r="O255" s="2" t="s">
        <v>1454</v>
      </c>
      <c r="P255" s="9">
        <v>1</v>
      </c>
      <c r="Q255" s="11">
        <v>2</v>
      </c>
    </row>
    <row r="256" spans="1:17" ht="86.4" x14ac:dyDescent="0.3">
      <c r="A256" s="1">
        <f t="shared" si="18"/>
        <v>253</v>
      </c>
      <c r="B256" s="2" t="s">
        <v>495</v>
      </c>
      <c r="C256">
        <v>3</v>
      </c>
      <c r="D256" s="1">
        <f t="shared" si="17"/>
        <v>253</v>
      </c>
      <c r="E256" s="2" t="s">
        <v>1478</v>
      </c>
      <c r="F256" s="9">
        <f t="shared" si="15"/>
        <v>1</v>
      </c>
      <c r="G256" s="11">
        <f t="shared" si="16"/>
        <v>2</v>
      </c>
      <c r="H256" s="11"/>
      <c r="I256" s="1">
        <f t="shared" si="19"/>
        <v>253</v>
      </c>
      <c r="J256" s="2" t="s">
        <v>1389</v>
      </c>
      <c r="K256" s="9">
        <v>1</v>
      </c>
      <c r="L256" s="11">
        <v>2</v>
      </c>
      <c r="M256" s="2"/>
      <c r="N256" s="1">
        <v>264</v>
      </c>
      <c r="O256" s="2" t="s">
        <v>1460</v>
      </c>
      <c r="P256" s="9">
        <v>1</v>
      </c>
      <c r="Q256" s="11">
        <v>2</v>
      </c>
    </row>
    <row r="257" spans="1:17" ht="144" x14ac:dyDescent="0.3">
      <c r="A257" s="1">
        <f t="shared" si="18"/>
        <v>254</v>
      </c>
      <c r="B257" s="2" t="s">
        <v>1183</v>
      </c>
      <c r="C257">
        <v>3</v>
      </c>
      <c r="D257" s="1">
        <f t="shared" si="17"/>
        <v>254</v>
      </c>
      <c r="E257" s="2" t="s">
        <v>1484</v>
      </c>
      <c r="F257" s="9">
        <f t="shared" si="15"/>
        <v>1</v>
      </c>
      <c r="G257" s="11">
        <f t="shared" si="16"/>
        <v>2</v>
      </c>
      <c r="H257" s="11"/>
      <c r="I257" s="1">
        <f t="shared" si="19"/>
        <v>254</v>
      </c>
      <c r="J257" s="2" t="s">
        <v>1398</v>
      </c>
      <c r="K257" s="9">
        <v>1</v>
      </c>
      <c r="L257" s="11">
        <v>2</v>
      </c>
      <c r="M257" s="2"/>
      <c r="N257" s="1">
        <v>265</v>
      </c>
      <c r="O257" s="2" t="s">
        <v>1469</v>
      </c>
      <c r="P257" s="9">
        <v>1</v>
      </c>
      <c r="Q257" s="11">
        <v>2</v>
      </c>
    </row>
    <row r="258" spans="1:17" ht="100.8" x14ac:dyDescent="0.3">
      <c r="A258" s="1">
        <f t="shared" si="18"/>
        <v>255</v>
      </c>
      <c r="B258" s="2" t="s">
        <v>1186</v>
      </c>
      <c r="C258">
        <v>3</v>
      </c>
      <c r="D258" s="1">
        <f t="shared" si="17"/>
        <v>255</v>
      </c>
      <c r="E258" s="2" t="s">
        <v>1490</v>
      </c>
      <c r="F258" s="9">
        <f t="shared" si="15"/>
        <v>1</v>
      </c>
      <c r="G258" s="11">
        <f t="shared" si="16"/>
        <v>2</v>
      </c>
      <c r="H258" s="11"/>
      <c r="I258" s="1">
        <f t="shared" si="19"/>
        <v>255</v>
      </c>
      <c r="J258" s="2" t="s">
        <v>1403</v>
      </c>
      <c r="K258" s="9">
        <v>1</v>
      </c>
      <c r="L258" s="11">
        <v>2</v>
      </c>
      <c r="M258" s="2"/>
      <c r="N258" s="1">
        <v>266</v>
      </c>
      <c r="O258" s="2" t="s">
        <v>1474</v>
      </c>
      <c r="P258" s="9">
        <v>1</v>
      </c>
      <c r="Q258" s="11">
        <v>2</v>
      </c>
    </row>
    <row r="259" spans="1:17" ht="144" x14ac:dyDescent="0.3">
      <c r="A259" s="1">
        <f t="shared" si="18"/>
        <v>256</v>
      </c>
      <c r="B259" s="2" t="s">
        <v>1189</v>
      </c>
      <c r="C259">
        <v>3</v>
      </c>
      <c r="D259" s="1">
        <f t="shared" si="17"/>
        <v>256</v>
      </c>
      <c r="E259" s="2" t="s">
        <v>1495</v>
      </c>
      <c r="F259" s="9">
        <f t="shared" si="15"/>
        <v>1</v>
      </c>
      <c r="G259" s="11">
        <f t="shared" si="16"/>
        <v>2</v>
      </c>
      <c r="H259" s="11"/>
      <c r="I259" s="1">
        <f t="shared" si="19"/>
        <v>256</v>
      </c>
      <c r="J259" s="2" t="s">
        <v>1410</v>
      </c>
      <c r="K259" s="9">
        <v>1</v>
      </c>
      <c r="L259" s="11">
        <v>2</v>
      </c>
      <c r="M259" s="2"/>
      <c r="N259" s="1">
        <v>267</v>
      </c>
      <c r="O259" s="2" t="s">
        <v>1484</v>
      </c>
      <c r="P259" s="9">
        <v>1</v>
      </c>
      <c r="Q259" s="11">
        <v>2</v>
      </c>
    </row>
    <row r="260" spans="1:17" ht="57.6" x14ac:dyDescent="0.3">
      <c r="A260" s="1">
        <f t="shared" si="18"/>
        <v>257</v>
      </c>
      <c r="B260" s="2" t="s">
        <v>450</v>
      </c>
      <c r="C260">
        <v>3</v>
      </c>
      <c r="D260" s="1">
        <f t="shared" si="17"/>
        <v>257</v>
      </c>
      <c r="E260" s="2" t="s">
        <v>1502</v>
      </c>
      <c r="F260" s="9">
        <f t="shared" ref="F260:F323" si="20">COUNTIF(B260:B882,J260)</f>
        <v>1</v>
      </c>
      <c r="G260" s="11">
        <f t="shared" ref="G260:G323" si="21">SUMIF($B$4:$B$626,E260,$C$4:$C$626)</f>
        <v>1</v>
      </c>
      <c r="H260" s="11"/>
      <c r="I260" s="1">
        <f t="shared" si="19"/>
        <v>257</v>
      </c>
      <c r="J260" s="2" t="s">
        <v>1416</v>
      </c>
      <c r="K260" s="9">
        <v>1</v>
      </c>
      <c r="L260" s="11">
        <v>2</v>
      </c>
      <c r="M260" s="2"/>
      <c r="N260" s="1">
        <v>268</v>
      </c>
      <c r="O260" s="2" t="s">
        <v>1490</v>
      </c>
      <c r="P260" s="9">
        <v>1</v>
      </c>
      <c r="Q260" s="11">
        <v>2</v>
      </c>
    </row>
    <row r="261" spans="1:17" ht="172.8" x14ac:dyDescent="0.3">
      <c r="A261" s="1">
        <f t="shared" si="18"/>
        <v>258</v>
      </c>
      <c r="B261" s="2" t="s">
        <v>1196</v>
      </c>
      <c r="C261">
        <v>3</v>
      </c>
      <c r="D261" s="1">
        <f t="shared" ref="D261:D324" si="22">+D260+1</f>
        <v>258</v>
      </c>
      <c r="E261" s="2" t="s">
        <v>1507</v>
      </c>
      <c r="F261" s="9">
        <f t="shared" si="20"/>
        <v>1</v>
      </c>
      <c r="G261" s="11">
        <f t="shared" si="21"/>
        <v>1</v>
      </c>
      <c r="H261" s="11"/>
      <c r="I261" s="1">
        <f t="shared" si="19"/>
        <v>258</v>
      </c>
      <c r="J261" s="2" t="s">
        <v>1422</v>
      </c>
      <c r="K261" s="9">
        <v>1</v>
      </c>
      <c r="L261" s="11">
        <v>2</v>
      </c>
      <c r="M261" s="2"/>
      <c r="N261" s="1">
        <v>269</v>
      </c>
      <c r="O261" s="2" t="s">
        <v>1495</v>
      </c>
      <c r="P261" s="9">
        <v>1</v>
      </c>
      <c r="Q261" s="11">
        <v>2</v>
      </c>
    </row>
    <row r="262" spans="1:17" ht="86.4" x14ac:dyDescent="0.3">
      <c r="A262" s="1">
        <f t="shared" ref="A262:A325" si="23">+A261+1</f>
        <v>259</v>
      </c>
      <c r="B262" s="2" t="s">
        <v>1201</v>
      </c>
      <c r="C262">
        <v>3</v>
      </c>
      <c r="D262" s="1">
        <f t="shared" si="22"/>
        <v>259</v>
      </c>
      <c r="E262" s="2" t="s">
        <v>1513</v>
      </c>
      <c r="F262" s="9">
        <f t="shared" si="20"/>
        <v>1</v>
      </c>
      <c r="G262" s="11">
        <f t="shared" si="21"/>
        <v>2</v>
      </c>
      <c r="H262" s="11"/>
      <c r="I262" s="1">
        <f t="shared" ref="I262:I325" si="24">+I261+1</f>
        <v>259</v>
      </c>
      <c r="J262" s="2" t="s">
        <v>1428</v>
      </c>
      <c r="K262" s="9">
        <v>1</v>
      </c>
      <c r="L262" s="11">
        <v>2</v>
      </c>
      <c r="M262" s="2"/>
      <c r="N262" s="1">
        <v>8</v>
      </c>
      <c r="O262" s="2" t="s">
        <v>1729</v>
      </c>
      <c r="P262" s="9">
        <v>6</v>
      </c>
      <c r="Q262" s="11">
        <v>1</v>
      </c>
    </row>
    <row r="263" spans="1:17" ht="72" x14ac:dyDescent="0.3">
      <c r="A263" s="1">
        <f t="shared" si="23"/>
        <v>260</v>
      </c>
      <c r="B263" s="2" t="s">
        <v>1206</v>
      </c>
      <c r="C263">
        <v>3</v>
      </c>
      <c r="D263" s="1">
        <f t="shared" si="22"/>
        <v>260</v>
      </c>
      <c r="E263" s="2" t="s">
        <v>1528</v>
      </c>
      <c r="F263" s="9">
        <f t="shared" si="20"/>
        <v>1</v>
      </c>
      <c r="G263" s="11">
        <f t="shared" si="21"/>
        <v>1</v>
      </c>
      <c r="H263" s="11"/>
      <c r="I263" s="1">
        <f t="shared" si="24"/>
        <v>260</v>
      </c>
      <c r="J263" s="2" t="s">
        <v>1432</v>
      </c>
      <c r="K263" s="9">
        <v>1</v>
      </c>
      <c r="L263" s="11">
        <v>2</v>
      </c>
      <c r="M263" s="2"/>
      <c r="N263" s="1">
        <v>67</v>
      </c>
      <c r="O263" s="2" t="s">
        <v>1633</v>
      </c>
      <c r="P263" s="9">
        <v>2</v>
      </c>
      <c r="Q263" s="11">
        <v>1</v>
      </c>
    </row>
    <row r="264" spans="1:17" ht="72" x14ac:dyDescent="0.3">
      <c r="A264" s="1">
        <f t="shared" si="23"/>
        <v>261</v>
      </c>
      <c r="B264" s="2" t="s">
        <v>982</v>
      </c>
      <c r="C264">
        <v>3</v>
      </c>
      <c r="D264" s="1">
        <f t="shared" si="22"/>
        <v>261</v>
      </c>
      <c r="E264" s="2" t="s">
        <v>1535</v>
      </c>
      <c r="F264" s="9">
        <f t="shared" si="20"/>
        <v>1</v>
      </c>
      <c r="G264" s="11">
        <f t="shared" si="21"/>
        <v>1</v>
      </c>
      <c r="H264" s="11"/>
      <c r="I264" s="1">
        <f t="shared" si="24"/>
        <v>261</v>
      </c>
      <c r="J264" s="2" t="s">
        <v>1439</v>
      </c>
      <c r="K264" s="9">
        <v>1</v>
      </c>
      <c r="L264" s="11">
        <v>2</v>
      </c>
      <c r="M264" s="2"/>
      <c r="N264" s="1">
        <v>68</v>
      </c>
      <c r="O264" s="2" t="s">
        <v>1670</v>
      </c>
      <c r="P264" s="9">
        <v>2</v>
      </c>
      <c r="Q264" s="11">
        <v>1</v>
      </c>
    </row>
    <row r="265" spans="1:17" ht="57.6" x14ac:dyDescent="0.3">
      <c r="A265" s="1">
        <f t="shared" si="23"/>
        <v>262</v>
      </c>
      <c r="B265" s="2" t="s">
        <v>1216</v>
      </c>
      <c r="C265">
        <v>3</v>
      </c>
      <c r="D265" s="1">
        <f t="shared" si="22"/>
        <v>262</v>
      </c>
      <c r="E265" s="2" t="s">
        <v>1540</v>
      </c>
      <c r="F265" s="9">
        <f t="shared" si="20"/>
        <v>1</v>
      </c>
      <c r="G265" s="11">
        <f t="shared" si="21"/>
        <v>1</v>
      </c>
      <c r="H265" s="11"/>
      <c r="I265" s="1">
        <f t="shared" si="24"/>
        <v>262</v>
      </c>
      <c r="J265" s="2" t="s">
        <v>1443</v>
      </c>
      <c r="K265" s="9">
        <v>1</v>
      </c>
      <c r="L265" s="11">
        <v>2</v>
      </c>
      <c r="M265" s="2"/>
      <c r="N265" s="1">
        <v>69</v>
      </c>
      <c r="O265" s="2" t="s">
        <v>1778</v>
      </c>
      <c r="P265" s="9">
        <v>2</v>
      </c>
      <c r="Q265" s="11">
        <v>1</v>
      </c>
    </row>
    <row r="266" spans="1:17" ht="115.2" x14ac:dyDescent="0.3">
      <c r="A266" s="1">
        <f t="shared" si="23"/>
        <v>263</v>
      </c>
      <c r="B266" s="2" t="s">
        <v>1223</v>
      </c>
      <c r="C266">
        <v>3</v>
      </c>
      <c r="D266" s="1">
        <f t="shared" si="22"/>
        <v>263</v>
      </c>
      <c r="E266" s="2" t="s">
        <v>1545</v>
      </c>
      <c r="F266" s="9">
        <f t="shared" si="20"/>
        <v>1</v>
      </c>
      <c r="G266" s="11">
        <f t="shared" si="21"/>
        <v>1</v>
      </c>
      <c r="H266" s="11"/>
      <c r="I266" s="1">
        <f t="shared" si="24"/>
        <v>263</v>
      </c>
      <c r="J266" s="2" t="s">
        <v>1454</v>
      </c>
      <c r="K266" s="9">
        <v>1</v>
      </c>
      <c r="L266" s="11">
        <v>2</v>
      </c>
      <c r="M266" s="2"/>
      <c r="N266" s="1">
        <v>70</v>
      </c>
      <c r="O266" s="2" t="s">
        <v>1879</v>
      </c>
      <c r="P266" s="9">
        <v>2</v>
      </c>
      <c r="Q266" s="11">
        <v>1</v>
      </c>
    </row>
    <row r="267" spans="1:17" ht="86.4" x14ac:dyDescent="0.3">
      <c r="A267" s="1">
        <f t="shared" si="23"/>
        <v>264</v>
      </c>
      <c r="B267" s="2" t="s">
        <v>1229</v>
      </c>
      <c r="C267">
        <v>3</v>
      </c>
      <c r="D267" s="1">
        <f t="shared" si="22"/>
        <v>264</v>
      </c>
      <c r="E267" s="2" t="s">
        <v>1551</v>
      </c>
      <c r="F267" s="9">
        <f t="shared" si="20"/>
        <v>1</v>
      </c>
      <c r="G267" s="11">
        <f t="shared" si="21"/>
        <v>1</v>
      </c>
      <c r="H267" s="11"/>
      <c r="I267" s="1">
        <f t="shared" si="24"/>
        <v>264</v>
      </c>
      <c r="J267" s="2" t="s">
        <v>1460</v>
      </c>
      <c r="K267" s="9">
        <v>1</v>
      </c>
      <c r="L267" s="11">
        <v>2</v>
      </c>
      <c r="M267" s="2"/>
      <c r="N267" s="1">
        <v>270</v>
      </c>
      <c r="O267" s="2" t="s">
        <v>1502</v>
      </c>
      <c r="P267" s="9">
        <v>1</v>
      </c>
      <c r="Q267" s="11">
        <v>1</v>
      </c>
    </row>
    <row r="268" spans="1:17" ht="129.6" x14ac:dyDescent="0.3">
      <c r="A268" s="1">
        <f t="shared" si="23"/>
        <v>265</v>
      </c>
      <c r="B268" s="2" t="s">
        <v>1234</v>
      </c>
      <c r="C268">
        <v>3</v>
      </c>
      <c r="D268" s="1">
        <f t="shared" si="22"/>
        <v>265</v>
      </c>
      <c r="E268" s="2" t="s">
        <v>1559</v>
      </c>
      <c r="F268" s="9">
        <f t="shared" si="20"/>
        <v>1</v>
      </c>
      <c r="G268" s="11">
        <f t="shared" si="21"/>
        <v>1</v>
      </c>
      <c r="H268" s="11"/>
      <c r="I268" s="1">
        <f t="shared" si="24"/>
        <v>265</v>
      </c>
      <c r="J268" s="2" t="s">
        <v>1469</v>
      </c>
      <c r="K268" s="9">
        <v>1</v>
      </c>
      <c r="L268" s="11">
        <v>2</v>
      </c>
      <c r="M268" s="2"/>
      <c r="N268" s="1">
        <v>271</v>
      </c>
      <c r="O268" s="2" t="s">
        <v>1507</v>
      </c>
      <c r="P268" s="9">
        <v>1</v>
      </c>
      <c r="Q268" s="11">
        <v>1</v>
      </c>
    </row>
    <row r="269" spans="1:17" ht="43.2" x14ac:dyDescent="0.3">
      <c r="A269" s="1">
        <f t="shared" si="23"/>
        <v>266</v>
      </c>
      <c r="B269" s="2" t="s">
        <v>1240</v>
      </c>
      <c r="C269">
        <v>3</v>
      </c>
      <c r="D269" s="1">
        <f t="shared" si="22"/>
        <v>266</v>
      </c>
      <c r="E269" s="2" t="s">
        <v>1564</v>
      </c>
      <c r="F269" s="9">
        <f t="shared" si="20"/>
        <v>1</v>
      </c>
      <c r="G269" s="11">
        <f t="shared" si="21"/>
        <v>1</v>
      </c>
      <c r="H269" s="11"/>
      <c r="I269" s="1">
        <f t="shared" si="24"/>
        <v>266</v>
      </c>
      <c r="J269" s="2" t="s">
        <v>1474</v>
      </c>
      <c r="K269" s="9">
        <v>1</v>
      </c>
      <c r="L269" s="11">
        <v>2</v>
      </c>
      <c r="M269" s="2"/>
      <c r="N269" s="1">
        <v>272</v>
      </c>
      <c r="O269" s="2" t="s">
        <v>1528</v>
      </c>
      <c r="P269" s="9">
        <v>1</v>
      </c>
      <c r="Q269" s="11">
        <v>1</v>
      </c>
    </row>
    <row r="270" spans="1:17" ht="115.2" x14ac:dyDescent="0.3">
      <c r="A270" s="1">
        <f t="shared" si="23"/>
        <v>267</v>
      </c>
      <c r="B270" s="2" t="s">
        <v>1246</v>
      </c>
      <c r="C270">
        <v>3</v>
      </c>
      <c r="D270" s="1">
        <f t="shared" si="22"/>
        <v>267</v>
      </c>
      <c r="E270" s="2" t="s">
        <v>1569</v>
      </c>
      <c r="F270" s="9">
        <f t="shared" si="20"/>
        <v>1</v>
      </c>
      <c r="G270" s="11">
        <f t="shared" si="21"/>
        <v>1</v>
      </c>
      <c r="H270" s="11"/>
      <c r="I270" s="1">
        <f t="shared" si="24"/>
        <v>267</v>
      </c>
      <c r="J270" s="2" t="s">
        <v>1484</v>
      </c>
      <c r="K270" s="9">
        <v>1</v>
      </c>
      <c r="L270" s="11">
        <v>2</v>
      </c>
      <c r="M270" s="2"/>
      <c r="N270" s="1">
        <v>273</v>
      </c>
      <c r="O270" s="2" t="s">
        <v>1535</v>
      </c>
      <c r="P270" s="9">
        <v>1</v>
      </c>
      <c r="Q270" s="11">
        <v>1</v>
      </c>
    </row>
    <row r="271" spans="1:17" ht="57.6" x14ac:dyDescent="0.3">
      <c r="A271" s="1">
        <f t="shared" si="23"/>
        <v>268</v>
      </c>
      <c r="B271" s="2" t="s">
        <v>1252</v>
      </c>
      <c r="C271">
        <v>3</v>
      </c>
      <c r="D271" s="1">
        <f t="shared" si="22"/>
        <v>268</v>
      </c>
      <c r="E271" s="2" t="s">
        <v>1575</v>
      </c>
      <c r="F271" s="9">
        <f t="shared" si="20"/>
        <v>1</v>
      </c>
      <c r="G271" s="11">
        <f t="shared" si="21"/>
        <v>1</v>
      </c>
      <c r="H271" s="11"/>
      <c r="I271" s="1">
        <f t="shared" si="24"/>
        <v>268</v>
      </c>
      <c r="J271" s="2" t="s">
        <v>1490</v>
      </c>
      <c r="K271" s="9">
        <v>1</v>
      </c>
      <c r="L271" s="11">
        <v>2</v>
      </c>
      <c r="M271" s="2"/>
      <c r="N271" s="1">
        <v>274</v>
      </c>
      <c r="O271" s="2" t="s">
        <v>1540</v>
      </c>
      <c r="P271" s="9">
        <v>1</v>
      </c>
      <c r="Q271" s="11">
        <v>1</v>
      </c>
    </row>
    <row r="272" spans="1:17" ht="57.6" x14ac:dyDescent="0.3">
      <c r="A272" s="1">
        <f t="shared" si="23"/>
        <v>269</v>
      </c>
      <c r="B272" s="2" t="s">
        <v>1259</v>
      </c>
      <c r="C272">
        <v>3</v>
      </c>
      <c r="D272" s="1">
        <f t="shared" si="22"/>
        <v>269</v>
      </c>
      <c r="E272" s="2" t="s">
        <v>1582</v>
      </c>
      <c r="F272" s="9">
        <f t="shared" si="20"/>
        <v>1</v>
      </c>
      <c r="G272" s="11">
        <f t="shared" si="21"/>
        <v>1</v>
      </c>
      <c r="H272" s="11"/>
      <c r="I272" s="1">
        <f t="shared" si="24"/>
        <v>269</v>
      </c>
      <c r="J272" s="2" t="s">
        <v>1495</v>
      </c>
      <c r="K272" s="9">
        <v>1</v>
      </c>
      <c r="L272" s="11">
        <v>2</v>
      </c>
      <c r="M272" s="2"/>
      <c r="N272" s="1">
        <v>275</v>
      </c>
      <c r="O272" s="2" t="s">
        <v>1545</v>
      </c>
      <c r="P272" s="9">
        <v>1</v>
      </c>
      <c r="Q272" s="11">
        <v>1</v>
      </c>
    </row>
    <row r="273" spans="1:17" ht="129.6" x14ac:dyDescent="0.3">
      <c r="A273" s="1">
        <f t="shared" si="23"/>
        <v>270</v>
      </c>
      <c r="B273" s="2" t="s">
        <v>1265</v>
      </c>
      <c r="C273">
        <v>3</v>
      </c>
      <c r="D273" s="1">
        <f t="shared" si="22"/>
        <v>270</v>
      </c>
      <c r="E273" s="2" t="s">
        <v>1586</v>
      </c>
      <c r="F273" s="9">
        <f t="shared" si="20"/>
        <v>1</v>
      </c>
      <c r="G273" s="11">
        <f t="shared" si="21"/>
        <v>1</v>
      </c>
      <c r="H273" s="11"/>
      <c r="I273" s="1">
        <f t="shared" si="24"/>
        <v>270</v>
      </c>
      <c r="J273" s="2" t="s">
        <v>1502</v>
      </c>
      <c r="K273" s="9">
        <v>1</v>
      </c>
      <c r="L273" s="11">
        <v>1</v>
      </c>
      <c r="M273" s="2"/>
      <c r="N273" s="1">
        <v>276</v>
      </c>
      <c r="O273" s="2" t="s">
        <v>1551</v>
      </c>
      <c r="P273" s="9">
        <v>1</v>
      </c>
      <c r="Q273" s="11">
        <v>1</v>
      </c>
    </row>
    <row r="274" spans="1:17" ht="129.6" x14ac:dyDescent="0.3">
      <c r="A274" s="1">
        <f t="shared" si="23"/>
        <v>271</v>
      </c>
      <c r="B274" s="2" t="s">
        <v>1269</v>
      </c>
      <c r="C274">
        <v>2</v>
      </c>
      <c r="D274" s="1">
        <f t="shared" si="22"/>
        <v>271</v>
      </c>
      <c r="E274" s="2" t="s">
        <v>1592</v>
      </c>
      <c r="F274" s="9">
        <f t="shared" si="20"/>
        <v>1</v>
      </c>
      <c r="G274" s="11">
        <f t="shared" si="21"/>
        <v>1</v>
      </c>
      <c r="H274" s="11"/>
      <c r="I274" s="1">
        <f t="shared" si="24"/>
        <v>271</v>
      </c>
      <c r="J274" s="2" t="s">
        <v>1507</v>
      </c>
      <c r="K274" s="9">
        <v>1</v>
      </c>
      <c r="L274" s="11">
        <v>1</v>
      </c>
      <c r="M274" s="2"/>
      <c r="N274" s="1">
        <v>277</v>
      </c>
      <c r="O274" s="2" t="s">
        <v>1559</v>
      </c>
      <c r="P274" s="9">
        <v>1</v>
      </c>
      <c r="Q274" s="11">
        <v>1</v>
      </c>
    </row>
    <row r="275" spans="1:17" ht="43.2" x14ac:dyDescent="0.3">
      <c r="A275" s="1">
        <f t="shared" si="23"/>
        <v>272</v>
      </c>
      <c r="B275" s="2" t="s">
        <v>1273</v>
      </c>
      <c r="C275">
        <v>2</v>
      </c>
      <c r="D275" s="1">
        <f t="shared" si="22"/>
        <v>272</v>
      </c>
      <c r="E275" s="2" t="s">
        <v>1596</v>
      </c>
      <c r="F275" s="9">
        <f t="shared" si="20"/>
        <v>1</v>
      </c>
      <c r="G275" s="11">
        <f t="shared" si="21"/>
        <v>1</v>
      </c>
      <c r="H275" s="11"/>
      <c r="I275" s="1">
        <f t="shared" si="24"/>
        <v>272</v>
      </c>
      <c r="J275" s="2" t="s">
        <v>1528</v>
      </c>
      <c r="K275" s="9">
        <v>1</v>
      </c>
      <c r="L275" s="11">
        <v>1</v>
      </c>
      <c r="M275" s="2"/>
      <c r="N275" s="1">
        <v>278</v>
      </c>
      <c r="O275" s="2" t="s">
        <v>1564</v>
      </c>
      <c r="P275" s="9">
        <v>1</v>
      </c>
      <c r="Q275" s="11">
        <v>1</v>
      </c>
    </row>
    <row r="276" spans="1:17" ht="86.4" x14ac:dyDescent="0.3">
      <c r="A276" s="1">
        <f t="shared" si="23"/>
        <v>273</v>
      </c>
      <c r="B276" s="2" t="s">
        <v>48</v>
      </c>
      <c r="C276">
        <v>2</v>
      </c>
      <c r="D276" s="1">
        <f t="shared" si="22"/>
        <v>273</v>
      </c>
      <c r="E276" s="2" t="s">
        <v>1600</v>
      </c>
      <c r="F276" s="9">
        <f t="shared" si="20"/>
        <v>1</v>
      </c>
      <c r="G276" s="11">
        <f t="shared" si="21"/>
        <v>1</v>
      </c>
      <c r="H276" s="11"/>
      <c r="I276" s="1">
        <f t="shared" si="24"/>
        <v>273</v>
      </c>
      <c r="J276" s="2" t="s">
        <v>1535</v>
      </c>
      <c r="K276" s="9">
        <v>1</v>
      </c>
      <c r="L276" s="11">
        <v>1</v>
      </c>
      <c r="M276" s="2"/>
      <c r="N276" s="1">
        <v>279</v>
      </c>
      <c r="O276" s="2" t="s">
        <v>1569</v>
      </c>
      <c r="P276" s="9">
        <v>1</v>
      </c>
      <c r="Q276" s="11">
        <v>1</v>
      </c>
    </row>
    <row r="277" spans="1:17" ht="43.2" x14ac:dyDescent="0.3">
      <c r="A277" s="1">
        <f t="shared" si="23"/>
        <v>274</v>
      </c>
      <c r="B277" s="2" t="s">
        <v>1283</v>
      </c>
      <c r="C277">
        <v>2</v>
      </c>
      <c r="D277" s="1">
        <f t="shared" si="22"/>
        <v>274</v>
      </c>
      <c r="E277" s="2" t="s">
        <v>1605</v>
      </c>
      <c r="F277" s="9">
        <f t="shared" si="20"/>
        <v>1</v>
      </c>
      <c r="G277" s="11">
        <f t="shared" si="21"/>
        <v>1</v>
      </c>
      <c r="H277" s="11"/>
      <c r="I277" s="1">
        <f t="shared" si="24"/>
        <v>274</v>
      </c>
      <c r="J277" s="2" t="s">
        <v>1540</v>
      </c>
      <c r="K277" s="9">
        <v>1</v>
      </c>
      <c r="L277" s="11">
        <v>1</v>
      </c>
      <c r="M277" s="2"/>
      <c r="N277" s="1">
        <v>280</v>
      </c>
      <c r="O277" s="2" t="s">
        <v>1575</v>
      </c>
      <c r="P277" s="9">
        <v>1</v>
      </c>
      <c r="Q277" s="11">
        <v>1</v>
      </c>
    </row>
    <row r="278" spans="1:17" ht="43.2" x14ac:dyDescent="0.3">
      <c r="A278" s="1">
        <f t="shared" si="23"/>
        <v>275</v>
      </c>
      <c r="B278" s="2" t="s">
        <v>1288</v>
      </c>
      <c r="C278">
        <v>2</v>
      </c>
      <c r="D278" s="1">
        <f t="shared" si="22"/>
        <v>275</v>
      </c>
      <c r="E278" s="2" t="s">
        <v>1610</v>
      </c>
      <c r="F278" s="9">
        <f t="shared" si="20"/>
        <v>1</v>
      </c>
      <c r="G278" s="11">
        <f t="shared" si="21"/>
        <v>1</v>
      </c>
      <c r="H278" s="11"/>
      <c r="I278" s="1">
        <f t="shared" si="24"/>
        <v>275</v>
      </c>
      <c r="J278" s="2" t="s">
        <v>1545</v>
      </c>
      <c r="K278" s="9">
        <v>1</v>
      </c>
      <c r="L278" s="11">
        <v>1</v>
      </c>
      <c r="M278" s="2"/>
      <c r="N278" s="1">
        <v>281</v>
      </c>
      <c r="O278" s="2" t="s">
        <v>1582</v>
      </c>
      <c r="P278" s="9">
        <v>1</v>
      </c>
      <c r="Q278" s="11">
        <v>1</v>
      </c>
    </row>
    <row r="279" spans="1:17" ht="115.2" x14ac:dyDescent="0.3">
      <c r="A279" s="1">
        <f t="shared" si="23"/>
        <v>276</v>
      </c>
      <c r="B279" s="2" t="s">
        <v>1292</v>
      </c>
      <c r="C279">
        <v>2</v>
      </c>
      <c r="D279" s="1">
        <f t="shared" si="22"/>
        <v>276</v>
      </c>
      <c r="E279" s="2" t="s">
        <v>1615</v>
      </c>
      <c r="F279" s="9">
        <f t="shared" si="20"/>
        <v>1</v>
      </c>
      <c r="G279" s="11">
        <f t="shared" si="21"/>
        <v>1</v>
      </c>
      <c r="H279" s="11"/>
      <c r="I279" s="1">
        <f t="shared" si="24"/>
        <v>276</v>
      </c>
      <c r="J279" s="2" t="s">
        <v>1551</v>
      </c>
      <c r="K279" s="9">
        <v>1</v>
      </c>
      <c r="L279" s="11">
        <v>1</v>
      </c>
      <c r="M279" s="2"/>
      <c r="N279" s="1">
        <v>282</v>
      </c>
      <c r="O279" s="2" t="s">
        <v>1586</v>
      </c>
      <c r="P279" s="9">
        <v>1</v>
      </c>
      <c r="Q279" s="11">
        <v>1</v>
      </c>
    </row>
    <row r="280" spans="1:17" ht="115.2" x14ac:dyDescent="0.3">
      <c r="A280" s="1">
        <f t="shared" si="23"/>
        <v>277</v>
      </c>
      <c r="B280" s="2" t="s">
        <v>581</v>
      </c>
      <c r="C280">
        <v>2</v>
      </c>
      <c r="D280" s="1">
        <f t="shared" si="22"/>
        <v>277</v>
      </c>
      <c r="E280" s="2" t="s">
        <v>1619</v>
      </c>
      <c r="F280" s="9">
        <f t="shared" si="20"/>
        <v>1</v>
      </c>
      <c r="G280" s="11">
        <f t="shared" si="21"/>
        <v>1</v>
      </c>
      <c r="H280" s="11"/>
      <c r="I280" s="1">
        <f t="shared" si="24"/>
        <v>277</v>
      </c>
      <c r="J280" s="2" t="s">
        <v>1559</v>
      </c>
      <c r="K280" s="9">
        <v>1</v>
      </c>
      <c r="L280" s="11">
        <v>1</v>
      </c>
      <c r="M280" s="2"/>
      <c r="N280" s="1">
        <v>283</v>
      </c>
      <c r="O280" s="2" t="s">
        <v>1592</v>
      </c>
      <c r="P280" s="9">
        <v>1</v>
      </c>
      <c r="Q280" s="11">
        <v>1</v>
      </c>
    </row>
    <row r="281" spans="1:17" ht="86.4" x14ac:dyDescent="0.3">
      <c r="A281" s="1">
        <f t="shared" si="23"/>
        <v>278</v>
      </c>
      <c r="B281" s="2" t="s">
        <v>1302</v>
      </c>
      <c r="C281">
        <v>2</v>
      </c>
      <c r="D281" s="1">
        <f t="shared" si="22"/>
        <v>278</v>
      </c>
      <c r="E281" s="2" t="s">
        <v>1624</v>
      </c>
      <c r="F281" s="9">
        <f t="shared" si="20"/>
        <v>1</v>
      </c>
      <c r="G281" s="11">
        <f t="shared" si="21"/>
        <v>2</v>
      </c>
      <c r="H281" s="11"/>
      <c r="I281" s="1">
        <f t="shared" si="24"/>
        <v>278</v>
      </c>
      <c r="J281" s="2" t="s">
        <v>1564</v>
      </c>
      <c r="K281" s="9">
        <v>1</v>
      </c>
      <c r="L281" s="11">
        <v>1</v>
      </c>
      <c r="M281" s="2"/>
      <c r="N281" s="1">
        <v>284</v>
      </c>
      <c r="O281" s="2" t="s">
        <v>1596</v>
      </c>
      <c r="P281" s="9">
        <v>1</v>
      </c>
      <c r="Q281" s="11">
        <v>1</v>
      </c>
    </row>
    <row r="282" spans="1:17" ht="86.4" x14ac:dyDescent="0.3">
      <c r="A282" s="1">
        <f t="shared" si="23"/>
        <v>279</v>
      </c>
      <c r="B282" s="2" t="s">
        <v>48</v>
      </c>
      <c r="C282">
        <v>2</v>
      </c>
      <c r="D282" s="1">
        <f t="shared" si="22"/>
        <v>279</v>
      </c>
      <c r="E282" s="2" t="s">
        <v>1628</v>
      </c>
      <c r="F282" s="9">
        <f t="shared" si="20"/>
        <v>1</v>
      </c>
      <c r="G282" s="11">
        <f t="shared" si="21"/>
        <v>1</v>
      </c>
      <c r="H282" s="11"/>
      <c r="I282" s="1">
        <f t="shared" si="24"/>
        <v>279</v>
      </c>
      <c r="J282" s="2" t="s">
        <v>1569</v>
      </c>
      <c r="K282" s="9">
        <v>1</v>
      </c>
      <c r="L282" s="11">
        <v>1</v>
      </c>
      <c r="M282" s="2"/>
      <c r="N282" s="1">
        <v>285</v>
      </c>
      <c r="O282" s="2" t="s">
        <v>1600</v>
      </c>
      <c r="P282" s="9">
        <v>1</v>
      </c>
      <c r="Q282" s="11">
        <v>1</v>
      </c>
    </row>
    <row r="283" spans="1:17" ht="100.8" x14ac:dyDescent="0.3">
      <c r="A283" s="1">
        <f t="shared" si="23"/>
        <v>280</v>
      </c>
      <c r="B283" s="2" t="s">
        <v>157</v>
      </c>
      <c r="C283">
        <v>2</v>
      </c>
      <c r="D283" s="1">
        <f t="shared" si="22"/>
        <v>280</v>
      </c>
      <c r="E283" s="2" t="s">
        <v>1633</v>
      </c>
      <c r="F283" s="9">
        <f t="shared" si="20"/>
        <v>1</v>
      </c>
      <c r="G283" s="11">
        <f t="shared" si="21"/>
        <v>1</v>
      </c>
      <c r="H283" s="11"/>
      <c r="I283" s="1">
        <f t="shared" si="24"/>
        <v>280</v>
      </c>
      <c r="J283" s="2" t="s">
        <v>1575</v>
      </c>
      <c r="K283" s="9">
        <v>1</v>
      </c>
      <c r="L283" s="11">
        <v>1</v>
      </c>
      <c r="M283" s="2"/>
      <c r="N283" s="1">
        <v>286</v>
      </c>
      <c r="O283" s="2" t="s">
        <v>1605</v>
      </c>
      <c r="P283" s="9">
        <v>1</v>
      </c>
      <c r="Q283" s="11">
        <v>1</v>
      </c>
    </row>
    <row r="284" spans="1:17" ht="86.4" x14ac:dyDescent="0.3">
      <c r="A284" s="1">
        <f t="shared" si="23"/>
        <v>281</v>
      </c>
      <c r="B284" s="2" t="s">
        <v>1313</v>
      </c>
      <c r="C284">
        <v>2</v>
      </c>
      <c r="D284" s="1">
        <f t="shared" si="22"/>
        <v>281</v>
      </c>
      <c r="E284" s="2" t="s">
        <v>1651</v>
      </c>
      <c r="F284" s="9">
        <f t="shared" si="20"/>
        <v>1</v>
      </c>
      <c r="G284" s="11">
        <f t="shared" si="21"/>
        <v>1</v>
      </c>
      <c r="H284" s="11"/>
      <c r="I284" s="1">
        <f t="shared" si="24"/>
        <v>281</v>
      </c>
      <c r="J284" s="2" t="s">
        <v>1582</v>
      </c>
      <c r="K284" s="9">
        <v>1</v>
      </c>
      <c r="L284" s="11">
        <v>1</v>
      </c>
      <c r="M284" s="2"/>
      <c r="N284" s="1">
        <v>287</v>
      </c>
      <c r="O284" s="2" t="s">
        <v>1610</v>
      </c>
      <c r="P284" s="9">
        <v>1</v>
      </c>
      <c r="Q284" s="11">
        <v>1</v>
      </c>
    </row>
    <row r="285" spans="1:17" ht="86.4" x14ac:dyDescent="0.3">
      <c r="A285" s="1">
        <f t="shared" si="23"/>
        <v>282</v>
      </c>
      <c r="B285" s="2" t="s">
        <v>1318</v>
      </c>
      <c r="C285">
        <v>2</v>
      </c>
      <c r="D285" s="1">
        <f t="shared" si="22"/>
        <v>282</v>
      </c>
      <c r="E285" s="2" t="s">
        <v>1662</v>
      </c>
      <c r="F285" s="9">
        <f t="shared" si="20"/>
        <v>1</v>
      </c>
      <c r="G285" s="11">
        <f t="shared" si="21"/>
        <v>1</v>
      </c>
      <c r="H285" s="11"/>
      <c r="I285" s="1">
        <f t="shared" si="24"/>
        <v>282</v>
      </c>
      <c r="J285" s="2" t="s">
        <v>1586</v>
      </c>
      <c r="K285" s="9">
        <v>1</v>
      </c>
      <c r="L285" s="11">
        <v>1</v>
      </c>
      <c r="M285" s="2"/>
      <c r="N285" s="1">
        <v>288</v>
      </c>
      <c r="O285" s="2" t="s">
        <v>1615</v>
      </c>
      <c r="P285" s="9">
        <v>1</v>
      </c>
      <c r="Q285" s="11">
        <v>1</v>
      </c>
    </row>
    <row r="286" spans="1:17" ht="72" x14ac:dyDescent="0.3">
      <c r="A286" s="1">
        <f t="shared" si="23"/>
        <v>283</v>
      </c>
      <c r="B286" s="2" t="s">
        <v>486</v>
      </c>
      <c r="C286">
        <v>2</v>
      </c>
      <c r="D286" s="1">
        <f t="shared" si="22"/>
        <v>283</v>
      </c>
      <c r="E286" s="2" t="s">
        <v>1667</v>
      </c>
      <c r="F286" s="9">
        <f t="shared" si="20"/>
        <v>1</v>
      </c>
      <c r="G286" s="11">
        <f t="shared" si="21"/>
        <v>1</v>
      </c>
      <c r="H286" s="11"/>
      <c r="I286" s="1">
        <f t="shared" si="24"/>
        <v>283</v>
      </c>
      <c r="J286" s="2" t="s">
        <v>1592</v>
      </c>
      <c r="K286" s="9">
        <v>1</v>
      </c>
      <c r="L286" s="11">
        <v>1</v>
      </c>
      <c r="M286" s="2"/>
      <c r="N286" s="1">
        <v>289</v>
      </c>
      <c r="O286" s="2" t="s">
        <v>1619</v>
      </c>
      <c r="P286" s="9">
        <v>1</v>
      </c>
      <c r="Q286" s="11">
        <v>1</v>
      </c>
    </row>
    <row r="287" spans="1:17" ht="57.6" x14ac:dyDescent="0.3">
      <c r="A287" s="1">
        <f t="shared" si="23"/>
        <v>284</v>
      </c>
      <c r="B287" s="2" t="s">
        <v>1325</v>
      </c>
      <c r="C287">
        <v>2</v>
      </c>
      <c r="D287" s="1">
        <f t="shared" si="22"/>
        <v>284</v>
      </c>
      <c r="E287" s="2" t="s">
        <v>1670</v>
      </c>
      <c r="F287" s="9">
        <f t="shared" si="20"/>
        <v>1</v>
      </c>
      <c r="G287" s="11">
        <f t="shared" si="21"/>
        <v>1</v>
      </c>
      <c r="H287" s="11"/>
      <c r="I287" s="1">
        <f t="shared" si="24"/>
        <v>284</v>
      </c>
      <c r="J287" s="2" t="s">
        <v>1596</v>
      </c>
      <c r="K287" s="9">
        <v>1</v>
      </c>
      <c r="L287" s="11">
        <v>1</v>
      </c>
      <c r="M287" s="2"/>
      <c r="N287" s="1">
        <v>290</v>
      </c>
      <c r="O287" s="2" t="s">
        <v>1628</v>
      </c>
      <c r="P287" s="9">
        <v>1</v>
      </c>
      <c r="Q287" s="11">
        <v>1</v>
      </c>
    </row>
    <row r="288" spans="1:17" ht="129.6" x14ac:dyDescent="0.3">
      <c r="A288" s="1">
        <f t="shared" si="23"/>
        <v>285</v>
      </c>
      <c r="B288" s="2" t="s">
        <v>63</v>
      </c>
      <c r="C288">
        <v>2</v>
      </c>
      <c r="D288" s="1">
        <f t="shared" si="22"/>
        <v>285</v>
      </c>
      <c r="E288" s="2" t="s">
        <v>1675</v>
      </c>
      <c r="F288" s="9">
        <f t="shared" si="20"/>
        <v>1</v>
      </c>
      <c r="G288" s="11">
        <f t="shared" si="21"/>
        <v>1</v>
      </c>
      <c r="H288" s="11"/>
      <c r="I288" s="1">
        <f t="shared" si="24"/>
        <v>285</v>
      </c>
      <c r="J288" s="2" t="s">
        <v>1600</v>
      </c>
      <c r="K288" s="9">
        <v>1</v>
      </c>
      <c r="L288" s="11">
        <v>1</v>
      </c>
      <c r="M288" s="2"/>
      <c r="N288" s="1">
        <v>291</v>
      </c>
      <c r="O288" s="2" t="s">
        <v>1651</v>
      </c>
      <c r="P288" s="9">
        <v>1</v>
      </c>
      <c r="Q288" s="11">
        <v>1</v>
      </c>
    </row>
    <row r="289" spans="1:17" ht="129.6" x14ac:dyDescent="0.3">
      <c r="A289" s="1">
        <f t="shared" si="23"/>
        <v>286</v>
      </c>
      <c r="B289" s="2" t="s">
        <v>1064</v>
      </c>
      <c r="C289">
        <v>2</v>
      </c>
      <c r="D289" s="1">
        <f t="shared" si="22"/>
        <v>286</v>
      </c>
      <c r="E289" s="2" t="s">
        <v>1685</v>
      </c>
      <c r="F289" s="9">
        <f t="shared" si="20"/>
        <v>1</v>
      </c>
      <c r="G289" s="11">
        <f t="shared" si="21"/>
        <v>1</v>
      </c>
      <c r="H289" s="11"/>
      <c r="I289" s="1">
        <f t="shared" si="24"/>
        <v>286</v>
      </c>
      <c r="J289" s="2" t="s">
        <v>1605</v>
      </c>
      <c r="K289" s="9">
        <v>1</v>
      </c>
      <c r="L289" s="11">
        <v>1</v>
      </c>
      <c r="M289" s="2"/>
      <c r="N289" s="1">
        <v>292</v>
      </c>
      <c r="O289" s="2" t="s">
        <v>1662</v>
      </c>
      <c r="P289" s="9">
        <v>1</v>
      </c>
      <c r="Q289" s="11">
        <v>1</v>
      </c>
    </row>
    <row r="290" spans="1:17" ht="57.6" x14ac:dyDescent="0.3">
      <c r="A290" s="1">
        <f t="shared" si="23"/>
        <v>287</v>
      </c>
      <c r="B290" s="2" t="s">
        <v>1337</v>
      </c>
      <c r="C290">
        <v>2</v>
      </c>
      <c r="D290" s="1">
        <f t="shared" si="22"/>
        <v>287</v>
      </c>
      <c r="E290" s="2" t="s">
        <v>1690</v>
      </c>
      <c r="F290" s="9">
        <f t="shared" si="20"/>
        <v>1</v>
      </c>
      <c r="G290" s="11">
        <f t="shared" si="21"/>
        <v>1</v>
      </c>
      <c r="H290" s="11"/>
      <c r="I290" s="1">
        <f t="shared" si="24"/>
        <v>287</v>
      </c>
      <c r="J290" s="2" t="s">
        <v>1610</v>
      </c>
      <c r="K290" s="9">
        <v>1</v>
      </c>
      <c r="L290" s="11">
        <v>1</v>
      </c>
      <c r="M290" s="2"/>
      <c r="N290" s="1">
        <v>293</v>
      </c>
      <c r="O290" s="2" t="s">
        <v>1667</v>
      </c>
      <c r="P290" s="9">
        <v>1</v>
      </c>
      <c r="Q290" s="11">
        <v>1</v>
      </c>
    </row>
    <row r="291" spans="1:17" ht="86.4" x14ac:dyDescent="0.3">
      <c r="A291" s="1">
        <f t="shared" si="23"/>
        <v>288</v>
      </c>
      <c r="B291" s="2" t="s">
        <v>1342</v>
      </c>
      <c r="C291">
        <v>2</v>
      </c>
      <c r="D291" s="1">
        <f t="shared" si="22"/>
        <v>288</v>
      </c>
      <c r="E291" s="2" t="s">
        <v>1695</v>
      </c>
      <c r="F291" s="9">
        <f t="shared" si="20"/>
        <v>1</v>
      </c>
      <c r="G291" s="11">
        <f t="shared" si="21"/>
        <v>1</v>
      </c>
      <c r="H291" s="11"/>
      <c r="I291" s="1">
        <f t="shared" si="24"/>
        <v>288</v>
      </c>
      <c r="J291" s="2" t="s">
        <v>1615</v>
      </c>
      <c r="K291" s="9">
        <v>1</v>
      </c>
      <c r="L291" s="11">
        <v>1</v>
      </c>
      <c r="M291" s="2"/>
      <c r="N291" s="1">
        <v>294</v>
      </c>
      <c r="O291" s="2" t="s">
        <v>1675</v>
      </c>
      <c r="P291" s="9">
        <v>1</v>
      </c>
      <c r="Q291" s="11">
        <v>1</v>
      </c>
    </row>
    <row r="292" spans="1:17" ht="72" x14ac:dyDescent="0.3">
      <c r="A292" s="1">
        <f t="shared" si="23"/>
        <v>289</v>
      </c>
      <c r="B292" s="2" t="s">
        <v>1348</v>
      </c>
      <c r="C292">
        <v>2</v>
      </c>
      <c r="D292" s="1">
        <f t="shared" si="22"/>
        <v>289</v>
      </c>
      <c r="E292" s="2" t="s">
        <v>1702</v>
      </c>
      <c r="F292" s="9">
        <f t="shared" si="20"/>
        <v>1</v>
      </c>
      <c r="G292" s="11">
        <f t="shared" si="21"/>
        <v>1</v>
      </c>
      <c r="H292" s="11"/>
      <c r="I292" s="1">
        <f t="shared" si="24"/>
        <v>289</v>
      </c>
      <c r="J292" s="2" t="s">
        <v>1619</v>
      </c>
      <c r="K292" s="9">
        <v>1</v>
      </c>
      <c r="L292" s="11">
        <v>1</v>
      </c>
      <c r="M292" s="2"/>
      <c r="N292" s="1">
        <v>295</v>
      </c>
      <c r="O292" s="2" t="s">
        <v>1685</v>
      </c>
      <c r="P292" s="9">
        <v>1</v>
      </c>
      <c r="Q292" s="11">
        <v>1</v>
      </c>
    </row>
    <row r="293" spans="1:17" ht="86.4" x14ac:dyDescent="0.3">
      <c r="A293" s="1">
        <f t="shared" si="23"/>
        <v>290</v>
      </c>
      <c r="B293" s="2" t="s">
        <v>696</v>
      </c>
      <c r="C293">
        <v>2</v>
      </c>
      <c r="D293" s="1">
        <f t="shared" si="22"/>
        <v>290</v>
      </c>
      <c r="E293" s="2" t="s">
        <v>1708</v>
      </c>
      <c r="F293" s="9">
        <f t="shared" si="20"/>
        <v>1</v>
      </c>
      <c r="G293" s="11">
        <f t="shared" si="21"/>
        <v>1</v>
      </c>
      <c r="H293" s="11"/>
      <c r="I293" s="1">
        <f t="shared" si="24"/>
        <v>290</v>
      </c>
      <c r="J293" s="2" t="s">
        <v>1628</v>
      </c>
      <c r="K293" s="9">
        <v>1</v>
      </c>
      <c r="L293" s="11">
        <v>1</v>
      </c>
      <c r="M293" s="2"/>
      <c r="N293" s="1">
        <v>296</v>
      </c>
      <c r="O293" s="2" t="s">
        <v>1690</v>
      </c>
      <c r="P293" s="9">
        <v>1</v>
      </c>
      <c r="Q293" s="11">
        <v>1</v>
      </c>
    </row>
    <row r="294" spans="1:17" ht="72" x14ac:dyDescent="0.3">
      <c r="A294" s="1">
        <f t="shared" si="23"/>
        <v>291</v>
      </c>
      <c r="B294" s="2" t="s">
        <v>48</v>
      </c>
      <c r="C294">
        <v>2</v>
      </c>
      <c r="D294" s="1">
        <f t="shared" si="22"/>
        <v>291</v>
      </c>
      <c r="E294" s="2" t="s">
        <v>1713</v>
      </c>
      <c r="F294" s="9">
        <f t="shared" si="20"/>
        <v>1</v>
      </c>
      <c r="G294" s="11">
        <f t="shared" si="21"/>
        <v>1</v>
      </c>
      <c r="H294" s="11"/>
      <c r="I294" s="1">
        <f t="shared" si="24"/>
        <v>291</v>
      </c>
      <c r="J294" s="2" t="s">
        <v>1651</v>
      </c>
      <c r="K294" s="9">
        <v>1</v>
      </c>
      <c r="L294" s="11">
        <v>1</v>
      </c>
      <c r="M294" s="2"/>
      <c r="N294" s="1">
        <v>297</v>
      </c>
      <c r="O294" s="2" t="s">
        <v>1695</v>
      </c>
      <c r="P294" s="9">
        <v>1</v>
      </c>
      <c r="Q294" s="11">
        <v>1</v>
      </c>
    </row>
    <row r="295" spans="1:17" ht="72" x14ac:dyDescent="0.3">
      <c r="A295" s="1">
        <f t="shared" si="23"/>
        <v>292</v>
      </c>
      <c r="B295" s="2" t="s">
        <v>365</v>
      </c>
      <c r="C295">
        <v>2</v>
      </c>
      <c r="D295" s="1">
        <f t="shared" si="22"/>
        <v>292</v>
      </c>
      <c r="E295" s="2" t="s">
        <v>1718</v>
      </c>
      <c r="F295" s="9">
        <f t="shared" si="20"/>
        <v>1</v>
      </c>
      <c r="G295" s="11">
        <f t="shared" si="21"/>
        <v>1</v>
      </c>
      <c r="H295" s="11"/>
      <c r="I295" s="1">
        <f t="shared" si="24"/>
        <v>292</v>
      </c>
      <c r="J295" s="2" t="s">
        <v>1662</v>
      </c>
      <c r="K295" s="9">
        <v>1</v>
      </c>
      <c r="L295" s="11">
        <v>1</v>
      </c>
      <c r="M295" s="2"/>
      <c r="N295" s="1">
        <v>298</v>
      </c>
      <c r="O295" s="2" t="s">
        <v>1702</v>
      </c>
      <c r="P295" s="9">
        <v>1</v>
      </c>
      <c r="Q295" s="11">
        <v>1</v>
      </c>
    </row>
    <row r="296" spans="1:17" ht="100.8" x14ac:dyDescent="0.3">
      <c r="A296" s="1">
        <f t="shared" si="23"/>
        <v>293</v>
      </c>
      <c r="B296" s="2" t="s">
        <v>365</v>
      </c>
      <c r="C296">
        <v>2</v>
      </c>
      <c r="D296" s="1">
        <f t="shared" si="22"/>
        <v>293</v>
      </c>
      <c r="E296" s="2" t="s">
        <v>1723</v>
      </c>
      <c r="F296" s="9">
        <f t="shared" si="20"/>
        <v>1</v>
      </c>
      <c r="G296" s="11">
        <f t="shared" si="21"/>
        <v>1</v>
      </c>
      <c r="H296" s="11"/>
      <c r="I296" s="1">
        <f t="shared" si="24"/>
        <v>293</v>
      </c>
      <c r="J296" s="2" t="s">
        <v>1667</v>
      </c>
      <c r="K296" s="9">
        <v>1</v>
      </c>
      <c r="L296" s="11">
        <v>1</v>
      </c>
      <c r="M296" s="2"/>
      <c r="N296" s="1">
        <v>299</v>
      </c>
      <c r="O296" s="2" t="s">
        <v>1708</v>
      </c>
      <c r="P296" s="9">
        <v>1</v>
      </c>
      <c r="Q296" s="11">
        <v>1</v>
      </c>
    </row>
    <row r="297" spans="1:17" ht="100.8" x14ac:dyDescent="0.3">
      <c r="A297" s="1">
        <f t="shared" si="23"/>
        <v>294</v>
      </c>
      <c r="B297" s="2" t="s">
        <v>1367</v>
      </c>
      <c r="C297">
        <v>2</v>
      </c>
      <c r="D297" s="1">
        <f t="shared" si="22"/>
        <v>294</v>
      </c>
      <c r="E297" s="2" t="s">
        <v>1729</v>
      </c>
      <c r="F297" s="9">
        <f t="shared" si="20"/>
        <v>1</v>
      </c>
      <c r="G297" s="11">
        <f t="shared" si="21"/>
        <v>1</v>
      </c>
      <c r="H297" s="11"/>
      <c r="I297" s="1">
        <f t="shared" si="24"/>
        <v>294</v>
      </c>
      <c r="J297" s="2" t="s">
        <v>1675</v>
      </c>
      <c r="K297" s="9">
        <v>1</v>
      </c>
      <c r="L297" s="11">
        <v>1</v>
      </c>
      <c r="M297" s="2"/>
      <c r="N297" s="1">
        <v>300</v>
      </c>
      <c r="O297" s="2" t="s">
        <v>1713</v>
      </c>
      <c r="P297" s="9">
        <v>1</v>
      </c>
      <c r="Q297" s="11">
        <v>1</v>
      </c>
    </row>
    <row r="298" spans="1:17" ht="100.8" x14ac:dyDescent="0.3">
      <c r="A298" s="1">
        <f t="shared" si="23"/>
        <v>295</v>
      </c>
      <c r="B298" s="2" t="s">
        <v>1370</v>
      </c>
      <c r="C298">
        <v>2</v>
      </c>
      <c r="D298" s="1">
        <f t="shared" si="22"/>
        <v>295</v>
      </c>
      <c r="E298" s="2" t="s">
        <v>1732</v>
      </c>
      <c r="F298" s="9">
        <f t="shared" si="20"/>
        <v>1</v>
      </c>
      <c r="G298" s="11">
        <f t="shared" si="21"/>
        <v>1</v>
      </c>
      <c r="H298" s="11"/>
      <c r="I298" s="1">
        <f t="shared" si="24"/>
        <v>295</v>
      </c>
      <c r="J298" s="2" t="s">
        <v>1685</v>
      </c>
      <c r="K298" s="9">
        <v>1</v>
      </c>
      <c r="L298" s="11">
        <v>1</v>
      </c>
      <c r="M298" s="2"/>
      <c r="N298" s="1">
        <v>301</v>
      </c>
      <c r="O298" s="2" t="s">
        <v>1718</v>
      </c>
      <c r="P298" s="9">
        <v>1</v>
      </c>
      <c r="Q298" s="11">
        <v>1</v>
      </c>
    </row>
    <row r="299" spans="1:17" ht="100.8" x14ac:dyDescent="0.3">
      <c r="A299" s="1">
        <f t="shared" si="23"/>
        <v>296</v>
      </c>
      <c r="B299" s="2" t="s">
        <v>1374</v>
      </c>
      <c r="C299">
        <v>2</v>
      </c>
      <c r="D299" s="1">
        <f t="shared" si="22"/>
        <v>296</v>
      </c>
      <c r="E299" s="2" t="s">
        <v>1738</v>
      </c>
      <c r="F299" s="9">
        <f t="shared" si="20"/>
        <v>1</v>
      </c>
      <c r="G299" s="11">
        <f t="shared" si="21"/>
        <v>1</v>
      </c>
      <c r="H299" s="11"/>
      <c r="I299" s="1">
        <f t="shared" si="24"/>
        <v>296</v>
      </c>
      <c r="J299" s="2" t="s">
        <v>1690</v>
      </c>
      <c r="K299" s="9">
        <v>1</v>
      </c>
      <c r="L299" s="11">
        <v>1</v>
      </c>
      <c r="M299" s="2"/>
      <c r="N299" s="1">
        <v>302</v>
      </c>
      <c r="O299" s="2" t="s">
        <v>1723</v>
      </c>
      <c r="P299" s="9">
        <v>1</v>
      </c>
      <c r="Q299" s="11">
        <v>1</v>
      </c>
    </row>
    <row r="300" spans="1:17" ht="129.6" x14ac:dyDescent="0.3">
      <c r="A300" s="1">
        <f t="shared" si="23"/>
        <v>297</v>
      </c>
      <c r="B300" s="2" t="s">
        <v>1380</v>
      </c>
      <c r="C300">
        <v>2</v>
      </c>
      <c r="D300" s="1">
        <f t="shared" si="22"/>
        <v>297</v>
      </c>
      <c r="E300" s="2" t="s">
        <v>1744</v>
      </c>
      <c r="F300" s="9">
        <f t="shared" si="20"/>
        <v>1</v>
      </c>
      <c r="G300" s="11">
        <f t="shared" si="21"/>
        <v>1</v>
      </c>
      <c r="H300" s="11"/>
      <c r="I300" s="1">
        <f t="shared" si="24"/>
        <v>297</v>
      </c>
      <c r="J300" s="2" t="s">
        <v>1695</v>
      </c>
      <c r="K300" s="9">
        <v>1</v>
      </c>
      <c r="L300" s="11">
        <v>1</v>
      </c>
      <c r="M300" s="2"/>
      <c r="N300" s="1">
        <v>303</v>
      </c>
      <c r="O300" s="2" t="s">
        <v>1732</v>
      </c>
      <c r="P300" s="9">
        <v>1</v>
      </c>
      <c r="Q300" s="11">
        <v>1</v>
      </c>
    </row>
    <row r="301" spans="1:17" ht="72" x14ac:dyDescent="0.3">
      <c r="A301" s="1">
        <f t="shared" si="23"/>
        <v>298</v>
      </c>
      <c r="B301" s="2" t="s">
        <v>1385</v>
      </c>
      <c r="C301">
        <v>2</v>
      </c>
      <c r="D301" s="1">
        <f t="shared" si="22"/>
        <v>298</v>
      </c>
      <c r="E301" s="2" t="s">
        <v>1751</v>
      </c>
      <c r="F301" s="9">
        <f t="shared" si="20"/>
        <v>1</v>
      </c>
      <c r="G301" s="11">
        <f t="shared" si="21"/>
        <v>1</v>
      </c>
      <c r="H301" s="11"/>
      <c r="I301" s="1">
        <f t="shared" si="24"/>
        <v>298</v>
      </c>
      <c r="J301" s="2" t="s">
        <v>1702</v>
      </c>
      <c r="K301" s="9">
        <v>1</v>
      </c>
      <c r="L301" s="11">
        <v>1</v>
      </c>
      <c r="M301" s="2"/>
      <c r="N301" s="1">
        <v>304</v>
      </c>
      <c r="O301" s="2" t="s">
        <v>1738</v>
      </c>
      <c r="P301" s="9">
        <v>1</v>
      </c>
      <c r="Q301" s="11">
        <v>1</v>
      </c>
    </row>
    <row r="302" spans="1:17" ht="216" x14ac:dyDescent="0.3">
      <c r="A302" s="1">
        <f t="shared" si="23"/>
        <v>299</v>
      </c>
      <c r="B302" s="2" t="s">
        <v>1389</v>
      </c>
      <c r="C302">
        <v>2</v>
      </c>
      <c r="D302" s="1">
        <f t="shared" si="22"/>
        <v>299</v>
      </c>
      <c r="E302" s="2" t="s">
        <v>1756</v>
      </c>
      <c r="F302" s="9">
        <f t="shared" si="20"/>
        <v>1</v>
      </c>
      <c r="G302" s="11">
        <f t="shared" si="21"/>
        <v>1</v>
      </c>
      <c r="H302" s="11"/>
      <c r="I302" s="1">
        <f t="shared" si="24"/>
        <v>299</v>
      </c>
      <c r="J302" s="2" t="s">
        <v>1708</v>
      </c>
      <c r="K302" s="9">
        <v>1</v>
      </c>
      <c r="L302" s="11">
        <v>1</v>
      </c>
      <c r="M302" s="2"/>
      <c r="N302" s="1">
        <v>305</v>
      </c>
      <c r="O302" s="2" t="s">
        <v>1744</v>
      </c>
      <c r="P302" s="9">
        <v>1</v>
      </c>
      <c r="Q302" s="11">
        <v>1</v>
      </c>
    </row>
    <row r="303" spans="1:17" ht="57.6" x14ac:dyDescent="0.3">
      <c r="A303" s="1">
        <f t="shared" si="23"/>
        <v>300</v>
      </c>
      <c r="B303" s="2" t="s">
        <v>1393</v>
      </c>
      <c r="C303">
        <v>2</v>
      </c>
      <c r="D303" s="1">
        <f t="shared" si="22"/>
        <v>300</v>
      </c>
      <c r="E303" s="2" t="s">
        <v>1762</v>
      </c>
      <c r="F303" s="9">
        <f t="shared" si="20"/>
        <v>1</v>
      </c>
      <c r="G303" s="11">
        <f t="shared" si="21"/>
        <v>1</v>
      </c>
      <c r="H303" s="11"/>
      <c r="I303" s="1">
        <f t="shared" si="24"/>
        <v>300</v>
      </c>
      <c r="J303" s="2" t="s">
        <v>1713</v>
      </c>
      <c r="K303" s="9">
        <v>1</v>
      </c>
      <c r="L303" s="11">
        <v>1</v>
      </c>
      <c r="M303" s="2"/>
      <c r="N303" s="1">
        <v>306</v>
      </c>
      <c r="O303" s="2" t="s">
        <v>1751</v>
      </c>
      <c r="P303" s="9">
        <v>1</v>
      </c>
      <c r="Q303" s="11">
        <v>1</v>
      </c>
    </row>
    <row r="304" spans="1:17" ht="158.4" x14ac:dyDescent="0.3">
      <c r="A304" s="1">
        <f t="shared" si="23"/>
        <v>301</v>
      </c>
      <c r="B304" s="2" t="s">
        <v>1398</v>
      </c>
      <c r="C304">
        <v>2</v>
      </c>
      <c r="D304" s="1">
        <f t="shared" si="22"/>
        <v>301</v>
      </c>
      <c r="E304" s="2" t="s">
        <v>1769</v>
      </c>
      <c r="F304" s="9">
        <f t="shared" si="20"/>
        <v>1</v>
      </c>
      <c r="G304" s="11">
        <f t="shared" si="21"/>
        <v>1</v>
      </c>
      <c r="H304" s="11"/>
      <c r="I304" s="1">
        <f t="shared" si="24"/>
        <v>301</v>
      </c>
      <c r="J304" s="2" t="s">
        <v>1718</v>
      </c>
      <c r="K304" s="9">
        <v>1</v>
      </c>
      <c r="L304" s="11">
        <v>1</v>
      </c>
      <c r="M304" s="2"/>
      <c r="N304" s="1">
        <v>307</v>
      </c>
      <c r="O304" s="2" t="s">
        <v>1756</v>
      </c>
      <c r="P304" s="9">
        <v>1</v>
      </c>
      <c r="Q304" s="11">
        <v>1</v>
      </c>
    </row>
    <row r="305" spans="1:17" ht="57.6" x14ac:dyDescent="0.3">
      <c r="A305" s="1">
        <f t="shared" si="23"/>
        <v>302</v>
      </c>
      <c r="B305" s="2" t="s">
        <v>1403</v>
      </c>
      <c r="C305">
        <v>2</v>
      </c>
      <c r="D305" s="1">
        <f t="shared" si="22"/>
        <v>302</v>
      </c>
      <c r="E305" s="2" t="s">
        <v>1778</v>
      </c>
      <c r="F305" s="9">
        <f t="shared" si="20"/>
        <v>1</v>
      </c>
      <c r="G305" s="11">
        <f t="shared" si="21"/>
        <v>1</v>
      </c>
      <c r="H305" s="11"/>
      <c r="I305" s="1">
        <f t="shared" si="24"/>
        <v>302</v>
      </c>
      <c r="J305" s="2" t="s">
        <v>1723</v>
      </c>
      <c r="K305" s="9">
        <v>1</v>
      </c>
      <c r="L305" s="11">
        <v>1</v>
      </c>
      <c r="M305" s="2"/>
      <c r="N305" s="1">
        <v>308</v>
      </c>
      <c r="O305" s="2" t="s">
        <v>1762</v>
      </c>
      <c r="P305" s="9">
        <v>1</v>
      </c>
      <c r="Q305" s="11">
        <v>1</v>
      </c>
    </row>
    <row r="306" spans="1:17" ht="172.8" x14ac:dyDescent="0.3">
      <c r="A306" s="1">
        <f t="shared" si="23"/>
        <v>303</v>
      </c>
      <c r="B306" s="2" t="s">
        <v>1410</v>
      </c>
      <c r="C306">
        <v>2</v>
      </c>
      <c r="D306" s="1">
        <f t="shared" si="22"/>
        <v>303</v>
      </c>
      <c r="E306" s="2" t="s">
        <v>1785</v>
      </c>
      <c r="F306" s="9">
        <f t="shared" si="20"/>
        <v>1</v>
      </c>
      <c r="G306" s="11">
        <f t="shared" si="21"/>
        <v>1</v>
      </c>
      <c r="H306" s="11"/>
      <c r="I306" s="1">
        <f t="shared" si="24"/>
        <v>303</v>
      </c>
      <c r="J306" s="2" t="s">
        <v>1732</v>
      </c>
      <c r="K306" s="9">
        <v>1</v>
      </c>
      <c r="L306" s="11">
        <v>1</v>
      </c>
      <c r="M306" s="2"/>
      <c r="N306" s="1">
        <v>309</v>
      </c>
      <c r="O306" s="2" t="s">
        <v>1769</v>
      </c>
      <c r="P306" s="9">
        <v>1</v>
      </c>
      <c r="Q306" s="11">
        <v>1</v>
      </c>
    </row>
    <row r="307" spans="1:17" ht="129.6" x14ac:dyDescent="0.3">
      <c r="A307" s="1">
        <f t="shared" si="23"/>
        <v>304</v>
      </c>
      <c r="B307" s="2" t="s">
        <v>1416</v>
      </c>
      <c r="C307">
        <v>2</v>
      </c>
      <c r="D307" s="1">
        <f t="shared" si="22"/>
        <v>304</v>
      </c>
      <c r="E307" s="2" t="s">
        <v>1792</v>
      </c>
      <c r="F307" s="9">
        <f t="shared" si="20"/>
        <v>1</v>
      </c>
      <c r="G307" s="11">
        <f t="shared" si="21"/>
        <v>1</v>
      </c>
      <c r="H307" s="11"/>
      <c r="I307" s="1">
        <f t="shared" si="24"/>
        <v>304</v>
      </c>
      <c r="J307" s="2" t="s">
        <v>1738</v>
      </c>
      <c r="K307" s="9">
        <v>1</v>
      </c>
      <c r="L307" s="11">
        <v>1</v>
      </c>
      <c r="M307" s="2"/>
      <c r="N307" s="1">
        <v>310</v>
      </c>
      <c r="O307" s="2" t="s">
        <v>1785</v>
      </c>
      <c r="P307" s="9">
        <v>1</v>
      </c>
      <c r="Q307" s="11">
        <v>1</v>
      </c>
    </row>
    <row r="308" spans="1:17" ht="72" x14ac:dyDescent="0.3">
      <c r="A308" s="1">
        <f t="shared" si="23"/>
        <v>305</v>
      </c>
      <c r="B308" s="2" t="s">
        <v>1422</v>
      </c>
      <c r="C308">
        <v>2</v>
      </c>
      <c r="D308" s="1">
        <f t="shared" si="22"/>
        <v>305</v>
      </c>
      <c r="E308" s="2" t="s">
        <v>1799</v>
      </c>
      <c r="F308" s="9">
        <f t="shared" si="20"/>
        <v>1</v>
      </c>
      <c r="G308" s="11">
        <f t="shared" si="21"/>
        <v>1</v>
      </c>
      <c r="H308" s="11"/>
      <c r="I308" s="1">
        <f t="shared" si="24"/>
        <v>305</v>
      </c>
      <c r="J308" s="2" t="s">
        <v>1744</v>
      </c>
      <c r="K308" s="9">
        <v>1</v>
      </c>
      <c r="L308" s="11">
        <v>1</v>
      </c>
      <c r="M308" s="2"/>
      <c r="N308" s="1">
        <v>311</v>
      </c>
      <c r="O308" s="2" t="s">
        <v>1792</v>
      </c>
      <c r="P308" s="9">
        <v>1</v>
      </c>
      <c r="Q308" s="11">
        <v>1</v>
      </c>
    </row>
    <row r="309" spans="1:17" ht="43.2" x14ac:dyDescent="0.3">
      <c r="A309" s="1">
        <f t="shared" si="23"/>
        <v>306</v>
      </c>
      <c r="B309" s="2" t="s">
        <v>1428</v>
      </c>
      <c r="C309">
        <v>2</v>
      </c>
      <c r="D309" s="1">
        <f t="shared" si="22"/>
        <v>306</v>
      </c>
      <c r="E309" s="2" t="s">
        <v>1803</v>
      </c>
      <c r="F309" s="9">
        <f t="shared" si="20"/>
        <v>1</v>
      </c>
      <c r="G309" s="11">
        <f t="shared" si="21"/>
        <v>1</v>
      </c>
      <c r="H309" s="11"/>
      <c r="I309" s="1">
        <f t="shared" si="24"/>
        <v>306</v>
      </c>
      <c r="J309" s="2" t="s">
        <v>1751</v>
      </c>
      <c r="K309" s="9">
        <v>1</v>
      </c>
      <c r="L309" s="11">
        <v>1</v>
      </c>
      <c r="M309" s="2"/>
      <c r="N309" s="1">
        <v>312</v>
      </c>
      <c r="O309" s="2" t="s">
        <v>1799</v>
      </c>
      <c r="P309" s="9">
        <v>1</v>
      </c>
      <c r="Q309" s="11">
        <v>1</v>
      </c>
    </row>
    <row r="310" spans="1:17" ht="158.4" x14ac:dyDescent="0.3">
      <c r="A310" s="1">
        <f t="shared" si="23"/>
        <v>307</v>
      </c>
      <c r="B310" s="2" t="s">
        <v>1432</v>
      </c>
      <c r="C310">
        <v>2</v>
      </c>
      <c r="D310" s="1">
        <f t="shared" si="22"/>
        <v>307</v>
      </c>
      <c r="E310" s="2" t="s">
        <v>1807</v>
      </c>
      <c r="F310" s="9">
        <f t="shared" si="20"/>
        <v>1</v>
      </c>
      <c r="G310" s="11">
        <f t="shared" si="21"/>
        <v>1</v>
      </c>
      <c r="H310" s="11"/>
      <c r="I310" s="1">
        <f t="shared" si="24"/>
        <v>307</v>
      </c>
      <c r="J310" s="2" t="s">
        <v>1756</v>
      </c>
      <c r="K310" s="9">
        <v>1</v>
      </c>
      <c r="L310" s="11">
        <v>1</v>
      </c>
      <c r="M310" s="2"/>
      <c r="N310" s="1">
        <v>313</v>
      </c>
      <c r="O310" s="2" t="s">
        <v>1803</v>
      </c>
      <c r="P310" s="9">
        <v>1</v>
      </c>
      <c r="Q310" s="11">
        <v>1</v>
      </c>
    </row>
    <row r="311" spans="1:17" ht="86.4" x14ac:dyDescent="0.3">
      <c r="A311" s="1">
        <f t="shared" si="23"/>
        <v>308</v>
      </c>
      <c r="B311" s="2" t="s">
        <v>1234</v>
      </c>
      <c r="C311">
        <v>2</v>
      </c>
      <c r="D311" s="1">
        <f t="shared" si="22"/>
        <v>308</v>
      </c>
      <c r="E311" s="2" t="s">
        <v>1812</v>
      </c>
      <c r="F311" s="9">
        <f t="shared" si="20"/>
        <v>1</v>
      </c>
      <c r="G311" s="11">
        <f t="shared" si="21"/>
        <v>1</v>
      </c>
      <c r="H311" s="11"/>
      <c r="I311" s="1">
        <f t="shared" si="24"/>
        <v>308</v>
      </c>
      <c r="J311" s="2" t="s">
        <v>1762</v>
      </c>
      <c r="K311" s="9">
        <v>1</v>
      </c>
      <c r="L311" s="11">
        <v>1</v>
      </c>
      <c r="M311" s="2"/>
      <c r="N311" s="1">
        <v>314</v>
      </c>
      <c r="O311" s="2" t="s">
        <v>1807</v>
      </c>
      <c r="P311" s="9">
        <v>1</v>
      </c>
      <c r="Q311" s="11">
        <v>1</v>
      </c>
    </row>
    <row r="312" spans="1:17" ht="115.2" x14ac:dyDescent="0.3">
      <c r="A312" s="1">
        <f t="shared" si="23"/>
        <v>309</v>
      </c>
      <c r="B312" s="2" t="s">
        <v>1439</v>
      </c>
      <c r="C312">
        <v>2</v>
      </c>
      <c r="D312" s="1">
        <f t="shared" si="22"/>
        <v>309</v>
      </c>
      <c r="E312" s="2" t="s">
        <v>1820</v>
      </c>
      <c r="F312" s="9">
        <f t="shared" si="20"/>
        <v>1</v>
      </c>
      <c r="G312" s="11">
        <f t="shared" si="21"/>
        <v>1</v>
      </c>
      <c r="H312" s="11"/>
      <c r="I312" s="1">
        <f t="shared" si="24"/>
        <v>309</v>
      </c>
      <c r="J312" s="2" t="s">
        <v>1769</v>
      </c>
      <c r="K312" s="9">
        <v>1</v>
      </c>
      <c r="L312" s="11">
        <v>1</v>
      </c>
      <c r="M312" s="2"/>
      <c r="N312" s="1">
        <v>315</v>
      </c>
      <c r="O312" s="2" t="s">
        <v>1812</v>
      </c>
      <c r="P312" s="9">
        <v>1</v>
      </c>
      <c r="Q312" s="11">
        <v>1</v>
      </c>
    </row>
    <row r="313" spans="1:17" ht="100.8" x14ac:dyDescent="0.3">
      <c r="A313" s="1">
        <f t="shared" si="23"/>
        <v>310</v>
      </c>
      <c r="B313" s="2" t="s">
        <v>1443</v>
      </c>
      <c r="C313">
        <v>2</v>
      </c>
      <c r="D313" s="1">
        <f t="shared" si="22"/>
        <v>310</v>
      </c>
      <c r="E313" s="2" t="s">
        <v>1827</v>
      </c>
      <c r="F313" s="9">
        <f t="shared" si="20"/>
        <v>1</v>
      </c>
      <c r="G313" s="11">
        <f t="shared" si="21"/>
        <v>1</v>
      </c>
      <c r="H313" s="11"/>
      <c r="I313" s="1">
        <f t="shared" si="24"/>
        <v>310</v>
      </c>
      <c r="J313" s="2" t="s">
        <v>1785</v>
      </c>
      <c r="K313" s="9">
        <v>1</v>
      </c>
      <c r="L313" s="11">
        <v>1</v>
      </c>
      <c r="M313" s="2"/>
      <c r="N313" s="1">
        <v>316</v>
      </c>
      <c r="O313" s="2" t="s">
        <v>1820</v>
      </c>
      <c r="P313" s="9">
        <v>1</v>
      </c>
      <c r="Q313" s="11">
        <v>1</v>
      </c>
    </row>
    <row r="314" spans="1:17" ht="72" x14ac:dyDescent="0.3">
      <c r="A314" s="1">
        <f t="shared" si="23"/>
        <v>311</v>
      </c>
      <c r="B314" s="2" t="s">
        <v>1449</v>
      </c>
      <c r="C314">
        <v>2</v>
      </c>
      <c r="D314" s="1">
        <f t="shared" si="22"/>
        <v>311</v>
      </c>
      <c r="E314" s="2" t="s">
        <v>1833</v>
      </c>
      <c r="F314" s="9">
        <f t="shared" si="20"/>
        <v>1</v>
      </c>
      <c r="G314" s="11">
        <f t="shared" si="21"/>
        <v>1</v>
      </c>
      <c r="H314" s="11"/>
      <c r="I314" s="1">
        <f t="shared" si="24"/>
        <v>311</v>
      </c>
      <c r="J314" s="2" t="s">
        <v>1792</v>
      </c>
      <c r="K314" s="9">
        <v>1</v>
      </c>
      <c r="L314" s="11">
        <v>1</v>
      </c>
      <c r="M314" s="2"/>
      <c r="N314" s="1">
        <v>317</v>
      </c>
      <c r="O314" s="2" t="s">
        <v>1827</v>
      </c>
      <c r="P314" s="9">
        <v>1</v>
      </c>
      <c r="Q314" s="11">
        <v>1</v>
      </c>
    </row>
    <row r="315" spans="1:17" ht="129.6" x14ac:dyDescent="0.3">
      <c r="A315" s="1">
        <f t="shared" si="23"/>
        <v>312</v>
      </c>
      <c r="B315" s="2" t="s">
        <v>1454</v>
      </c>
      <c r="C315">
        <v>2</v>
      </c>
      <c r="D315" s="1">
        <f t="shared" si="22"/>
        <v>312</v>
      </c>
      <c r="E315" s="2" t="s">
        <v>1839</v>
      </c>
      <c r="F315" s="9">
        <f t="shared" si="20"/>
        <v>1</v>
      </c>
      <c r="G315" s="11">
        <f t="shared" si="21"/>
        <v>1</v>
      </c>
      <c r="H315" s="11"/>
      <c r="I315" s="1">
        <f t="shared" si="24"/>
        <v>312</v>
      </c>
      <c r="J315" s="2" t="s">
        <v>1799</v>
      </c>
      <c r="K315" s="9">
        <v>1</v>
      </c>
      <c r="L315" s="11">
        <v>1</v>
      </c>
      <c r="M315" s="2"/>
      <c r="N315" s="1">
        <v>318</v>
      </c>
      <c r="O315" s="2" t="s">
        <v>1833</v>
      </c>
      <c r="P315" s="9">
        <v>1</v>
      </c>
      <c r="Q315" s="11">
        <v>1</v>
      </c>
    </row>
    <row r="316" spans="1:17" ht="86.4" x14ac:dyDescent="0.3">
      <c r="A316" s="1">
        <f t="shared" si="23"/>
        <v>313</v>
      </c>
      <c r="B316" s="2" t="s">
        <v>1460</v>
      </c>
      <c r="C316">
        <v>2</v>
      </c>
      <c r="D316" s="1">
        <f t="shared" si="22"/>
        <v>313</v>
      </c>
      <c r="E316" s="2" t="s">
        <v>1846</v>
      </c>
      <c r="F316" s="9">
        <f t="shared" si="20"/>
        <v>1</v>
      </c>
      <c r="G316" s="11">
        <f t="shared" si="21"/>
        <v>1</v>
      </c>
      <c r="H316" s="11"/>
      <c r="I316" s="1">
        <f t="shared" si="24"/>
        <v>313</v>
      </c>
      <c r="J316" s="2" t="s">
        <v>1803</v>
      </c>
      <c r="K316" s="9">
        <v>1</v>
      </c>
      <c r="L316" s="11">
        <v>1</v>
      </c>
      <c r="M316" s="2"/>
      <c r="N316" s="1">
        <v>319</v>
      </c>
      <c r="O316" s="2" t="s">
        <v>1839</v>
      </c>
      <c r="P316" s="9">
        <v>1</v>
      </c>
      <c r="Q316" s="11">
        <v>1</v>
      </c>
    </row>
    <row r="317" spans="1:17" ht="43.2" x14ac:dyDescent="0.3">
      <c r="A317" s="1">
        <f t="shared" si="23"/>
        <v>314</v>
      </c>
      <c r="B317" s="2" t="s">
        <v>1464</v>
      </c>
      <c r="C317">
        <v>2</v>
      </c>
      <c r="D317" s="1">
        <f t="shared" si="22"/>
        <v>314</v>
      </c>
      <c r="E317" s="2" t="s">
        <v>1851</v>
      </c>
      <c r="F317" s="9">
        <f t="shared" si="20"/>
        <v>1</v>
      </c>
      <c r="G317" s="11">
        <f t="shared" si="21"/>
        <v>1</v>
      </c>
      <c r="H317" s="11"/>
      <c r="I317" s="1">
        <f t="shared" si="24"/>
        <v>314</v>
      </c>
      <c r="J317" s="2" t="s">
        <v>1807</v>
      </c>
      <c r="K317" s="9">
        <v>1</v>
      </c>
      <c r="L317" s="11">
        <v>1</v>
      </c>
      <c r="M317" s="2"/>
      <c r="N317" s="1">
        <v>320</v>
      </c>
      <c r="O317" s="2" t="s">
        <v>1846</v>
      </c>
      <c r="P317" s="9">
        <v>1</v>
      </c>
      <c r="Q317" s="11">
        <v>1</v>
      </c>
    </row>
    <row r="318" spans="1:17" ht="43.2" x14ac:dyDescent="0.3">
      <c r="A318" s="1">
        <f t="shared" si="23"/>
        <v>315</v>
      </c>
      <c r="B318" s="2" t="s">
        <v>1469</v>
      </c>
      <c r="C318">
        <v>2</v>
      </c>
      <c r="D318" s="1">
        <f t="shared" si="22"/>
        <v>315</v>
      </c>
      <c r="E318" s="2" t="s">
        <v>1856</v>
      </c>
      <c r="F318" s="9">
        <f t="shared" si="20"/>
        <v>1</v>
      </c>
      <c r="G318" s="11">
        <f t="shared" si="21"/>
        <v>1</v>
      </c>
      <c r="H318" s="11"/>
      <c r="I318" s="1">
        <f t="shared" si="24"/>
        <v>315</v>
      </c>
      <c r="J318" s="2" t="s">
        <v>1812</v>
      </c>
      <c r="K318" s="9">
        <v>1</v>
      </c>
      <c r="L318" s="11">
        <v>1</v>
      </c>
      <c r="M318" s="2"/>
      <c r="N318" s="1">
        <v>321</v>
      </c>
      <c r="O318" s="2" t="s">
        <v>1851</v>
      </c>
      <c r="P318" s="9">
        <v>1</v>
      </c>
      <c r="Q318" s="11">
        <v>1</v>
      </c>
    </row>
    <row r="319" spans="1:17" ht="129.6" x14ac:dyDescent="0.3">
      <c r="A319" s="1">
        <f t="shared" si="23"/>
        <v>316</v>
      </c>
      <c r="B319" s="2" t="s">
        <v>1474</v>
      </c>
      <c r="C319">
        <v>2</v>
      </c>
      <c r="D319" s="1">
        <f t="shared" si="22"/>
        <v>316</v>
      </c>
      <c r="E319" s="2" t="s">
        <v>1864</v>
      </c>
      <c r="F319" s="9">
        <f t="shared" si="20"/>
        <v>1</v>
      </c>
      <c r="G319" s="11">
        <f t="shared" si="21"/>
        <v>1</v>
      </c>
      <c r="H319" s="11"/>
      <c r="I319" s="1">
        <f t="shared" si="24"/>
        <v>316</v>
      </c>
      <c r="J319" s="2" t="s">
        <v>1820</v>
      </c>
      <c r="K319" s="9">
        <v>1</v>
      </c>
      <c r="L319" s="11">
        <v>1</v>
      </c>
      <c r="M319" s="2"/>
      <c r="N319" s="1">
        <v>322</v>
      </c>
      <c r="O319" s="2" t="s">
        <v>1856</v>
      </c>
      <c r="P319" s="9">
        <v>1</v>
      </c>
      <c r="Q319" s="11">
        <v>1</v>
      </c>
    </row>
    <row r="320" spans="1:17" ht="72" x14ac:dyDescent="0.3">
      <c r="A320" s="1">
        <f t="shared" si="23"/>
        <v>317</v>
      </c>
      <c r="B320" s="2" t="s">
        <v>1478</v>
      </c>
      <c r="C320">
        <v>2</v>
      </c>
      <c r="D320" s="1">
        <f t="shared" si="22"/>
        <v>317</v>
      </c>
      <c r="E320" s="2" t="s">
        <v>1869</v>
      </c>
      <c r="F320" s="9">
        <f t="shared" si="20"/>
        <v>1</v>
      </c>
      <c r="G320" s="11">
        <f t="shared" si="21"/>
        <v>1</v>
      </c>
      <c r="H320" s="11"/>
      <c r="I320" s="1">
        <f t="shared" si="24"/>
        <v>317</v>
      </c>
      <c r="J320" s="2" t="s">
        <v>1827</v>
      </c>
      <c r="K320" s="9">
        <v>1</v>
      </c>
      <c r="L320" s="11">
        <v>1</v>
      </c>
      <c r="M320" s="2"/>
      <c r="N320" s="1">
        <v>323</v>
      </c>
      <c r="O320" s="2" t="s">
        <v>1864</v>
      </c>
      <c r="P320" s="9">
        <v>1</v>
      </c>
      <c r="Q320" s="11">
        <v>1</v>
      </c>
    </row>
    <row r="321" spans="1:17" ht="57.6" x14ac:dyDescent="0.3">
      <c r="A321" s="1">
        <f t="shared" si="23"/>
        <v>318</v>
      </c>
      <c r="B321" s="2" t="s">
        <v>1484</v>
      </c>
      <c r="C321">
        <v>2</v>
      </c>
      <c r="D321" s="1">
        <f t="shared" si="22"/>
        <v>318</v>
      </c>
      <c r="E321" s="2" t="s">
        <v>1874</v>
      </c>
      <c r="F321" s="9">
        <f t="shared" si="20"/>
        <v>1</v>
      </c>
      <c r="G321" s="11">
        <f t="shared" si="21"/>
        <v>1</v>
      </c>
      <c r="H321" s="11"/>
      <c r="I321" s="1">
        <f t="shared" si="24"/>
        <v>318</v>
      </c>
      <c r="J321" s="2" t="s">
        <v>1833</v>
      </c>
      <c r="K321" s="9">
        <v>1</v>
      </c>
      <c r="L321" s="11">
        <v>1</v>
      </c>
      <c r="M321" s="2"/>
      <c r="N321" s="1">
        <v>324</v>
      </c>
      <c r="O321" s="2" t="s">
        <v>1869</v>
      </c>
      <c r="P321" s="9">
        <v>1</v>
      </c>
      <c r="Q321" s="11">
        <v>1</v>
      </c>
    </row>
    <row r="322" spans="1:17" ht="86.4" x14ac:dyDescent="0.3">
      <c r="A322" s="1">
        <f t="shared" si="23"/>
        <v>319</v>
      </c>
      <c r="B322" s="2" t="s">
        <v>1490</v>
      </c>
      <c r="C322">
        <v>2</v>
      </c>
      <c r="D322" s="1">
        <f t="shared" si="22"/>
        <v>319</v>
      </c>
      <c r="E322" s="2" t="s">
        <v>1879</v>
      </c>
      <c r="F322" s="9">
        <f t="shared" si="20"/>
        <v>1</v>
      </c>
      <c r="G322" s="11">
        <f t="shared" si="21"/>
        <v>1</v>
      </c>
      <c r="H322" s="11"/>
      <c r="I322" s="1">
        <f t="shared" si="24"/>
        <v>319</v>
      </c>
      <c r="J322" s="2" t="s">
        <v>1839</v>
      </c>
      <c r="K322" s="9">
        <v>1</v>
      </c>
      <c r="L322" s="11">
        <v>1</v>
      </c>
      <c r="M322" s="2"/>
      <c r="N322" s="1">
        <v>325</v>
      </c>
      <c r="O322" s="2" t="s">
        <v>1874</v>
      </c>
      <c r="P322" s="9">
        <v>1</v>
      </c>
      <c r="Q322" s="11">
        <v>1</v>
      </c>
    </row>
    <row r="323" spans="1:17" ht="72" x14ac:dyDescent="0.3">
      <c r="A323" s="1">
        <f t="shared" si="23"/>
        <v>320</v>
      </c>
      <c r="B323" s="2" t="s">
        <v>1495</v>
      </c>
      <c r="C323">
        <v>2</v>
      </c>
      <c r="D323" s="1">
        <f t="shared" si="22"/>
        <v>320</v>
      </c>
      <c r="E323" s="2" t="s">
        <v>1888</v>
      </c>
      <c r="F323" s="9">
        <f t="shared" si="20"/>
        <v>1</v>
      </c>
      <c r="G323" s="11">
        <f t="shared" si="21"/>
        <v>0</v>
      </c>
      <c r="H323" s="11"/>
      <c r="I323" s="1">
        <f t="shared" si="24"/>
        <v>320</v>
      </c>
      <c r="J323" s="2" t="s">
        <v>1846</v>
      </c>
      <c r="K323" s="9">
        <v>1</v>
      </c>
      <c r="L323" s="11">
        <v>1</v>
      </c>
      <c r="M323" s="2"/>
      <c r="N323" s="1">
        <v>26</v>
      </c>
      <c r="O323" s="2" t="s">
        <v>2657</v>
      </c>
      <c r="P323" s="9">
        <v>3</v>
      </c>
      <c r="Q323" s="11">
        <v>0</v>
      </c>
    </row>
    <row r="324" spans="1:17" ht="43.2" x14ac:dyDescent="0.3">
      <c r="A324" s="1">
        <f t="shared" si="23"/>
        <v>321</v>
      </c>
      <c r="B324" s="2" t="s">
        <v>486</v>
      </c>
      <c r="C324">
        <v>1</v>
      </c>
      <c r="D324" s="1">
        <f t="shared" si="22"/>
        <v>321</v>
      </c>
      <c r="E324" s="2" t="s">
        <v>1896</v>
      </c>
      <c r="F324" s="9">
        <f t="shared" ref="F324:F387" si="25">COUNTIF(B324:B946,J324)</f>
        <v>1</v>
      </c>
      <c r="G324" s="11">
        <f t="shared" ref="G324:G387" si="26">SUMIF($B$4:$B$626,E324,$C$4:$C$626)</f>
        <v>0</v>
      </c>
      <c r="H324" s="11"/>
      <c r="I324" s="1">
        <f t="shared" si="24"/>
        <v>321</v>
      </c>
      <c r="J324" s="2" t="s">
        <v>1851</v>
      </c>
      <c r="K324" s="9">
        <v>1</v>
      </c>
      <c r="L324" s="11">
        <v>1</v>
      </c>
      <c r="M324" s="2"/>
      <c r="N324" s="1">
        <v>71</v>
      </c>
      <c r="O324" s="2" t="s">
        <v>2079</v>
      </c>
      <c r="P324" s="9">
        <v>2</v>
      </c>
      <c r="Q324" s="11">
        <v>0</v>
      </c>
    </row>
    <row r="325" spans="1:17" ht="100.8" x14ac:dyDescent="0.3">
      <c r="A325" s="1">
        <f t="shared" si="23"/>
        <v>322</v>
      </c>
      <c r="B325" s="2" t="s">
        <v>1502</v>
      </c>
      <c r="C325">
        <v>1</v>
      </c>
      <c r="D325" s="1">
        <f t="shared" ref="D325:D388" si="27">+D324+1</f>
        <v>322</v>
      </c>
      <c r="E325" s="2" t="s">
        <v>1900</v>
      </c>
      <c r="F325" s="9">
        <f t="shared" si="25"/>
        <v>1</v>
      </c>
      <c r="G325" s="11">
        <f t="shared" si="26"/>
        <v>0</v>
      </c>
      <c r="H325" s="11"/>
      <c r="I325" s="1">
        <f t="shared" si="24"/>
        <v>322</v>
      </c>
      <c r="J325" s="2" t="s">
        <v>1856</v>
      </c>
      <c r="K325" s="9">
        <v>1</v>
      </c>
      <c r="L325" s="11">
        <v>1</v>
      </c>
      <c r="M325" s="2"/>
      <c r="N325" s="1">
        <v>72</v>
      </c>
      <c r="O325" s="2" t="s">
        <v>2218</v>
      </c>
      <c r="P325" s="9">
        <v>2</v>
      </c>
      <c r="Q325" s="11">
        <v>0</v>
      </c>
    </row>
    <row r="326" spans="1:17" ht="72" x14ac:dyDescent="0.3">
      <c r="A326" s="1">
        <f t="shared" ref="A326:A389" si="28">+A325+1</f>
        <v>323</v>
      </c>
      <c r="B326" s="2" t="s">
        <v>1507</v>
      </c>
      <c r="C326">
        <v>1</v>
      </c>
      <c r="D326" s="1">
        <f t="shared" si="27"/>
        <v>323</v>
      </c>
      <c r="E326" s="2" t="s">
        <v>1905</v>
      </c>
      <c r="F326" s="9">
        <f t="shared" si="25"/>
        <v>1</v>
      </c>
      <c r="G326" s="11">
        <f t="shared" si="26"/>
        <v>0</v>
      </c>
      <c r="H326" s="11"/>
      <c r="I326" s="1">
        <f t="shared" ref="I326:I389" si="29">+I325+1</f>
        <v>323</v>
      </c>
      <c r="J326" s="2" t="s">
        <v>1864</v>
      </c>
      <c r="K326" s="9">
        <v>1</v>
      </c>
      <c r="L326" s="11">
        <v>1</v>
      </c>
      <c r="M326" s="2"/>
      <c r="N326" s="1">
        <v>73</v>
      </c>
      <c r="O326" s="2" t="s">
        <v>2446</v>
      </c>
      <c r="P326" s="9">
        <v>2</v>
      </c>
      <c r="Q326" s="11">
        <v>0</v>
      </c>
    </row>
    <row r="327" spans="1:17" ht="86.4" x14ac:dyDescent="0.3">
      <c r="A327" s="1">
        <f t="shared" si="28"/>
        <v>324</v>
      </c>
      <c r="B327" s="2" t="s">
        <v>1513</v>
      </c>
      <c r="C327">
        <v>1</v>
      </c>
      <c r="D327" s="1">
        <f t="shared" si="27"/>
        <v>324</v>
      </c>
      <c r="E327" s="2" t="s">
        <v>1913</v>
      </c>
      <c r="F327" s="9">
        <f t="shared" si="25"/>
        <v>1</v>
      </c>
      <c r="G327" s="11">
        <f t="shared" si="26"/>
        <v>0</v>
      </c>
      <c r="H327" s="11"/>
      <c r="I327" s="1">
        <f t="shared" si="29"/>
        <v>324</v>
      </c>
      <c r="J327" s="2" t="s">
        <v>1869</v>
      </c>
      <c r="K327" s="9">
        <v>1</v>
      </c>
      <c r="L327" s="11">
        <v>1</v>
      </c>
      <c r="M327" s="2"/>
      <c r="N327" s="1">
        <v>74</v>
      </c>
      <c r="O327" s="2" t="s">
        <v>2568</v>
      </c>
      <c r="P327" s="9">
        <v>2</v>
      </c>
      <c r="Q327" s="11">
        <v>0</v>
      </c>
    </row>
    <row r="328" spans="1:17" ht="72" x14ac:dyDescent="0.3">
      <c r="A328" s="1">
        <f t="shared" si="28"/>
        <v>325</v>
      </c>
      <c r="B328" s="2" t="s">
        <v>1513</v>
      </c>
      <c r="C328">
        <v>1</v>
      </c>
      <c r="D328" s="1">
        <f t="shared" si="27"/>
        <v>325</v>
      </c>
      <c r="E328" s="2" t="s">
        <v>1918</v>
      </c>
      <c r="F328" s="9">
        <f t="shared" si="25"/>
        <v>1</v>
      </c>
      <c r="G328" s="11">
        <f t="shared" si="26"/>
        <v>0</v>
      </c>
      <c r="H328" s="11"/>
      <c r="I328" s="1">
        <f t="shared" si="29"/>
        <v>325</v>
      </c>
      <c r="J328" s="2" t="s">
        <v>1874</v>
      </c>
      <c r="K328" s="9">
        <v>1</v>
      </c>
      <c r="L328" s="11">
        <v>1</v>
      </c>
      <c r="M328" s="2"/>
      <c r="N328" s="1">
        <v>75</v>
      </c>
      <c r="O328" s="2" t="s">
        <v>2613</v>
      </c>
      <c r="P328" s="9">
        <v>2</v>
      </c>
      <c r="Q328" s="11">
        <v>0</v>
      </c>
    </row>
    <row r="329" spans="1:17" ht="28.8" x14ac:dyDescent="0.3">
      <c r="A329" s="1">
        <f t="shared" si="28"/>
        <v>326</v>
      </c>
      <c r="B329" s="2" t="s">
        <v>996</v>
      </c>
      <c r="C329">
        <v>1</v>
      </c>
      <c r="D329" s="1">
        <f t="shared" si="27"/>
        <v>326</v>
      </c>
      <c r="E329" s="2" t="s">
        <v>1923</v>
      </c>
      <c r="F329" s="9">
        <f t="shared" si="25"/>
        <v>1</v>
      </c>
      <c r="G329" s="11">
        <f t="shared" si="26"/>
        <v>0</v>
      </c>
      <c r="H329" s="11"/>
      <c r="I329" s="1">
        <f t="shared" si="29"/>
        <v>326</v>
      </c>
      <c r="J329" s="2" t="s">
        <v>1888</v>
      </c>
      <c r="K329" s="9">
        <v>1</v>
      </c>
      <c r="L329" s="11">
        <v>0</v>
      </c>
      <c r="M329" s="2"/>
      <c r="N329" s="1">
        <v>326</v>
      </c>
      <c r="O329" s="2" t="s">
        <v>1888</v>
      </c>
      <c r="P329" s="9">
        <v>1</v>
      </c>
      <c r="Q329" s="11">
        <v>0</v>
      </c>
    </row>
    <row r="330" spans="1:17" ht="43.2" x14ac:dyDescent="0.3">
      <c r="A330" s="1">
        <f t="shared" si="28"/>
        <v>327</v>
      </c>
      <c r="B330" s="2" t="s">
        <v>546</v>
      </c>
      <c r="C330">
        <v>1</v>
      </c>
      <c r="D330" s="1">
        <f t="shared" si="27"/>
        <v>327</v>
      </c>
      <c r="E330" s="2" t="s">
        <v>1927</v>
      </c>
      <c r="F330" s="9">
        <f t="shared" si="25"/>
        <v>1</v>
      </c>
      <c r="G330" s="11">
        <f t="shared" si="26"/>
        <v>0</v>
      </c>
      <c r="H330" s="11"/>
      <c r="I330" s="1">
        <f t="shared" si="29"/>
        <v>327</v>
      </c>
      <c r="J330" s="2" t="s">
        <v>1896</v>
      </c>
      <c r="K330" s="9">
        <v>1</v>
      </c>
      <c r="L330" s="11">
        <v>0</v>
      </c>
      <c r="M330" s="2"/>
      <c r="N330" s="1">
        <v>327</v>
      </c>
      <c r="O330" s="2" t="s">
        <v>1896</v>
      </c>
      <c r="P330" s="9">
        <v>1</v>
      </c>
      <c r="Q330" s="11">
        <v>0</v>
      </c>
    </row>
    <row r="331" spans="1:17" ht="57.6" x14ac:dyDescent="0.3">
      <c r="A331" s="1">
        <f t="shared" si="28"/>
        <v>328</v>
      </c>
      <c r="B331" s="2" t="s">
        <v>1528</v>
      </c>
      <c r="C331">
        <v>1</v>
      </c>
      <c r="D331" s="1">
        <f t="shared" si="27"/>
        <v>328</v>
      </c>
      <c r="E331" s="2" t="s">
        <v>1937</v>
      </c>
      <c r="F331" s="9">
        <f t="shared" si="25"/>
        <v>1</v>
      </c>
      <c r="G331" s="11">
        <f t="shared" si="26"/>
        <v>0</v>
      </c>
      <c r="H331" s="11"/>
      <c r="I331" s="1">
        <f t="shared" si="29"/>
        <v>328</v>
      </c>
      <c r="J331" s="2" t="s">
        <v>1900</v>
      </c>
      <c r="K331" s="9">
        <v>1</v>
      </c>
      <c r="L331" s="11">
        <v>0</v>
      </c>
      <c r="M331" s="2"/>
      <c r="N331" s="1">
        <v>328</v>
      </c>
      <c r="O331" s="2" t="s">
        <v>1900</v>
      </c>
      <c r="P331" s="9">
        <v>1</v>
      </c>
      <c r="Q331" s="11">
        <v>0</v>
      </c>
    </row>
    <row r="332" spans="1:17" ht="57.6" x14ac:dyDescent="0.3">
      <c r="A332" s="1">
        <f t="shared" si="28"/>
        <v>329</v>
      </c>
      <c r="B332" s="2" t="s">
        <v>486</v>
      </c>
      <c r="C332">
        <v>1</v>
      </c>
      <c r="D332" s="1">
        <f t="shared" si="27"/>
        <v>329</v>
      </c>
      <c r="E332" s="2" t="s">
        <v>1942</v>
      </c>
      <c r="F332" s="9">
        <f t="shared" si="25"/>
        <v>1</v>
      </c>
      <c r="G332" s="11">
        <f t="shared" si="26"/>
        <v>0</v>
      </c>
      <c r="H332" s="11"/>
      <c r="I332" s="1">
        <f t="shared" si="29"/>
        <v>329</v>
      </c>
      <c r="J332" s="2" t="s">
        <v>1905</v>
      </c>
      <c r="K332" s="9">
        <v>1</v>
      </c>
      <c r="L332" s="11">
        <v>0</v>
      </c>
      <c r="M332" s="2"/>
      <c r="N332" s="1">
        <v>329</v>
      </c>
      <c r="O332" s="2" t="s">
        <v>1905</v>
      </c>
      <c r="P332" s="9">
        <v>1</v>
      </c>
      <c r="Q332" s="11">
        <v>0</v>
      </c>
    </row>
    <row r="333" spans="1:17" ht="43.2" x14ac:dyDescent="0.3">
      <c r="A333" s="1">
        <f t="shared" si="28"/>
        <v>330</v>
      </c>
      <c r="B333" s="2" t="s">
        <v>1535</v>
      </c>
      <c r="C333">
        <v>1</v>
      </c>
      <c r="D333" s="1">
        <f t="shared" si="27"/>
        <v>330</v>
      </c>
      <c r="E333" s="2" t="s">
        <v>1946</v>
      </c>
      <c r="F333" s="9">
        <f t="shared" si="25"/>
        <v>1</v>
      </c>
      <c r="G333" s="11">
        <f t="shared" si="26"/>
        <v>0</v>
      </c>
      <c r="H333" s="11"/>
      <c r="I333" s="1">
        <f t="shared" si="29"/>
        <v>330</v>
      </c>
      <c r="J333" s="2" t="s">
        <v>1913</v>
      </c>
      <c r="K333" s="9">
        <v>1</v>
      </c>
      <c r="L333" s="11">
        <v>0</v>
      </c>
      <c r="M333" s="2"/>
      <c r="N333" s="1">
        <v>330</v>
      </c>
      <c r="O333" s="2" t="s">
        <v>1913</v>
      </c>
      <c r="P333" s="9">
        <v>1</v>
      </c>
      <c r="Q333" s="11">
        <v>0</v>
      </c>
    </row>
    <row r="334" spans="1:17" ht="28.8" x14ac:dyDescent="0.3">
      <c r="A334" s="1">
        <f t="shared" si="28"/>
        <v>331</v>
      </c>
      <c r="B334" s="2" t="s">
        <v>1540</v>
      </c>
      <c r="C334">
        <v>1</v>
      </c>
      <c r="D334" s="1">
        <f t="shared" si="27"/>
        <v>331</v>
      </c>
      <c r="E334" s="2" t="s">
        <v>1950</v>
      </c>
      <c r="F334" s="9">
        <f t="shared" si="25"/>
        <v>1</v>
      </c>
      <c r="G334" s="11">
        <f t="shared" si="26"/>
        <v>0</v>
      </c>
      <c r="H334" s="11"/>
      <c r="I334" s="1">
        <f t="shared" si="29"/>
        <v>331</v>
      </c>
      <c r="J334" s="2" t="s">
        <v>1918</v>
      </c>
      <c r="K334" s="9">
        <v>1</v>
      </c>
      <c r="L334" s="11">
        <v>0</v>
      </c>
      <c r="M334" s="2"/>
      <c r="N334" s="1">
        <v>331</v>
      </c>
      <c r="O334" s="2" t="s">
        <v>1918</v>
      </c>
      <c r="P334" s="9">
        <v>1</v>
      </c>
      <c r="Q334" s="11">
        <v>0</v>
      </c>
    </row>
    <row r="335" spans="1:17" ht="43.2" x14ac:dyDescent="0.3">
      <c r="A335" s="1">
        <f t="shared" si="28"/>
        <v>332</v>
      </c>
      <c r="B335" s="2" t="s">
        <v>1545</v>
      </c>
      <c r="C335">
        <v>1</v>
      </c>
      <c r="D335" s="1">
        <f t="shared" si="27"/>
        <v>332</v>
      </c>
      <c r="E335" s="2" t="s">
        <v>1954</v>
      </c>
      <c r="F335" s="9">
        <f t="shared" si="25"/>
        <v>1</v>
      </c>
      <c r="G335" s="11">
        <f t="shared" si="26"/>
        <v>0</v>
      </c>
      <c r="H335" s="11"/>
      <c r="I335" s="1">
        <f t="shared" si="29"/>
        <v>332</v>
      </c>
      <c r="J335" s="2" t="s">
        <v>1923</v>
      </c>
      <c r="K335" s="9">
        <v>1</v>
      </c>
      <c r="L335" s="11">
        <v>0</v>
      </c>
      <c r="M335" s="2"/>
      <c r="N335" s="1">
        <v>332</v>
      </c>
      <c r="O335" s="2" t="s">
        <v>1923</v>
      </c>
      <c r="P335" s="9">
        <v>1</v>
      </c>
      <c r="Q335" s="11">
        <v>0</v>
      </c>
    </row>
    <row r="336" spans="1:17" ht="28.8" x14ac:dyDescent="0.3">
      <c r="A336" s="1">
        <f t="shared" si="28"/>
        <v>333</v>
      </c>
      <c r="B336" s="2" t="s">
        <v>1551</v>
      </c>
      <c r="C336">
        <v>1</v>
      </c>
      <c r="D336" s="1">
        <f t="shared" si="27"/>
        <v>333</v>
      </c>
      <c r="E336" s="2" t="s">
        <v>1958</v>
      </c>
      <c r="F336" s="9">
        <f t="shared" si="25"/>
        <v>1</v>
      </c>
      <c r="G336" s="11">
        <f t="shared" si="26"/>
        <v>0</v>
      </c>
      <c r="H336" s="11"/>
      <c r="I336" s="1">
        <f t="shared" si="29"/>
        <v>333</v>
      </c>
      <c r="J336" s="2" t="s">
        <v>1927</v>
      </c>
      <c r="K336" s="9">
        <v>1</v>
      </c>
      <c r="L336" s="11">
        <v>0</v>
      </c>
      <c r="M336" s="2"/>
      <c r="N336" s="1">
        <v>333</v>
      </c>
      <c r="O336" s="2" t="s">
        <v>1927</v>
      </c>
      <c r="P336" s="9">
        <v>1</v>
      </c>
      <c r="Q336" s="11">
        <v>0</v>
      </c>
    </row>
    <row r="337" spans="1:17" ht="57.6" x14ac:dyDescent="0.3">
      <c r="A337" s="1">
        <f t="shared" si="28"/>
        <v>334</v>
      </c>
      <c r="B337" s="2" t="s">
        <v>200</v>
      </c>
      <c r="C337">
        <v>1</v>
      </c>
      <c r="D337" s="1">
        <f t="shared" si="27"/>
        <v>334</v>
      </c>
      <c r="E337" s="2" t="s">
        <v>1964</v>
      </c>
      <c r="F337" s="9">
        <f t="shared" si="25"/>
        <v>1</v>
      </c>
      <c r="G337" s="11">
        <f t="shared" si="26"/>
        <v>0</v>
      </c>
      <c r="H337" s="11"/>
      <c r="I337" s="1">
        <f t="shared" si="29"/>
        <v>334</v>
      </c>
      <c r="J337" s="2" t="s">
        <v>1937</v>
      </c>
      <c r="K337" s="9">
        <v>1</v>
      </c>
      <c r="L337" s="11">
        <v>0</v>
      </c>
      <c r="M337" s="2"/>
      <c r="N337" s="1">
        <v>334</v>
      </c>
      <c r="O337" s="2" t="s">
        <v>1937</v>
      </c>
      <c r="P337" s="9">
        <v>1</v>
      </c>
      <c r="Q337" s="11">
        <v>0</v>
      </c>
    </row>
    <row r="338" spans="1:17" ht="43.2" x14ac:dyDescent="0.3">
      <c r="A338" s="1">
        <f t="shared" si="28"/>
        <v>335</v>
      </c>
      <c r="B338" s="2" t="s">
        <v>1559</v>
      </c>
      <c r="C338">
        <v>1</v>
      </c>
      <c r="D338" s="1">
        <f t="shared" si="27"/>
        <v>335</v>
      </c>
      <c r="E338" s="2" t="s">
        <v>1980</v>
      </c>
      <c r="F338" s="9">
        <f t="shared" si="25"/>
        <v>1</v>
      </c>
      <c r="G338" s="11">
        <f t="shared" si="26"/>
        <v>0</v>
      </c>
      <c r="H338" s="11"/>
      <c r="I338" s="1">
        <f t="shared" si="29"/>
        <v>335</v>
      </c>
      <c r="J338" s="2" t="s">
        <v>1942</v>
      </c>
      <c r="K338" s="9">
        <v>1</v>
      </c>
      <c r="L338" s="11">
        <v>0</v>
      </c>
      <c r="M338" s="2"/>
      <c r="N338" s="1">
        <v>335</v>
      </c>
      <c r="O338" s="2" t="s">
        <v>1942</v>
      </c>
      <c r="P338" s="9">
        <v>1</v>
      </c>
      <c r="Q338" s="11">
        <v>0</v>
      </c>
    </row>
    <row r="339" spans="1:17" ht="57.6" x14ac:dyDescent="0.3">
      <c r="A339" s="1">
        <f t="shared" si="28"/>
        <v>336</v>
      </c>
      <c r="B339" s="2" t="s">
        <v>1564</v>
      </c>
      <c r="C339">
        <v>1</v>
      </c>
      <c r="D339" s="1">
        <f t="shared" si="27"/>
        <v>336</v>
      </c>
      <c r="E339" s="2" t="s">
        <v>1984</v>
      </c>
      <c r="F339" s="9">
        <f t="shared" si="25"/>
        <v>1</v>
      </c>
      <c r="G339" s="11">
        <f t="shared" si="26"/>
        <v>0</v>
      </c>
      <c r="H339" s="11"/>
      <c r="I339" s="1">
        <f t="shared" si="29"/>
        <v>336</v>
      </c>
      <c r="J339" s="2" t="s">
        <v>1946</v>
      </c>
      <c r="K339" s="9">
        <v>1</v>
      </c>
      <c r="L339" s="11">
        <v>0</v>
      </c>
      <c r="M339" s="2"/>
      <c r="N339" s="1">
        <v>336</v>
      </c>
      <c r="O339" s="2" t="s">
        <v>1946</v>
      </c>
      <c r="P339" s="9">
        <v>1</v>
      </c>
      <c r="Q339" s="11">
        <v>0</v>
      </c>
    </row>
    <row r="340" spans="1:17" ht="43.2" x14ac:dyDescent="0.3">
      <c r="A340" s="1">
        <f t="shared" si="28"/>
        <v>337</v>
      </c>
      <c r="B340" s="2" t="s">
        <v>1569</v>
      </c>
      <c r="C340">
        <v>1</v>
      </c>
      <c r="D340" s="1">
        <f t="shared" si="27"/>
        <v>337</v>
      </c>
      <c r="E340" s="2" t="s">
        <v>1996</v>
      </c>
      <c r="F340" s="9">
        <f t="shared" si="25"/>
        <v>1</v>
      </c>
      <c r="G340" s="11">
        <f t="shared" si="26"/>
        <v>0</v>
      </c>
      <c r="H340" s="11"/>
      <c r="I340" s="1">
        <f t="shared" si="29"/>
        <v>337</v>
      </c>
      <c r="J340" s="2" t="s">
        <v>1950</v>
      </c>
      <c r="K340" s="9">
        <v>1</v>
      </c>
      <c r="L340" s="11">
        <v>0</v>
      </c>
      <c r="M340" s="2"/>
      <c r="N340" s="1">
        <v>337</v>
      </c>
      <c r="O340" s="2" t="s">
        <v>1950</v>
      </c>
      <c r="P340" s="9">
        <v>1</v>
      </c>
      <c r="Q340" s="11">
        <v>0</v>
      </c>
    </row>
    <row r="341" spans="1:17" ht="72" x14ac:dyDescent="0.3">
      <c r="A341" s="1">
        <f t="shared" si="28"/>
        <v>338</v>
      </c>
      <c r="B341" s="2" t="s">
        <v>1575</v>
      </c>
      <c r="C341">
        <v>1</v>
      </c>
      <c r="D341" s="1">
        <f t="shared" si="27"/>
        <v>338</v>
      </c>
      <c r="E341" s="2" t="s">
        <v>2006</v>
      </c>
      <c r="F341" s="9">
        <f t="shared" si="25"/>
        <v>1</v>
      </c>
      <c r="G341" s="11">
        <f t="shared" si="26"/>
        <v>0</v>
      </c>
      <c r="H341" s="11"/>
      <c r="I341" s="1">
        <f t="shared" si="29"/>
        <v>338</v>
      </c>
      <c r="J341" s="2" t="s">
        <v>1954</v>
      </c>
      <c r="K341" s="9">
        <v>1</v>
      </c>
      <c r="L341" s="11">
        <v>0</v>
      </c>
      <c r="M341" s="2"/>
      <c r="N341" s="1">
        <v>338</v>
      </c>
      <c r="O341" s="2" t="s">
        <v>1954</v>
      </c>
      <c r="P341" s="9">
        <v>1</v>
      </c>
      <c r="Q341" s="11">
        <v>0</v>
      </c>
    </row>
    <row r="342" spans="1:17" ht="43.2" x14ac:dyDescent="0.3">
      <c r="A342" s="1">
        <f t="shared" si="28"/>
        <v>339</v>
      </c>
      <c r="B342" s="2" t="s">
        <v>696</v>
      </c>
      <c r="C342">
        <v>1</v>
      </c>
      <c r="D342" s="1">
        <f t="shared" si="27"/>
        <v>339</v>
      </c>
      <c r="E342" s="2" t="s">
        <v>2010</v>
      </c>
      <c r="F342" s="9">
        <f t="shared" si="25"/>
        <v>1</v>
      </c>
      <c r="G342" s="11">
        <f t="shared" si="26"/>
        <v>0</v>
      </c>
      <c r="H342" s="11"/>
      <c r="I342" s="1">
        <f t="shared" si="29"/>
        <v>339</v>
      </c>
      <c r="J342" s="2" t="s">
        <v>1958</v>
      </c>
      <c r="K342" s="9">
        <v>1</v>
      </c>
      <c r="L342" s="11">
        <v>0</v>
      </c>
      <c r="M342" s="2"/>
      <c r="N342" s="1">
        <v>339</v>
      </c>
      <c r="O342" s="2" t="s">
        <v>1958</v>
      </c>
      <c r="P342" s="9">
        <v>1</v>
      </c>
      <c r="Q342" s="11">
        <v>0</v>
      </c>
    </row>
    <row r="343" spans="1:17" ht="43.2" x14ac:dyDescent="0.3">
      <c r="A343" s="1">
        <f t="shared" si="28"/>
        <v>340</v>
      </c>
      <c r="B343" s="2" t="s">
        <v>1582</v>
      </c>
      <c r="C343">
        <v>1</v>
      </c>
      <c r="D343" s="1">
        <f t="shared" si="27"/>
        <v>340</v>
      </c>
      <c r="E343" s="2" t="s">
        <v>2017</v>
      </c>
      <c r="F343" s="9">
        <f t="shared" si="25"/>
        <v>1</v>
      </c>
      <c r="G343" s="11">
        <f t="shared" si="26"/>
        <v>0</v>
      </c>
      <c r="H343" s="11"/>
      <c r="I343" s="1">
        <f t="shared" si="29"/>
        <v>340</v>
      </c>
      <c r="J343" s="2" t="s">
        <v>1964</v>
      </c>
      <c r="K343" s="9">
        <v>1</v>
      </c>
      <c r="L343" s="11">
        <v>0</v>
      </c>
      <c r="M343" s="2"/>
      <c r="N343" s="1">
        <v>340</v>
      </c>
      <c r="O343" s="2" t="s">
        <v>1964</v>
      </c>
      <c r="P343" s="9">
        <v>1</v>
      </c>
      <c r="Q343" s="11">
        <v>0</v>
      </c>
    </row>
    <row r="344" spans="1:17" ht="57.6" x14ac:dyDescent="0.3">
      <c r="A344" s="1">
        <f t="shared" si="28"/>
        <v>341</v>
      </c>
      <c r="B344" s="2" t="s">
        <v>1586</v>
      </c>
      <c r="C344">
        <v>1</v>
      </c>
      <c r="D344" s="1">
        <f t="shared" si="27"/>
        <v>341</v>
      </c>
      <c r="E344" s="2" t="s">
        <v>2021</v>
      </c>
      <c r="F344" s="9">
        <f t="shared" si="25"/>
        <v>1</v>
      </c>
      <c r="G344" s="11">
        <f t="shared" si="26"/>
        <v>0</v>
      </c>
      <c r="H344" s="11"/>
      <c r="I344" s="1">
        <f t="shared" si="29"/>
        <v>341</v>
      </c>
      <c r="J344" s="2" t="s">
        <v>1980</v>
      </c>
      <c r="K344" s="9">
        <v>1</v>
      </c>
      <c r="L344" s="11">
        <v>0</v>
      </c>
      <c r="M344" s="2"/>
      <c r="N344" s="1">
        <v>341</v>
      </c>
      <c r="O344" s="2" t="s">
        <v>1980</v>
      </c>
      <c r="P344" s="9">
        <v>1</v>
      </c>
      <c r="Q344" s="11">
        <v>0</v>
      </c>
    </row>
    <row r="345" spans="1:17" ht="43.2" x14ac:dyDescent="0.3">
      <c r="A345" s="1">
        <f t="shared" si="28"/>
        <v>342</v>
      </c>
      <c r="B345" s="2" t="s">
        <v>1592</v>
      </c>
      <c r="C345">
        <v>1</v>
      </c>
      <c r="D345" s="1">
        <f t="shared" si="27"/>
        <v>342</v>
      </c>
      <c r="E345" s="2" t="s">
        <v>2035</v>
      </c>
      <c r="F345" s="9">
        <f t="shared" si="25"/>
        <v>1</v>
      </c>
      <c r="G345" s="11">
        <f t="shared" si="26"/>
        <v>0</v>
      </c>
      <c r="H345" s="11"/>
      <c r="I345" s="1">
        <f t="shared" si="29"/>
        <v>342</v>
      </c>
      <c r="J345" s="2" t="s">
        <v>1984</v>
      </c>
      <c r="K345" s="9">
        <v>1</v>
      </c>
      <c r="L345" s="11">
        <v>0</v>
      </c>
      <c r="M345" s="2"/>
      <c r="N345" s="1">
        <v>342</v>
      </c>
      <c r="O345" s="2" t="s">
        <v>1984</v>
      </c>
      <c r="P345" s="9">
        <v>1</v>
      </c>
      <c r="Q345" s="11">
        <v>0</v>
      </c>
    </row>
    <row r="346" spans="1:17" ht="57.6" x14ac:dyDescent="0.3">
      <c r="A346" s="1">
        <f t="shared" si="28"/>
        <v>343</v>
      </c>
      <c r="B346" s="2" t="s">
        <v>1596</v>
      </c>
      <c r="C346">
        <v>1</v>
      </c>
      <c r="D346" s="1">
        <f t="shared" si="27"/>
        <v>343</v>
      </c>
      <c r="E346" s="2" t="s">
        <v>2040</v>
      </c>
      <c r="F346" s="9">
        <f t="shared" si="25"/>
        <v>1</v>
      </c>
      <c r="G346" s="11">
        <f t="shared" si="26"/>
        <v>0</v>
      </c>
      <c r="H346" s="11"/>
      <c r="I346" s="1">
        <f t="shared" si="29"/>
        <v>343</v>
      </c>
      <c r="J346" s="2" t="s">
        <v>1996</v>
      </c>
      <c r="K346" s="9">
        <v>1</v>
      </c>
      <c r="L346" s="11">
        <v>0</v>
      </c>
      <c r="M346" s="2"/>
      <c r="N346" s="1">
        <v>343</v>
      </c>
      <c r="O346" s="2" t="s">
        <v>1996</v>
      </c>
      <c r="P346" s="9">
        <v>1</v>
      </c>
      <c r="Q346" s="11">
        <v>0</v>
      </c>
    </row>
    <row r="347" spans="1:17" ht="43.2" x14ac:dyDescent="0.3">
      <c r="A347" s="1">
        <f t="shared" si="28"/>
        <v>344</v>
      </c>
      <c r="B347" s="2" t="s">
        <v>1600</v>
      </c>
      <c r="C347">
        <v>1</v>
      </c>
      <c r="D347" s="1">
        <f t="shared" si="27"/>
        <v>344</v>
      </c>
      <c r="E347" s="2" t="s">
        <v>2048</v>
      </c>
      <c r="F347" s="9">
        <f t="shared" si="25"/>
        <v>1</v>
      </c>
      <c r="G347" s="11">
        <f t="shared" si="26"/>
        <v>0</v>
      </c>
      <c r="H347" s="11"/>
      <c r="I347" s="1">
        <f t="shared" si="29"/>
        <v>344</v>
      </c>
      <c r="J347" s="2" t="s">
        <v>2006</v>
      </c>
      <c r="K347" s="9">
        <v>1</v>
      </c>
      <c r="L347" s="11">
        <v>0</v>
      </c>
      <c r="M347" s="2"/>
      <c r="N347" s="1">
        <v>344</v>
      </c>
      <c r="O347" s="2" t="s">
        <v>2006</v>
      </c>
      <c r="P347" s="9">
        <v>1</v>
      </c>
      <c r="Q347" s="11">
        <v>0</v>
      </c>
    </row>
    <row r="348" spans="1:17" ht="72" x14ac:dyDescent="0.3">
      <c r="A348" s="1">
        <f t="shared" si="28"/>
        <v>345</v>
      </c>
      <c r="B348" s="2" t="s">
        <v>1605</v>
      </c>
      <c r="C348">
        <v>1</v>
      </c>
      <c r="D348" s="1">
        <f t="shared" si="27"/>
        <v>345</v>
      </c>
      <c r="E348" s="2" t="s">
        <v>2052</v>
      </c>
      <c r="F348" s="9">
        <f t="shared" si="25"/>
        <v>1</v>
      </c>
      <c r="G348" s="11">
        <f t="shared" si="26"/>
        <v>0</v>
      </c>
      <c r="H348" s="11"/>
      <c r="I348" s="1">
        <f t="shared" si="29"/>
        <v>345</v>
      </c>
      <c r="J348" s="2" t="s">
        <v>2010</v>
      </c>
      <c r="K348" s="9">
        <v>1</v>
      </c>
      <c r="L348" s="11">
        <v>0</v>
      </c>
      <c r="M348" s="2"/>
      <c r="N348" s="1">
        <v>345</v>
      </c>
      <c r="O348" s="2" t="s">
        <v>2010</v>
      </c>
      <c r="P348" s="9">
        <v>1</v>
      </c>
      <c r="Q348" s="11">
        <v>0</v>
      </c>
    </row>
    <row r="349" spans="1:17" ht="57.6" x14ac:dyDescent="0.3">
      <c r="A349" s="1">
        <f t="shared" si="28"/>
        <v>346</v>
      </c>
      <c r="B349" s="2" t="s">
        <v>1610</v>
      </c>
      <c r="C349">
        <v>1</v>
      </c>
      <c r="D349" s="1">
        <f t="shared" si="27"/>
        <v>346</v>
      </c>
      <c r="E349" s="2" t="s">
        <v>2056</v>
      </c>
      <c r="F349" s="9">
        <f t="shared" si="25"/>
        <v>1</v>
      </c>
      <c r="G349" s="11">
        <f t="shared" si="26"/>
        <v>0</v>
      </c>
      <c r="H349" s="11"/>
      <c r="I349" s="1">
        <f t="shared" si="29"/>
        <v>346</v>
      </c>
      <c r="J349" s="2" t="s">
        <v>2017</v>
      </c>
      <c r="K349" s="9">
        <v>1</v>
      </c>
      <c r="L349" s="11">
        <v>0</v>
      </c>
      <c r="M349" s="2"/>
      <c r="N349" s="1">
        <v>346</v>
      </c>
      <c r="O349" s="2" t="s">
        <v>2017</v>
      </c>
      <c r="P349" s="9">
        <v>1</v>
      </c>
      <c r="Q349" s="11">
        <v>0</v>
      </c>
    </row>
    <row r="350" spans="1:17" ht="43.2" x14ac:dyDescent="0.3">
      <c r="A350" s="1">
        <f t="shared" si="28"/>
        <v>347</v>
      </c>
      <c r="B350" s="2" t="s">
        <v>1615</v>
      </c>
      <c r="C350">
        <v>1</v>
      </c>
      <c r="D350" s="1">
        <f t="shared" si="27"/>
        <v>347</v>
      </c>
      <c r="E350" s="2" t="s">
        <v>2063</v>
      </c>
      <c r="F350" s="9">
        <f t="shared" si="25"/>
        <v>1</v>
      </c>
      <c r="G350" s="11">
        <f t="shared" si="26"/>
        <v>0</v>
      </c>
      <c r="H350" s="11"/>
      <c r="I350" s="1">
        <f t="shared" si="29"/>
        <v>347</v>
      </c>
      <c r="J350" s="2" t="s">
        <v>2021</v>
      </c>
      <c r="K350" s="9">
        <v>1</v>
      </c>
      <c r="L350" s="11">
        <v>0</v>
      </c>
      <c r="M350" s="2"/>
      <c r="N350" s="1">
        <v>347</v>
      </c>
      <c r="O350" s="2" t="s">
        <v>2021</v>
      </c>
      <c r="P350" s="9">
        <v>1</v>
      </c>
      <c r="Q350" s="11">
        <v>0</v>
      </c>
    </row>
    <row r="351" spans="1:17" ht="57.6" x14ac:dyDescent="0.3">
      <c r="A351" s="1">
        <f t="shared" si="28"/>
        <v>348</v>
      </c>
      <c r="B351" s="2" t="s">
        <v>1619</v>
      </c>
      <c r="C351">
        <v>1</v>
      </c>
      <c r="D351" s="1">
        <f t="shared" si="27"/>
        <v>348</v>
      </c>
      <c r="E351" s="2" t="s">
        <v>2067</v>
      </c>
      <c r="F351" s="9">
        <f t="shared" si="25"/>
        <v>1</v>
      </c>
      <c r="G351" s="11">
        <f t="shared" si="26"/>
        <v>0</v>
      </c>
      <c r="H351" s="11"/>
      <c r="I351" s="1">
        <f t="shared" si="29"/>
        <v>348</v>
      </c>
      <c r="J351" s="2" t="s">
        <v>2035</v>
      </c>
      <c r="K351" s="9">
        <v>1</v>
      </c>
      <c r="L351" s="11">
        <v>0</v>
      </c>
      <c r="M351" s="2"/>
      <c r="N351" s="1">
        <v>348</v>
      </c>
      <c r="O351" s="2" t="s">
        <v>2035</v>
      </c>
      <c r="P351" s="9">
        <v>1</v>
      </c>
      <c r="Q351" s="11">
        <v>0</v>
      </c>
    </row>
    <row r="352" spans="1:17" ht="115.2" x14ac:dyDescent="0.3">
      <c r="A352" s="1">
        <f t="shared" si="28"/>
        <v>349</v>
      </c>
      <c r="B352" s="2" t="s">
        <v>1624</v>
      </c>
      <c r="C352">
        <v>1</v>
      </c>
      <c r="D352" s="1">
        <f t="shared" si="27"/>
        <v>349</v>
      </c>
      <c r="E352" s="2" t="s">
        <v>2071</v>
      </c>
      <c r="F352" s="9">
        <f t="shared" si="25"/>
        <v>1</v>
      </c>
      <c r="G352" s="11">
        <f t="shared" si="26"/>
        <v>0</v>
      </c>
      <c r="H352" s="11"/>
      <c r="I352" s="1">
        <f t="shared" si="29"/>
        <v>349</v>
      </c>
      <c r="J352" s="2" t="s">
        <v>2040</v>
      </c>
      <c r="K352" s="9">
        <v>1</v>
      </c>
      <c r="L352" s="11">
        <v>0</v>
      </c>
      <c r="M352" s="2"/>
      <c r="N352" s="1">
        <v>349</v>
      </c>
      <c r="O352" s="2" t="s">
        <v>2040</v>
      </c>
      <c r="P352" s="9">
        <v>1</v>
      </c>
      <c r="Q352" s="11">
        <v>0</v>
      </c>
    </row>
    <row r="353" spans="1:17" ht="86.4" x14ac:dyDescent="0.3">
      <c r="A353" s="1">
        <f t="shared" si="28"/>
        <v>350</v>
      </c>
      <c r="B353" s="2" t="s">
        <v>1628</v>
      </c>
      <c r="C353">
        <v>1</v>
      </c>
      <c r="D353" s="1">
        <f t="shared" si="27"/>
        <v>350</v>
      </c>
      <c r="E353" s="2" t="s">
        <v>2075</v>
      </c>
      <c r="F353" s="9">
        <f t="shared" si="25"/>
        <v>1</v>
      </c>
      <c r="G353" s="11">
        <f t="shared" si="26"/>
        <v>0</v>
      </c>
      <c r="H353" s="11"/>
      <c r="I353" s="1">
        <f t="shared" si="29"/>
        <v>350</v>
      </c>
      <c r="J353" s="2" t="s">
        <v>2048</v>
      </c>
      <c r="K353" s="9">
        <v>1</v>
      </c>
      <c r="L353" s="11">
        <v>0</v>
      </c>
      <c r="M353" s="2"/>
      <c r="N353" s="1">
        <v>350</v>
      </c>
      <c r="O353" s="2" t="s">
        <v>2048</v>
      </c>
      <c r="P353" s="9">
        <v>1</v>
      </c>
      <c r="Q353" s="11">
        <v>0</v>
      </c>
    </row>
    <row r="354" spans="1:17" ht="57.6" x14ac:dyDescent="0.3">
      <c r="A354" s="1">
        <f t="shared" si="28"/>
        <v>351</v>
      </c>
      <c r="B354" s="2" t="s">
        <v>1633</v>
      </c>
      <c r="C354">
        <v>1</v>
      </c>
      <c r="D354" s="1">
        <f t="shared" si="27"/>
        <v>351</v>
      </c>
      <c r="E354" s="2" t="s">
        <v>2079</v>
      </c>
      <c r="F354" s="9">
        <f t="shared" si="25"/>
        <v>1</v>
      </c>
      <c r="G354" s="11">
        <f t="shared" si="26"/>
        <v>0</v>
      </c>
      <c r="H354" s="11"/>
      <c r="I354" s="1">
        <f t="shared" si="29"/>
        <v>351</v>
      </c>
      <c r="J354" s="2" t="s">
        <v>2052</v>
      </c>
      <c r="K354" s="9">
        <v>1</v>
      </c>
      <c r="L354" s="11">
        <v>0</v>
      </c>
      <c r="M354" s="2"/>
      <c r="N354" s="1">
        <v>351</v>
      </c>
      <c r="O354" s="2" t="s">
        <v>2052</v>
      </c>
      <c r="P354" s="9">
        <v>1</v>
      </c>
      <c r="Q354" s="11">
        <v>0</v>
      </c>
    </row>
    <row r="355" spans="1:17" ht="115.2" x14ac:dyDescent="0.3">
      <c r="A355" s="1">
        <f t="shared" si="28"/>
        <v>352</v>
      </c>
      <c r="B355" s="2" t="s">
        <v>1148</v>
      </c>
      <c r="C355">
        <v>1</v>
      </c>
      <c r="D355" s="1">
        <f t="shared" si="27"/>
        <v>352</v>
      </c>
      <c r="E355" s="2" t="s">
        <v>2086</v>
      </c>
      <c r="F355" s="9">
        <f t="shared" si="25"/>
        <v>1</v>
      </c>
      <c r="G355" s="11">
        <f t="shared" si="26"/>
        <v>0</v>
      </c>
      <c r="H355" s="11"/>
      <c r="I355" s="1">
        <f t="shared" si="29"/>
        <v>352</v>
      </c>
      <c r="J355" s="2" t="s">
        <v>2056</v>
      </c>
      <c r="K355" s="9">
        <v>1</v>
      </c>
      <c r="L355" s="11">
        <v>0</v>
      </c>
      <c r="M355" s="2"/>
      <c r="N355" s="1">
        <v>352</v>
      </c>
      <c r="O355" s="2" t="s">
        <v>2056</v>
      </c>
      <c r="P355" s="9">
        <v>1</v>
      </c>
      <c r="Q355" s="11">
        <v>0</v>
      </c>
    </row>
    <row r="356" spans="1:17" ht="158.4" x14ac:dyDescent="0.3">
      <c r="A356" s="1">
        <f t="shared" si="28"/>
        <v>353</v>
      </c>
      <c r="B356" s="2" t="s">
        <v>1449</v>
      </c>
      <c r="C356">
        <v>1</v>
      </c>
      <c r="D356" s="1">
        <f t="shared" si="27"/>
        <v>353</v>
      </c>
      <c r="E356" s="2" t="s">
        <v>2094</v>
      </c>
      <c r="F356" s="9">
        <f t="shared" si="25"/>
        <v>1</v>
      </c>
      <c r="G356" s="11">
        <f t="shared" si="26"/>
        <v>0</v>
      </c>
      <c r="H356" s="11"/>
      <c r="I356" s="1">
        <f t="shared" si="29"/>
        <v>353</v>
      </c>
      <c r="J356" s="2" t="s">
        <v>2063</v>
      </c>
      <c r="K356" s="9">
        <v>1</v>
      </c>
      <c r="L356" s="11">
        <v>0</v>
      </c>
      <c r="M356" s="2"/>
      <c r="N356" s="1">
        <v>353</v>
      </c>
      <c r="O356" s="2" t="s">
        <v>2063</v>
      </c>
      <c r="P356" s="9">
        <v>1</v>
      </c>
      <c r="Q356" s="11">
        <v>0</v>
      </c>
    </row>
    <row r="357" spans="1:17" ht="57.6" x14ac:dyDescent="0.3">
      <c r="A357" s="1">
        <f t="shared" si="28"/>
        <v>354</v>
      </c>
      <c r="B357" s="2" t="s">
        <v>1624</v>
      </c>
      <c r="C357">
        <v>1</v>
      </c>
      <c r="D357" s="1">
        <f t="shared" si="27"/>
        <v>354</v>
      </c>
      <c r="E357" s="2" t="s">
        <v>2112</v>
      </c>
      <c r="F357" s="9">
        <f t="shared" si="25"/>
        <v>1</v>
      </c>
      <c r="G357" s="11">
        <f t="shared" si="26"/>
        <v>0</v>
      </c>
      <c r="H357" s="11"/>
      <c r="I357" s="1">
        <f t="shared" si="29"/>
        <v>354</v>
      </c>
      <c r="J357" s="2" t="s">
        <v>2067</v>
      </c>
      <c r="K357" s="9">
        <v>1</v>
      </c>
      <c r="L357" s="11">
        <v>0</v>
      </c>
      <c r="M357" s="2"/>
      <c r="N357" s="1">
        <v>354</v>
      </c>
      <c r="O357" s="2" t="s">
        <v>2067</v>
      </c>
      <c r="P357" s="9">
        <v>1</v>
      </c>
      <c r="Q357" s="11">
        <v>0</v>
      </c>
    </row>
    <row r="358" spans="1:17" ht="86.4" x14ac:dyDescent="0.3">
      <c r="A358" s="1">
        <f t="shared" si="28"/>
        <v>355</v>
      </c>
      <c r="B358" s="2" t="s">
        <v>546</v>
      </c>
      <c r="C358">
        <v>1</v>
      </c>
      <c r="D358" s="1">
        <f t="shared" si="27"/>
        <v>355</v>
      </c>
      <c r="E358" s="2" t="s">
        <v>2118</v>
      </c>
      <c r="F358" s="9">
        <f t="shared" si="25"/>
        <v>1</v>
      </c>
      <c r="G358" s="11">
        <f t="shared" si="26"/>
        <v>0</v>
      </c>
      <c r="H358" s="11"/>
      <c r="I358" s="1">
        <f t="shared" si="29"/>
        <v>355</v>
      </c>
      <c r="J358" s="2" t="s">
        <v>2071</v>
      </c>
      <c r="K358" s="9">
        <v>1</v>
      </c>
      <c r="L358" s="11">
        <v>0</v>
      </c>
      <c r="M358" s="2"/>
      <c r="N358" s="1">
        <v>355</v>
      </c>
      <c r="O358" s="2" t="s">
        <v>2071</v>
      </c>
      <c r="P358" s="9">
        <v>1</v>
      </c>
      <c r="Q358" s="11">
        <v>0</v>
      </c>
    </row>
    <row r="359" spans="1:17" ht="129.6" x14ac:dyDescent="0.3">
      <c r="A359" s="1">
        <f t="shared" si="28"/>
        <v>356</v>
      </c>
      <c r="B359" s="2" t="s">
        <v>1651</v>
      </c>
      <c r="C359">
        <v>1</v>
      </c>
      <c r="D359" s="1">
        <f t="shared" si="27"/>
        <v>356</v>
      </c>
      <c r="E359" s="2" t="s">
        <v>2128</v>
      </c>
      <c r="F359" s="9">
        <f t="shared" si="25"/>
        <v>1</v>
      </c>
      <c r="G359" s="11">
        <f t="shared" si="26"/>
        <v>0</v>
      </c>
      <c r="H359" s="11"/>
      <c r="I359" s="1">
        <f t="shared" si="29"/>
        <v>356</v>
      </c>
      <c r="J359" s="2" t="s">
        <v>2075</v>
      </c>
      <c r="K359" s="9">
        <v>1</v>
      </c>
      <c r="L359" s="11">
        <v>0</v>
      </c>
      <c r="M359" s="2"/>
      <c r="N359" s="1">
        <v>356</v>
      </c>
      <c r="O359" s="2" t="s">
        <v>2075</v>
      </c>
      <c r="P359" s="9">
        <v>1</v>
      </c>
      <c r="Q359" s="11">
        <v>0</v>
      </c>
    </row>
    <row r="360" spans="1:17" ht="115.2" x14ac:dyDescent="0.3">
      <c r="A360" s="1">
        <f t="shared" si="28"/>
        <v>357</v>
      </c>
      <c r="B360" s="2" t="s">
        <v>356</v>
      </c>
      <c r="C360">
        <v>1</v>
      </c>
      <c r="D360" s="1">
        <f t="shared" si="27"/>
        <v>357</v>
      </c>
      <c r="E360" s="2" t="s">
        <v>2132</v>
      </c>
      <c r="F360" s="9">
        <f t="shared" si="25"/>
        <v>1</v>
      </c>
      <c r="G360" s="11">
        <f t="shared" si="26"/>
        <v>0</v>
      </c>
      <c r="H360" s="11"/>
      <c r="I360" s="1">
        <f t="shared" si="29"/>
        <v>357</v>
      </c>
      <c r="J360" s="2" t="s">
        <v>2086</v>
      </c>
      <c r="K360" s="9">
        <v>1</v>
      </c>
      <c r="L360" s="11">
        <v>0</v>
      </c>
      <c r="M360" s="2"/>
      <c r="N360" s="1">
        <v>357</v>
      </c>
      <c r="O360" s="2" t="s">
        <v>2086</v>
      </c>
      <c r="P360" s="9">
        <v>1</v>
      </c>
      <c r="Q360" s="11">
        <v>0</v>
      </c>
    </row>
    <row r="361" spans="1:17" ht="115.2" x14ac:dyDescent="0.3">
      <c r="A361" s="1">
        <f t="shared" si="28"/>
        <v>358</v>
      </c>
      <c r="B361" s="2" t="s">
        <v>53</v>
      </c>
      <c r="C361">
        <v>1</v>
      </c>
      <c r="D361" s="1">
        <f t="shared" si="27"/>
        <v>358</v>
      </c>
      <c r="E361" s="2" t="s">
        <v>2137</v>
      </c>
      <c r="F361" s="9">
        <f t="shared" si="25"/>
        <v>1</v>
      </c>
      <c r="G361" s="11">
        <f t="shared" si="26"/>
        <v>0</v>
      </c>
      <c r="H361" s="11"/>
      <c r="I361" s="1">
        <f t="shared" si="29"/>
        <v>358</v>
      </c>
      <c r="J361" s="2" t="s">
        <v>2094</v>
      </c>
      <c r="K361" s="9">
        <v>1</v>
      </c>
      <c r="L361" s="11">
        <v>0</v>
      </c>
      <c r="M361" s="2"/>
      <c r="N361" s="1">
        <v>358</v>
      </c>
      <c r="O361" s="2" t="s">
        <v>2094</v>
      </c>
      <c r="P361" s="9">
        <v>1</v>
      </c>
      <c r="Q361" s="11">
        <v>0</v>
      </c>
    </row>
    <row r="362" spans="1:17" ht="144" x14ac:dyDescent="0.3">
      <c r="A362" s="1">
        <f t="shared" si="28"/>
        <v>359</v>
      </c>
      <c r="B362" s="2" t="s">
        <v>1662</v>
      </c>
      <c r="C362">
        <v>1</v>
      </c>
      <c r="D362" s="1">
        <f t="shared" si="27"/>
        <v>359</v>
      </c>
      <c r="E362" s="2" t="s">
        <v>2144</v>
      </c>
      <c r="F362" s="9">
        <f t="shared" si="25"/>
        <v>1</v>
      </c>
      <c r="G362" s="11">
        <f t="shared" si="26"/>
        <v>0</v>
      </c>
      <c r="H362" s="11"/>
      <c r="I362" s="1">
        <f t="shared" si="29"/>
        <v>359</v>
      </c>
      <c r="J362" s="2" t="s">
        <v>2112</v>
      </c>
      <c r="K362" s="9">
        <v>1</v>
      </c>
      <c r="L362" s="11">
        <v>0</v>
      </c>
      <c r="M362" s="2"/>
      <c r="N362" s="1">
        <v>359</v>
      </c>
      <c r="O362" s="2" t="s">
        <v>2112</v>
      </c>
      <c r="P362" s="9">
        <v>1</v>
      </c>
      <c r="Q362" s="11">
        <v>0</v>
      </c>
    </row>
    <row r="363" spans="1:17" ht="57.6" x14ac:dyDescent="0.3">
      <c r="A363" s="1">
        <f t="shared" si="28"/>
        <v>360</v>
      </c>
      <c r="B363" s="2" t="s">
        <v>1667</v>
      </c>
      <c r="C363">
        <v>1</v>
      </c>
      <c r="D363" s="1">
        <f t="shared" si="27"/>
        <v>360</v>
      </c>
      <c r="E363" s="2" t="s">
        <v>2150</v>
      </c>
      <c r="F363" s="9">
        <f t="shared" si="25"/>
        <v>1</v>
      </c>
      <c r="G363" s="11">
        <f t="shared" si="26"/>
        <v>0</v>
      </c>
      <c r="H363" s="11"/>
      <c r="I363" s="1">
        <f t="shared" si="29"/>
        <v>360</v>
      </c>
      <c r="J363" s="2" t="s">
        <v>2118</v>
      </c>
      <c r="K363" s="9">
        <v>1</v>
      </c>
      <c r="L363" s="11">
        <v>0</v>
      </c>
      <c r="M363" s="2"/>
      <c r="N363" s="1">
        <v>360</v>
      </c>
      <c r="O363" s="2" t="s">
        <v>2118</v>
      </c>
      <c r="P363" s="9">
        <v>1</v>
      </c>
      <c r="Q363" s="11">
        <v>0</v>
      </c>
    </row>
    <row r="364" spans="1:17" ht="72" x14ac:dyDescent="0.3">
      <c r="A364" s="1">
        <f t="shared" si="28"/>
        <v>361</v>
      </c>
      <c r="B364" s="2" t="s">
        <v>1670</v>
      </c>
      <c r="C364">
        <v>1</v>
      </c>
      <c r="D364" s="1">
        <f t="shared" si="27"/>
        <v>361</v>
      </c>
      <c r="E364" s="2" t="s">
        <v>2160</v>
      </c>
      <c r="F364" s="9">
        <f t="shared" si="25"/>
        <v>1</v>
      </c>
      <c r="G364" s="11">
        <f t="shared" si="26"/>
        <v>0</v>
      </c>
      <c r="H364" s="11"/>
      <c r="I364" s="1">
        <f t="shared" si="29"/>
        <v>361</v>
      </c>
      <c r="J364" s="2" t="s">
        <v>2128</v>
      </c>
      <c r="K364" s="9">
        <v>1</v>
      </c>
      <c r="L364" s="11">
        <v>0</v>
      </c>
      <c r="M364" s="2"/>
      <c r="N364" s="1">
        <v>361</v>
      </c>
      <c r="O364" s="2" t="s">
        <v>2128</v>
      </c>
      <c r="P364" s="9">
        <v>1</v>
      </c>
      <c r="Q364" s="11">
        <v>0</v>
      </c>
    </row>
    <row r="365" spans="1:17" ht="72" x14ac:dyDescent="0.3">
      <c r="A365" s="1">
        <f t="shared" si="28"/>
        <v>362</v>
      </c>
      <c r="B365" s="2" t="s">
        <v>1148</v>
      </c>
      <c r="C365">
        <v>1</v>
      </c>
      <c r="D365" s="1">
        <f t="shared" si="27"/>
        <v>362</v>
      </c>
      <c r="E365" s="2" t="s">
        <v>2166</v>
      </c>
      <c r="F365" s="9">
        <f t="shared" si="25"/>
        <v>1</v>
      </c>
      <c r="G365" s="11">
        <f t="shared" si="26"/>
        <v>0</v>
      </c>
      <c r="H365" s="11"/>
      <c r="I365" s="1">
        <f t="shared" si="29"/>
        <v>362</v>
      </c>
      <c r="J365" s="2" t="s">
        <v>2132</v>
      </c>
      <c r="K365" s="9">
        <v>1</v>
      </c>
      <c r="L365" s="11">
        <v>0</v>
      </c>
      <c r="M365" s="2"/>
      <c r="N365" s="1">
        <v>362</v>
      </c>
      <c r="O365" s="2" t="s">
        <v>2132</v>
      </c>
      <c r="P365" s="9">
        <v>1</v>
      </c>
      <c r="Q365" s="11">
        <v>0</v>
      </c>
    </row>
    <row r="366" spans="1:17" ht="57.6" x14ac:dyDescent="0.3">
      <c r="A366" s="1">
        <f t="shared" si="28"/>
        <v>363</v>
      </c>
      <c r="B366" s="2" t="s">
        <v>1675</v>
      </c>
      <c r="C366">
        <v>1</v>
      </c>
      <c r="D366" s="1">
        <f t="shared" si="27"/>
        <v>363</v>
      </c>
      <c r="E366" s="2" t="s">
        <v>2170</v>
      </c>
      <c r="F366" s="9">
        <f t="shared" si="25"/>
        <v>1</v>
      </c>
      <c r="G366" s="11">
        <f t="shared" si="26"/>
        <v>0</v>
      </c>
      <c r="H366" s="11"/>
      <c r="I366" s="1">
        <f t="shared" si="29"/>
        <v>363</v>
      </c>
      <c r="J366" s="2" t="s">
        <v>2137</v>
      </c>
      <c r="K366" s="9">
        <v>1</v>
      </c>
      <c r="L366" s="11">
        <v>0</v>
      </c>
      <c r="M366" s="2"/>
      <c r="N366" s="1">
        <v>363</v>
      </c>
      <c r="O366" s="2" t="s">
        <v>2137</v>
      </c>
      <c r="P366" s="9">
        <v>1</v>
      </c>
      <c r="Q366" s="11">
        <v>0</v>
      </c>
    </row>
    <row r="367" spans="1:17" ht="72" x14ac:dyDescent="0.3">
      <c r="A367" s="1">
        <f t="shared" si="28"/>
        <v>364</v>
      </c>
      <c r="B367" s="2" t="s">
        <v>556</v>
      </c>
      <c r="C367">
        <v>1</v>
      </c>
      <c r="D367" s="1">
        <f t="shared" si="27"/>
        <v>364</v>
      </c>
      <c r="E367" s="2" t="s">
        <v>2174</v>
      </c>
      <c r="F367" s="9">
        <f t="shared" si="25"/>
        <v>1</v>
      </c>
      <c r="G367" s="11">
        <f t="shared" si="26"/>
        <v>0</v>
      </c>
      <c r="H367" s="11"/>
      <c r="I367" s="1">
        <f t="shared" si="29"/>
        <v>364</v>
      </c>
      <c r="J367" s="2" t="s">
        <v>2144</v>
      </c>
      <c r="K367" s="9">
        <v>1</v>
      </c>
      <c r="L367" s="11">
        <v>0</v>
      </c>
      <c r="M367" s="2"/>
      <c r="N367" s="1">
        <v>364</v>
      </c>
      <c r="O367" s="2" t="s">
        <v>2144</v>
      </c>
      <c r="P367" s="9">
        <v>1</v>
      </c>
      <c r="Q367" s="11">
        <v>0</v>
      </c>
    </row>
    <row r="368" spans="1:17" ht="43.2" x14ac:dyDescent="0.3">
      <c r="A368" s="1">
        <f t="shared" si="28"/>
        <v>365</v>
      </c>
      <c r="B368" s="2" t="s">
        <v>1685</v>
      </c>
      <c r="C368">
        <v>1</v>
      </c>
      <c r="D368" s="1">
        <f t="shared" si="27"/>
        <v>365</v>
      </c>
      <c r="E368" s="2" t="s">
        <v>2182</v>
      </c>
      <c r="F368" s="9">
        <f t="shared" si="25"/>
        <v>1</v>
      </c>
      <c r="G368" s="11">
        <f t="shared" si="26"/>
        <v>0</v>
      </c>
      <c r="H368" s="11"/>
      <c r="I368" s="1">
        <f t="shared" si="29"/>
        <v>365</v>
      </c>
      <c r="J368" s="2" t="s">
        <v>2150</v>
      </c>
      <c r="K368" s="9">
        <v>1</v>
      </c>
      <c r="L368" s="11">
        <v>0</v>
      </c>
      <c r="M368" s="2"/>
      <c r="N368" s="1">
        <v>365</v>
      </c>
      <c r="O368" s="2" t="s">
        <v>2150</v>
      </c>
      <c r="P368" s="9">
        <v>1</v>
      </c>
      <c r="Q368" s="11">
        <v>0</v>
      </c>
    </row>
    <row r="369" spans="1:17" ht="72" x14ac:dyDescent="0.3">
      <c r="A369" s="1">
        <f t="shared" si="28"/>
        <v>366</v>
      </c>
      <c r="B369" s="2" t="s">
        <v>1690</v>
      </c>
      <c r="C369">
        <v>1</v>
      </c>
      <c r="D369" s="1">
        <f t="shared" si="27"/>
        <v>366</v>
      </c>
      <c r="E369" s="2" t="s">
        <v>2190</v>
      </c>
      <c r="F369" s="9">
        <f t="shared" si="25"/>
        <v>1</v>
      </c>
      <c r="G369" s="11">
        <f t="shared" si="26"/>
        <v>0</v>
      </c>
      <c r="H369" s="11"/>
      <c r="I369" s="1">
        <f t="shared" si="29"/>
        <v>366</v>
      </c>
      <c r="J369" s="2" t="s">
        <v>2160</v>
      </c>
      <c r="K369" s="9">
        <v>1</v>
      </c>
      <c r="L369" s="11">
        <v>0</v>
      </c>
      <c r="M369" s="2"/>
      <c r="N369" s="1">
        <v>366</v>
      </c>
      <c r="O369" s="2" t="s">
        <v>2160</v>
      </c>
      <c r="P369" s="9">
        <v>1</v>
      </c>
      <c r="Q369" s="11">
        <v>0</v>
      </c>
    </row>
    <row r="370" spans="1:17" ht="57.6" x14ac:dyDescent="0.3">
      <c r="A370" s="1">
        <f t="shared" si="28"/>
        <v>367</v>
      </c>
      <c r="B370" s="2" t="s">
        <v>1695</v>
      </c>
      <c r="C370">
        <v>1</v>
      </c>
      <c r="D370" s="1">
        <f t="shared" si="27"/>
        <v>367</v>
      </c>
      <c r="E370" s="2" t="s">
        <v>2194</v>
      </c>
      <c r="F370" s="9">
        <f t="shared" si="25"/>
        <v>1</v>
      </c>
      <c r="G370" s="11">
        <f t="shared" si="26"/>
        <v>0</v>
      </c>
      <c r="H370" s="11"/>
      <c r="I370" s="1">
        <f t="shared" si="29"/>
        <v>367</v>
      </c>
      <c r="J370" s="2" t="s">
        <v>2166</v>
      </c>
      <c r="K370" s="9">
        <v>1</v>
      </c>
      <c r="L370" s="11">
        <v>0</v>
      </c>
      <c r="M370" s="2"/>
      <c r="N370" s="1">
        <v>367</v>
      </c>
      <c r="O370" s="2" t="s">
        <v>2166</v>
      </c>
      <c r="P370" s="9">
        <v>1</v>
      </c>
      <c r="Q370" s="11">
        <v>0</v>
      </c>
    </row>
    <row r="371" spans="1:17" ht="43.2" x14ac:dyDescent="0.3">
      <c r="A371" s="1">
        <f t="shared" si="28"/>
        <v>368</v>
      </c>
      <c r="B371" s="2" t="s">
        <v>1161</v>
      </c>
      <c r="C371">
        <v>1</v>
      </c>
      <c r="D371" s="1">
        <f t="shared" si="27"/>
        <v>368</v>
      </c>
      <c r="E371" s="2" t="s">
        <v>2199</v>
      </c>
      <c r="F371" s="9">
        <f t="shared" si="25"/>
        <v>1</v>
      </c>
      <c r="G371" s="11">
        <f t="shared" si="26"/>
        <v>0</v>
      </c>
      <c r="H371" s="11"/>
      <c r="I371" s="1">
        <f t="shared" si="29"/>
        <v>368</v>
      </c>
      <c r="J371" s="2" t="s">
        <v>2170</v>
      </c>
      <c r="K371" s="9">
        <v>1</v>
      </c>
      <c r="L371" s="11">
        <v>0</v>
      </c>
      <c r="M371" s="2"/>
      <c r="N371" s="1">
        <v>368</v>
      </c>
      <c r="O371" s="2" t="s">
        <v>2170</v>
      </c>
      <c r="P371" s="9">
        <v>1</v>
      </c>
      <c r="Q371" s="11">
        <v>0</v>
      </c>
    </row>
    <row r="372" spans="1:17" ht="57.6" x14ac:dyDescent="0.3">
      <c r="A372" s="1">
        <f t="shared" si="28"/>
        <v>369</v>
      </c>
      <c r="B372" s="2" t="s">
        <v>1702</v>
      </c>
      <c r="C372">
        <v>1</v>
      </c>
      <c r="D372" s="1">
        <f t="shared" si="27"/>
        <v>369</v>
      </c>
      <c r="E372" s="2" t="s">
        <v>2203</v>
      </c>
      <c r="F372" s="9">
        <f t="shared" si="25"/>
        <v>1</v>
      </c>
      <c r="G372" s="11">
        <f t="shared" si="26"/>
        <v>0</v>
      </c>
      <c r="H372" s="11"/>
      <c r="I372" s="1">
        <f t="shared" si="29"/>
        <v>369</v>
      </c>
      <c r="J372" s="2" t="s">
        <v>2174</v>
      </c>
      <c r="K372" s="9">
        <v>1</v>
      </c>
      <c r="L372" s="11">
        <v>0</v>
      </c>
      <c r="M372" s="2"/>
      <c r="N372" s="1">
        <v>369</v>
      </c>
      <c r="O372" s="2" t="s">
        <v>2174</v>
      </c>
      <c r="P372" s="9">
        <v>1</v>
      </c>
      <c r="Q372" s="11">
        <v>0</v>
      </c>
    </row>
    <row r="373" spans="1:17" ht="115.2" x14ac:dyDescent="0.3">
      <c r="A373" s="1">
        <f t="shared" si="28"/>
        <v>370</v>
      </c>
      <c r="B373" s="2" t="s">
        <v>1708</v>
      </c>
      <c r="C373">
        <v>1</v>
      </c>
      <c r="D373" s="1">
        <f t="shared" si="27"/>
        <v>370</v>
      </c>
      <c r="E373" s="2" t="s">
        <v>2218</v>
      </c>
      <c r="F373" s="9">
        <f t="shared" si="25"/>
        <v>1</v>
      </c>
      <c r="G373" s="11">
        <f t="shared" si="26"/>
        <v>0</v>
      </c>
      <c r="H373" s="11"/>
      <c r="I373" s="1">
        <f t="shared" si="29"/>
        <v>370</v>
      </c>
      <c r="J373" s="2" t="s">
        <v>2182</v>
      </c>
      <c r="K373" s="9">
        <v>1</v>
      </c>
      <c r="L373" s="11">
        <v>0</v>
      </c>
      <c r="M373" s="2"/>
      <c r="N373" s="1">
        <v>370</v>
      </c>
      <c r="O373" s="2" t="s">
        <v>2182</v>
      </c>
      <c r="P373" s="9">
        <v>1</v>
      </c>
      <c r="Q373" s="11">
        <v>0</v>
      </c>
    </row>
    <row r="374" spans="1:17" ht="86.4" x14ac:dyDescent="0.3">
      <c r="A374" s="1">
        <f t="shared" si="28"/>
        <v>371</v>
      </c>
      <c r="B374" s="2" t="s">
        <v>1713</v>
      </c>
      <c r="C374">
        <v>1</v>
      </c>
      <c r="D374" s="1">
        <f t="shared" si="27"/>
        <v>371</v>
      </c>
      <c r="E374" s="2" t="s">
        <v>2222</v>
      </c>
      <c r="F374" s="9">
        <f t="shared" si="25"/>
        <v>1</v>
      </c>
      <c r="G374" s="11">
        <f t="shared" si="26"/>
        <v>0</v>
      </c>
      <c r="H374" s="11"/>
      <c r="I374" s="1">
        <f t="shared" si="29"/>
        <v>371</v>
      </c>
      <c r="J374" s="2" t="s">
        <v>2190</v>
      </c>
      <c r="K374" s="9">
        <v>1</v>
      </c>
      <c r="L374" s="11">
        <v>0</v>
      </c>
      <c r="M374" s="2"/>
      <c r="N374" s="1">
        <v>371</v>
      </c>
      <c r="O374" s="2" t="s">
        <v>2190</v>
      </c>
      <c r="P374" s="9">
        <v>1</v>
      </c>
      <c r="Q374" s="11">
        <v>0</v>
      </c>
    </row>
    <row r="375" spans="1:17" ht="57.6" x14ac:dyDescent="0.3">
      <c r="A375" s="1">
        <f t="shared" si="28"/>
        <v>372</v>
      </c>
      <c r="B375" s="2" t="s">
        <v>1718</v>
      </c>
      <c r="C375">
        <v>1</v>
      </c>
      <c r="D375" s="1">
        <f t="shared" si="27"/>
        <v>372</v>
      </c>
      <c r="E375" s="2" t="s">
        <v>2226</v>
      </c>
      <c r="F375" s="9">
        <f t="shared" si="25"/>
        <v>1</v>
      </c>
      <c r="G375" s="11">
        <f t="shared" si="26"/>
        <v>0</v>
      </c>
      <c r="H375" s="11"/>
      <c r="I375" s="1">
        <f t="shared" si="29"/>
        <v>372</v>
      </c>
      <c r="J375" s="2" t="s">
        <v>2194</v>
      </c>
      <c r="K375" s="9">
        <v>1</v>
      </c>
      <c r="L375" s="11">
        <v>0</v>
      </c>
      <c r="M375" s="2"/>
      <c r="N375" s="1">
        <v>372</v>
      </c>
      <c r="O375" s="2" t="s">
        <v>2194</v>
      </c>
      <c r="P375" s="9">
        <v>1</v>
      </c>
      <c r="Q375" s="11">
        <v>0</v>
      </c>
    </row>
    <row r="376" spans="1:17" ht="28.8" x14ac:dyDescent="0.3">
      <c r="A376" s="1">
        <f t="shared" si="28"/>
        <v>373</v>
      </c>
      <c r="B376" s="2" t="s">
        <v>1723</v>
      </c>
      <c r="C376">
        <v>1</v>
      </c>
      <c r="D376" s="1">
        <f t="shared" si="27"/>
        <v>373</v>
      </c>
      <c r="E376" s="2" t="s">
        <v>2231</v>
      </c>
      <c r="F376" s="9">
        <f t="shared" si="25"/>
        <v>1</v>
      </c>
      <c r="G376" s="11">
        <f t="shared" si="26"/>
        <v>0</v>
      </c>
      <c r="H376" s="11"/>
      <c r="I376" s="1">
        <f t="shared" si="29"/>
        <v>373</v>
      </c>
      <c r="J376" s="2" t="s">
        <v>2199</v>
      </c>
      <c r="K376" s="9">
        <v>1</v>
      </c>
      <c r="L376" s="11">
        <v>0</v>
      </c>
      <c r="M376" s="2"/>
      <c r="N376" s="1">
        <v>373</v>
      </c>
      <c r="O376" s="2" t="s">
        <v>2199</v>
      </c>
      <c r="P376" s="9">
        <v>1</v>
      </c>
      <c r="Q376" s="11">
        <v>0</v>
      </c>
    </row>
    <row r="377" spans="1:17" ht="43.2" x14ac:dyDescent="0.3">
      <c r="A377" s="1">
        <f t="shared" si="28"/>
        <v>374</v>
      </c>
      <c r="B377" s="2" t="s">
        <v>1729</v>
      </c>
      <c r="C377">
        <v>1</v>
      </c>
      <c r="D377" s="1">
        <f t="shared" si="27"/>
        <v>374</v>
      </c>
      <c r="E377" s="2" t="s">
        <v>2245</v>
      </c>
      <c r="F377" s="9">
        <f t="shared" si="25"/>
        <v>1</v>
      </c>
      <c r="G377" s="11">
        <f t="shared" si="26"/>
        <v>0</v>
      </c>
      <c r="H377" s="11"/>
      <c r="I377" s="1">
        <f t="shared" si="29"/>
        <v>374</v>
      </c>
      <c r="J377" s="2" t="s">
        <v>2203</v>
      </c>
      <c r="K377" s="9">
        <v>1</v>
      </c>
      <c r="L377" s="11">
        <v>0</v>
      </c>
      <c r="M377" s="2"/>
      <c r="N377" s="1">
        <v>374</v>
      </c>
      <c r="O377" s="2" t="s">
        <v>2203</v>
      </c>
      <c r="P377" s="9">
        <v>1</v>
      </c>
      <c r="Q377" s="11">
        <v>0</v>
      </c>
    </row>
    <row r="378" spans="1:17" ht="86.4" x14ac:dyDescent="0.3">
      <c r="A378" s="1">
        <f t="shared" si="28"/>
        <v>375</v>
      </c>
      <c r="B378" s="2" t="s">
        <v>1732</v>
      </c>
      <c r="C378">
        <v>1</v>
      </c>
      <c r="D378" s="1">
        <f t="shared" si="27"/>
        <v>375</v>
      </c>
      <c r="E378" s="2" t="s">
        <v>2251</v>
      </c>
      <c r="F378" s="9">
        <f t="shared" si="25"/>
        <v>1</v>
      </c>
      <c r="G378" s="11">
        <f t="shared" si="26"/>
        <v>0</v>
      </c>
      <c r="H378" s="11"/>
      <c r="I378" s="1">
        <f t="shared" si="29"/>
        <v>375</v>
      </c>
      <c r="J378" s="2" t="s">
        <v>2222</v>
      </c>
      <c r="K378" s="9">
        <v>1</v>
      </c>
      <c r="L378" s="11">
        <v>0</v>
      </c>
      <c r="M378" s="2"/>
      <c r="N378" s="1">
        <v>375</v>
      </c>
      <c r="O378" s="2" t="s">
        <v>2222</v>
      </c>
      <c r="P378" s="9">
        <v>1</v>
      </c>
      <c r="Q378" s="11">
        <v>0</v>
      </c>
    </row>
    <row r="379" spans="1:17" ht="43.2" x14ac:dyDescent="0.3">
      <c r="A379" s="1">
        <f t="shared" si="28"/>
        <v>376</v>
      </c>
      <c r="B379" s="2" t="s">
        <v>1738</v>
      </c>
      <c r="C379">
        <v>1</v>
      </c>
      <c r="D379" s="1">
        <f t="shared" si="27"/>
        <v>376</v>
      </c>
      <c r="E379" s="2" t="s">
        <v>2257</v>
      </c>
      <c r="F379" s="9">
        <f t="shared" si="25"/>
        <v>1</v>
      </c>
      <c r="G379" s="11">
        <f t="shared" si="26"/>
        <v>0</v>
      </c>
      <c r="H379" s="11"/>
      <c r="I379" s="1">
        <f t="shared" si="29"/>
        <v>376</v>
      </c>
      <c r="J379" s="2" t="s">
        <v>2226</v>
      </c>
      <c r="K379" s="9">
        <v>1</v>
      </c>
      <c r="L379" s="11">
        <v>0</v>
      </c>
      <c r="M379" s="2"/>
      <c r="N379" s="1">
        <v>376</v>
      </c>
      <c r="O379" s="2" t="s">
        <v>2226</v>
      </c>
      <c r="P379" s="9">
        <v>1</v>
      </c>
      <c r="Q379" s="11">
        <v>0</v>
      </c>
    </row>
    <row r="380" spans="1:17" ht="57.6" x14ac:dyDescent="0.3">
      <c r="A380" s="1">
        <f t="shared" si="28"/>
        <v>377</v>
      </c>
      <c r="B380" s="2" t="s">
        <v>1744</v>
      </c>
      <c r="C380">
        <v>1</v>
      </c>
      <c r="D380" s="1">
        <f t="shared" si="27"/>
        <v>377</v>
      </c>
      <c r="E380" s="2" t="s">
        <v>2261</v>
      </c>
      <c r="F380" s="9">
        <f t="shared" si="25"/>
        <v>1</v>
      </c>
      <c r="G380" s="11">
        <f t="shared" si="26"/>
        <v>0</v>
      </c>
      <c r="H380" s="11"/>
      <c r="I380" s="1">
        <f t="shared" si="29"/>
        <v>377</v>
      </c>
      <c r="J380" s="2" t="s">
        <v>2231</v>
      </c>
      <c r="K380" s="9">
        <v>1</v>
      </c>
      <c r="L380" s="11">
        <v>0</v>
      </c>
      <c r="M380" s="2"/>
      <c r="N380" s="1">
        <v>377</v>
      </c>
      <c r="O380" s="2" t="s">
        <v>2231</v>
      </c>
      <c r="P380" s="9">
        <v>1</v>
      </c>
      <c r="Q380" s="11">
        <v>0</v>
      </c>
    </row>
    <row r="381" spans="1:17" ht="57.6" x14ac:dyDescent="0.3">
      <c r="A381" s="1">
        <f t="shared" si="28"/>
        <v>378</v>
      </c>
      <c r="B381" s="2" t="s">
        <v>1751</v>
      </c>
      <c r="C381">
        <v>1</v>
      </c>
      <c r="D381" s="1">
        <f t="shared" si="27"/>
        <v>378</v>
      </c>
      <c r="E381" s="2" t="s">
        <v>2265</v>
      </c>
      <c r="F381" s="9">
        <f t="shared" si="25"/>
        <v>1</v>
      </c>
      <c r="G381" s="11">
        <f t="shared" si="26"/>
        <v>0</v>
      </c>
      <c r="H381" s="11"/>
      <c r="I381" s="1">
        <f t="shared" si="29"/>
        <v>378</v>
      </c>
      <c r="J381" s="2" t="s">
        <v>2245</v>
      </c>
      <c r="K381" s="9">
        <v>1</v>
      </c>
      <c r="L381" s="11">
        <v>0</v>
      </c>
      <c r="M381" s="2"/>
      <c r="N381" s="1">
        <v>378</v>
      </c>
      <c r="O381" s="2" t="s">
        <v>2245</v>
      </c>
      <c r="P381" s="9">
        <v>1</v>
      </c>
      <c r="Q381" s="11">
        <v>0</v>
      </c>
    </row>
    <row r="382" spans="1:17" ht="72" x14ac:dyDescent="0.3">
      <c r="A382" s="1">
        <f t="shared" si="28"/>
        <v>379</v>
      </c>
      <c r="B382" s="2" t="s">
        <v>1756</v>
      </c>
      <c r="C382">
        <v>1</v>
      </c>
      <c r="D382" s="1">
        <f t="shared" si="27"/>
        <v>379</v>
      </c>
      <c r="E382" s="2" t="s">
        <v>2269</v>
      </c>
      <c r="F382" s="9">
        <f t="shared" si="25"/>
        <v>1</v>
      </c>
      <c r="G382" s="11">
        <f t="shared" si="26"/>
        <v>0</v>
      </c>
      <c r="H382" s="11"/>
      <c r="I382" s="1">
        <f t="shared" si="29"/>
        <v>379</v>
      </c>
      <c r="J382" s="2" t="s">
        <v>2251</v>
      </c>
      <c r="K382" s="9">
        <v>1</v>
      </c>
      <c r="L382" s="11">
        <v>0</v>
      </c>
      <c r="M382" s="2"/>
      <c r="N382" s="1">
        <v>379</v>
      </c>
      <c r="O382" s="2" t="s">
        <v>2251</v>
      </c>
      <c r="P382" s="9">
        <v>1</v>
      </c>
      <c r="Q382" s="11">
        <v>0</v>
      </c>
    </row>
    <row r="383" spans="1:17" ht="72" x14ac:dyDescent="0.3">
      <c r="A383" s="1">
        <f t="shared" si="28"/>
        <v>380</v>
      </c>
      <c r="B383" s="2" t="s">
        <v>1762</v>
      </c>
      <c r="C383">
        <v>1</v>
      </c>
      <c r="D383" s="1">
        <f t="shared" si="27"/>
        <v>380</v>
      </c>
      <c r="E383" s="2" t="s">
        <v>2273</v>
      </c>
      <c r="F383" s="9">
        <f t="shared" si="25"/>
        <v>1</v>
      </c>
      <c r="G383" s="11">
        <f t="shared" si="26"/>
        <v>0</v>
      </c>
      <c r="H383" s="11"/>
      <c r="I383" s="1">
        <f t="shared" si="29"/>
        <v>380</v>
      </c>
      <c r="J383" s="2" t="s">
        <v>2257</v>
      </c>
      <c r="K383" s="9">
        <v>1</v>
      </c>
      <c r="L383" s="11">
        <v>0</v>
      </c>
      <c r="M383" s="2"/>
      <c r="N383" s="1">
        <v>380</v>
      </c>
      <c r="O383" s="2" t="s">
        <v>2257</v>
      </c>
      <c r="P383" s="9">
        <v>1</v>
      </c>
      <c r="Q383" s="11">
        <v>0</v>
      </c>
    </row>
    <row r="384" spans="1:17" ht="86.4" x14ac:dyDescent="0.3">
      <c r="A384" s="1">
        <f t="shared" si="28"/>
        <v>381</v>
      </c>
      <c r="B384" s="2" t="s">
        <v>1769</v>
      </c>
      <c r="C384">
        <v>1</v>
      </c>
      <c r="D384" s="1">
        <f t="shared" si="27"/>
        <v>381</v>
      </c>
      <c r="E384" s="2" t="s">
        <v>2278</v>
      </c>
      <c r="F384" s="9">
        <f t="shared" si="25"/>
        <v>1</v>
      </c>
      <c r="G384" s="11">
        <f t="shared" si="26"/>
        <v>0</v>
      </c>
      <c r="H384" s="11"/>
      <c r="I384" s="1">
        <f t="shared" si="29"/>
        <v>381</v>
      </c>
      <c r="J384" s="2" t="s">
        <v>2261</v>
      </c>
      <c r="K384" s="9">
        <v>1</v>
      </c>
      <c r="L384" s="11">
        <v>0</v>
      </c>
      <c r="M384" s="2"/>
      <c r="N384" s="1">
        <v>381</v>
      </c>
      <c r="O384" s="2" t="s">
        <v>2261</v>
      </c>
      <c r="P384" s="9">
        <v>1</v>
      </c>
      <c r="Q384" s="11">
        <v>0</v>
      </c>
    </row>
    <row r="385" spans="1:17" ht="72" x14ac:dyDescent="0.3">
      <c r="A385" s="1">
        <f t="shared" si="28"/>
        <v>382</v>
      </c>
      <c r="B385" s="2" t="s">
        <v>982</v>
      </c>
      <c r="C385">
        <v>1</v>
      </c>
      <c r="D385" s="1">
        <f t="shared" si="27"/>
        <v>382</v>
      </c>
      <c r="E385" s="2" t="s">
        <v>2282</v>
      </c>
      <c r="F385" s="9">
        <f t="shared" si="25"/>
        <v>1</v>
      </c>
      <c r="G385" s="11">
        <f t="shared" si="26"/>
        <v>0</v>
      </c>
      <c r="H385" s="11"/>
      <c r="I385" s="1">
        <f t="shared" si="29"/>
        <v>382</v>
      </c>
      <c r="J385" s="2" t="s">
        <v>2265</v>
      </c>
      <c r="K385" s="9">
        <v>1</v>
      </c>
      <c r="L385" s="11">
        <v>0</v>
      </c>
      <c r="M385" s="2"/>
      <c r="N385" s="1">
        <v>382</v>
      </c>
      <c r="O385" s="2" t="s">
        <v>2265</v>
      </c>
      <c r="P385" s="9">
        <v>1</v>
      </c>
      <c r="Q385" s="11">
        <v>0</v>
      </c>
    </row>
    <row r="386" spans="1:17" ht="57.6" x14ac:dyDescent="0.3">
      <c r="A386" s="1">
        <f t="shared" si="28"/>
        <v>383</v>
      </c>
      <c r="B386" s="2" t="s">
        <v>982</v>
      </c>
      <c r="C386">
        <v>1</v>
      </c>
      <c r="D386" s="1">
        <f t="shared" si="27"/>
        <v>383</v>
      </c>
      <c r="E386" s="2" t="s">
        <v>2287</v>
      </c>
      <c r="F386" s="9">
        <f t="shared" si="25"/>
        <v>1</v>
      </c>
      <c r="G386" s="11">
        <f t="shared" si="26"/>
        <v>0</v>
      </c>
      <c r="H386" s="11"/>
      <c r="I386" s="1">
        <f t="shared" si="29"/>
        <v>383</v>
      </c>
      <c r="J386" s="2" t="s">
        <v>2269</v>
      </c>
      <c r="K386" s="9">
        <v>1</v>
      </c>
      <c r="L386" s="11">
        <v>0</v>
      </c>
      <c r="M386" s="2"/>
      <c r="N386" s="1">
        <v>383</v>
      </c>
      <c r="O386" s="2" t="s">
        <v>2269</v>
      </c>
      <c r="P386" s="9">
        <v>1</v>
      </c>
      <c r="Q386" s="11">
        <v>0</v>
      </c>
    </row>
    <row r="387" spans="1:17" ht="43.2" x14ac:dyDescent="0.3">
      <c r="A387" s="1">
        <f t="shared" si="28"/>
        <v>384</v>
      </c>
      <c r="B387" s="2" t="s">
        <v>1778</v>
      </c>
      <c r="C387">
        <v>1</v>
      </c>
      <c r="D387" s="1">
        <f t="shared" si="27"/>
        <v>384</v>
      </c>
      <c r="E387" s="2" t="s">
        <v>2295</v>
      </c>
      <c r="F387" s="9">
        <f t="shared" si="25"/>
        <v>1</v>
      </c>
      <c r="G387" s="11">
        <f t="shared" si="26"/>
        <v>0</v>
      </c>
      <c r="H387" s="11"/>
      <c r="I387" s="1">
        <f t="shared" si="29"/>
        <v>384</v>
      </c>
      <c r="J387" s="2" t="s">
        <v>2273</v>
      </c>
      <c r="K387" s="9">
        <v>1</v>
      </c>
      <c r="L387" s="11">
        <v>0</v>
      </c>
      <c r="M387" s="2"/>
      <c r="N387" s="1">
        <v>384</v>
      </c>
      <c r="O387" s="2" t="s">
        <v>2273</v>
      </c>
      <c r="P387" s="9">
        <v>1</v>
      </c>
      <c r="Q387" s="11">
        <v>0</v>
      </c>
    </row>
    <row r="388" spans="1:17" ht="57.6" x14ac:dyDescent="0.3">
      <c r="A388" s="1">
        <f t="shared" si="28"/>
        <v>385</v>
      </c>
      <c r="B388" s="2" t="s">
        <v>1785</v>
      </c>
      <c r="C388">
        <v>1</v>
      </c>
      <c r="D388" s="1">
        <f t="shared" si="27"/>
        <v>385</v>
      </c>
      <c r="E388" s="2" t="s">
        <v>2299</v>
      </c>
      <c r="F388" s="9">
        <f t="shared" ref="F388:F451" si="30">COUNTIF(B388:B1010,J388)</f>
        <v>1</v>
      </c>
      <c r="G388" s="11">
        <f t="shared" ref="G388:G451" si="31">SUMIF($B$4:$B$626,E388,$C$4:$C$626)</f>
        <v>0</v>
      </c>
      <c r="H388" s="11"/>
      <c r="I388" s="1">
        <f t="shared" si="29"/>
        <v>385</v>
      </c>
      <c r="J388" s="2" t="s">
        <v>2278</v>
      </c>
      <c r="K388" s="9">
        <v>1</v>
      </c>
      <c r="L388" s="11">
        <v>0</v>
      </c>
      <c r="M388" s="2"/>
      <c r="N388" s="1">
        <v>385</v>
      </c>
      <c r="O388" s="2" t="s">
        <v>2278</v>
      </c>
      <c r="P388" s="9">
        <v>1</v>
      </c>
      <c r="Q388" s="11">
        <v>0</v>
      </c>
    </row>
    <row r="389" spans="1:17" ht="57.6" x14ac:dyDescent="0.3">
      <c r="A389" s="1">
        <f t="shared" si="28"/>
        <v>386</v>
      </c>
      <c r="B389" s="2" t="s">
        <v>1792</v>
      </c>
      <c r="C389">
        <v>1</v>
      </c>
      <c r="D389" s="1">
        <f t="shared" ref="D389:D452" si="32">+D388+1</f>
        <v>386</v>
      </c>
      <c r="E389" s="2" t="s">
        <v>2306</v>
      </c>
      <c r="F389" s="9">
        <f t="shared" si="30"/>
        <v>1</v>
      </c>
      <c r="G389" s="11">
        <f t="shared" si="31"/>
        <v>0</v>
      </c>
      <c r="H389" s="11"/>
      <c r="I389" s="1">
        <f t="shared" si="29"/>
        <v>386</v>
      </c>
      <c r="J389" s="2" t="s">
        <v>2282</v>
      </c>
      <c r="K389" s="9">
        <v>1</v>
      </c>
      <c r="L389" s="11">
        <v>0</v>
      </c>
      <c r="M389" s="2"/>
      <c r="N389" s="1">
        <v>386</v>
      </c>
      <c r="O389" s="2" t="s">
        <v>2282</v>
      </c>
      <c r="P389" s="9">
        <v>1</v>
      </c>
      <c r="Q389" s="11">
        <v>0</v>
      </c>
    </row>
    <row r="390" spans="1:17" ht="57.6" x14ac:dyDescent="0.3">
      <c r="A390" s="1">
        <f t="shared" ref="A390:A453" si="33">+A389+1</f>
        <v>387</v>
      </c>
      <c r="B390" s="2" t="s">
        <v>1229</v>
      </c>
      <c r="C390">
        <v>1</v>
      </c>
      <c r="D390" s="1">
        <f t="shared" si="32"/>
        <v>387</v>
      </c>
      <c r="E390" s="2" t="s">
        <v>2311</v>
      </c>
      <c r="F390" s="9">
        <f t="shared" si="30"/>
        <v>1</v>
      </c>
      <c r="G390" s="11">
        <f t="shared" si="31"/>
        <v>0</v>
      </c>
      <c r="H390" s="11"/>
      <c r="I390" s="1">
        <f t="shared" ref="I390:I453" si="34">+I389+1</f>
        <v>387</v>
      </c>
      <c r="J390" s="2" t="s">
        <v>2287</v>
      </c>
      <c r="K390" s="9">
        <v>1</v>
      </c>
      <c r="L390" s="11">
        <v>0</v>
      </c>
      <c r="M390" s="2"/>
      <c r="N390" s="1">
        <v>387</v>
      </c>
      <c r="O390" s="2" t="s">
        <v>2287</v>
      </c>
      <c r="P390" s="9">
        <v>1</v>
      </c>
      <c r="Q390" s="11">
        <v>0</v>
      </c>
    </row>
    <row r="391" spans="1:17" ht="100.8" x14ac:dyDescent="0.3">
      <c r="A391" s="1">
        <f t="shared" si="33"/>
        <v>388</v>
      </c>
      <c r="B391" s="2" t="s">
        <v>1799</v>
      </c>
      <c r="C391">
        <v>1</v>
      </c>
      <c r="D391" s="1">
        <f t="shared" si="32"/>
        <v>388</v>
      </c>
      <c r="E391" s="2" t="s">
        <v>2316</v>
      </c>
      <c r="F391" s="9">
        <f t="shared" si="30"/>
        <v>1</v>
      </c>
      <c r="G391" s="11">
        <f t="shared" si="31"/>
        <v>0</v>
      </c>
      <c r="H391" s="11"/>
      <c r="I391" s="1">
        <f t="shared" si="34"/>
        <v>388</v>
      </c>
      <c r="J391" s="2" t="s">
        <v>2295</v>
      </c>
      <c r="K391" s="9">
        <v>1</v>
      </c>
      <c r="L391" s="11">
        <v>0</v>
      </c>
      <c r="M391" s="2"/>
      <c r="N391" s="1">
        <v>388</v>
      </c>
      <c r="O391" s="2" t="s">
        <v>2295</v>
      </c>
      <c r="P391" s="9">
        <v>1</v>
      </c>
      <c r="Q391" s="11">
        <v>0</v>
      </c>
    </row>
    <row r="392" spans="1:17" ht="144" x14ac:dyDescent="0.3">
      <c r="A392" s="1">
        <f t="shared" si="33"/>
        <v>389</v>
      </c>
      <c r="B392" s="2" t="s">
        <v>1803</v>
      </c>
      <c r="C392">
        <v>1</v>
      </c>
      <c r="D392" s="1">
        <f t="shared" si="32"/>
        <v>389</v>
      </c>
      <c r="E392" s="2" t="s">
        <v>2322</v>
      </c>
      <c r="F392" s="9">
        <f t="shared" si="30"/>
        <v>1</v>
      </c>
      <c r="G392" s="11">
        <f t="shared" si="31"/>
        <v>0</v>
      </c>
      <c r="H392" s="11"/>
      <c r="I392" s="1">
        <f t="shared" si="34"/>
        <v>389</v>
      </c>
      <c r="J392" s="2" t="s">
        <v>2299</v>
      </c>
      <c r="K392" s="9">
        <v>1</v>
      </c>
      <c r="L392" s="11">
        <v>0</v>
      </c>
      <c r="M392" s="2"/>
      <c r="N392" s="1">
        <v>389</v>
      </c>
      <c r="O392" s="2" t="s">
        <v>2299</v>
      </c>
      <c r="P392" s="9">
        <v>1</v>
      </c>
      <c r="Q392" s="11">
        <v>0</v>
      </c>
    </row>
    <row r="393" spans="1:17" ht="201.6" x14ac:dyDescent="0.3">
      <c r="A393" s="1">
        <f t="shared" si="33"/>
        <v>390</v>
      </c>
      <c r="B393" s="2" t="s">
        <v>1807</v>
      </c>
      <c r="C393">
        <v>1</v>
      </c>
      <c r="D393" s="1">
        <f t="shared" si="32"/>
        <v>390</v>
      </c>
      <c r="E393" s="2" t="s">
        <v>2328</v>
      </c>
      <c r="F393" s="9">
        <f t="shared" si="30"/>
        <v>1</v>
      </c>
      <c r="G393" s="11">
        <f t="shared" si="31"/>
        <v>0</v>
      </c>
      <c r="H393" s="11"/>
      <c r="I393" s="1">
        <f t="shared" si="34"/>
        <v>390</v>
      </c>
      <c r="J393" s="2" t="s">
        <v>2306</v>
      </c>
      <c r="K393" s="9">
        <v>1</v>
      </c>
      <c r="L393" s="11">
        <v>0</v>
      </c>
      <c r="M393" s="2"/>
      <c r="N393" s="1">
        <v>390</v>
      </c>
      <c r="O393" s="2" t="s">
        <v>2306</v>
      </c>
      <c r="P393" s="9">
        <v>1</v>
      </c>
      <c r="Q393" s="11">
        <v>0</v>
      </c>
    </row>
    <row r="394" spans="1:17" ht="72" x14ac:dyDescent="0.3">
      <c r="A394" s="1">
        <f t="shared" si="33"/>
        <v>391</v>
      </c>
      <c r="B394" s="2" t="s">
        <v>1812</v>
      </c>
      <c r="C394">
        <v>1</v>
      </c>
      <c r="D394" s="1">
        <f t="shared" si="32"/>
        <v>391</v>
      </c>
      <c r="E394" s="2" t="s">
        <v>2334</v>
      </c>
      <c r="F394" s="9">
        <f t="shared" si="30"/>
        <v>1</v>
      </c>
      <c r="G394" s="11">
        <f t="shared" si="31"/>
        <v>0</v>
      </c>
      <c r="H394" s="11"/>
      <c r="I394" s="1">
        <f t="shared" si="34"/>
        <v>391</v>
      </c>
      <c r="J394" s="2" t="s">
        <v>2311</v>
      </c>
      <c r="K394" s="9">
        <v>1</v>
      </c>
      <c r="L394" s="11">
        <v>0</v>
      </c>
      <c r="M394" s="2"/>
      <c r="N394" s="1">
        <v>391</v>
      </c>
      <c r="O394" s="2" t="s">
        <v>2311</v>
      </c>
      <c r="P394" s="9">
        <v>1</v>
      </c>
      <c r="Q394" s="11">
        <v>0</v>
      </c>
    </row>
    <row r="395" spans="1:17" ht="115.2" x14ac:dyDescent="0.3">
      <c r="A395" s="1">
        <f t="shared" si="33"/>
        <v>392</v>
      </c>
      <c r="B395" s="2" t="s">
        <v>1464</v>
      </c>
      <c r="C395">
        <v>1</v>
      </c>
      <c r="D395" s="1">
        <f t="shared" si="32"/>
        <v>392</v>
      </c>
      <c r="E395" s="2" t="s">
        <v>2339</v>
      </c>
      <c r="F395" s="9">
        <f t="shared" si="30"/>
        <v>1</v>
      </c>
      <c r="G395" s="11">
        <f t="shared" si="31"/>
        <v>0</v>
      </c>
      <c r="H395" s="11"/>
      <c r="I395" s="1">
        <f t="shared" si="34"/>
        <v>392</v>
      </c>
      <c r="J395" s="2" t="s">
        <v>2316</v>
      </c>
      <c r="K395" s="9">
        <v>1</v>
      </c>
      <c r="L395" s="11">
        <v>0</v>
      </c>
      <c r="M395" s="2"/>
      <c r="N395" s="1">
        <v>392</v>
      </c>
      <c r="O395" s="2" t="s">
        <v>2316</v>
      </c>
      <c r="P395" s="9">
        <v>1</v>
      </c>
      <c r="Q395" s="11">
        <v>0</v>
      </c>
    </row>
    <row r="396" spans="1:17" ht="144" x14ac:dyDescent="0.3">
      <c r="A396" s="1">
        <f t="shared" si="33"/>
        <v>393</v>
      </c>
      <c r="B396" s="2" t="s">
        <v>1820</v>
      </c>
      <c r="C396">
        <v>1</v>
      </c>
      <c r="D396" s="1">
        <f t="shared" si="32"/>
        <v>393</v>
      </c>
      <c r="E396" s="2" t="s">
        <v>2345</v>
      </c>
      <c r="F396" s="9">
        <f t="shared" si="30"/>
        <v>1</v>
      </c>
      <c r="G396" s="11">
        <f t="shared" si="31"/>
        <v>0</v>
      </c>
      <c r="H396" s="11"/>
      <c r="I396" s="1">
        <f t="shared" si="34"/>
        <v>393</v>
      </c>
      <c r="J396" s="2" t="s">
        <v>2322</v>
      </c>
      <c r="K396" s="9">
        <v>1</v>
      </c>
      <c r="L396" s="11">
        <v>0</v>
      </c>
      <c r="M396" s="2"/>
      <c r="N396" s="1">
        <v>393</v>
      </c>
      <c r="O396" s="2" t="s">
        <v>2322</v>
      </c>
      <c r="P396" s="9">
        <v>1</v>
      </c>
      <c r="Q396" s="11">
        <v>0</v>
      </c>
    </row>
    <row r="397" spans="1:17" ht="115.2" x14ac:dyDescent="0.3">
      <c r="A397" s="1">
        <f t="shared" si="33"/>
        <v>394</v>
      </c>
      <c r="B397" s="2" t="s">
        <v>1827</v>
      </c>
      <c r="C397">
        <v>1</v>
      </c>
      <c r="D397" s="1">
        <f t="shared" si="32"/>
        <v>394</v>
      </c>
      <c r="E397" s="2" t="s">
        <v>2350</v>
      </c>
      <c r="F397" s="9">
        <f t="shared" si="30"/>
        <v>1</v>
      </c>
      <c r="G397" s="11">
        <f t="shared" si="31"/>
        <v>0</v>
      </c>
      <c r="H397" s="11"/>
      <c r="I397" s="1">
        <f t="shared" si="34"/>
        <v>394</v>
      </c>
      <c r="J397" s="2" t="s">
        <v>2328</v>
      </c>
      <c r="K397" s="9">
        <v>1</v>
      </c>
      <c r="L397" s="11">
        <v>0</v>
      </c>
      <c r="M397" s="2"/>
      <c r="N397" s="1">
        <v>394</v>
      </c>
      <c r="O397" s="2" t="s">
        <v>2328</v>
      </c>
      <c r="P397" s="9">
        <v>1</v>
      </c>
      <c r="Q397" s="11">
        <v>0</v>
      </c>
    </row>
    <row r="398" spans="1:17" ht="115.2" x14ac:dyDescent="0.3">
      <c r="A398" s="1">
        <f t="shared" si="33"/>
        <v>395</v>
      </c>
      <c r="B398" s="2" t="s">
        <v>1833</v>
      </c>
      <c r="C398">
        <v>1</v>
      </c>
      <c r="D398" s="1">
        <f t="shared" si="32"/>
        <v>395</v>
      </c>
      <c r="E398" s="2" t="s">
        <v>2357</v>
      </c>
      <c r="F398" s="9">
        <f t="shared" si="30"/>
        <v>1</v>
      </c>
      <c r="G398" s="11">
        <f t="shared" si="31"/>
        <v>0</v>
      </c>
      <c r="H398" s="11"/>
      <c r="I398" s="1">
        <f t="shared" si="34"/>
        <v>395</v>
      </c>
      <c r="J398" s="2" t="s">
        <v>2334</v>
      </c>
      <c r="K398" s="9">
        <v>1</v>
      </c>
      <c r="L398" s="11">
        <v>0</v>
      </c>
      <c r="M398" s="2"/>
      <c r="N398" s="1">
        <v>395</v>
      </c>
      <c r="O398" s="2" t="s">
        <v>2334</v>
      </c>
      <c r="P398" s="9">
        <v>1</v>
      </c>
      <c r="Q398" s="11">
        <v>0</v>
      </c>
    </row>
    <row r="399" spans="1:17" ht="100.8" x14ac:dyDescent="0.3">
      <c r="A399" s="1">
        <f t="shared" si="33"/>
        <v>396</v>
      </c>
      <c r="B399" s="2" t="s">
        <v>1839</v>
      </c>
      <c r="C399">
        <v>1</v>
      </c>
      <c r="D399" s="1">
        <f t="shared" si="32"/>
        <v>396</v>
      </c>
      <c r="E399" s="2" t="s">
        <v>2363</v>
      </c>
      <c r="F399" s="9">
        <f t="shared" si="30"/>
        <v>1</v>
      </c>
      <c r="G399" s="11">
        <f t="shared" si="31"/>
        <v>0</v>
      </c>
      <c r="H399" s="11"/>
      <c r="I399" s="1">
        <f t="shared" si="34"/>
        <v>396</v>
      </c>
      <c r="J399" s="2" t="s">
        <v>2339</v>
      </c>
      <c r="K399" s="9">
        <v>1</v>
      </c>
      <c r="L399" s="11">
        <v>0</v>
      </c>
      <c r="M399" s="2"/>
      <c r="N399" s="1">
        <v>396</v>
      </c>
      <c r="O399" s="2" t="s">
        <v>2339</v>
      </c>
      <c r="P399" s="9">
        <v>1</v>
      </c>
      <c r="Q399" s="11">
        <v>0</v>
      </c>
    </row>
    <row r="400" spans="1:17" ht="100.8" x14ac:dyDescent="0.3">
      <c r="A400" s="1">
        <f t="shared" si="33"/>
        <v>397</v>
      </c>
      <c r="B400" s="2" t="s">
        <v>1846</v>
      </c>
      <c r="C400">
        <v>1</v>
      </c>
      <c r="D400" s="1">
        <f t="shared" si="32"/>
        <v>397</v>
      </c>
      <c r="E400" s="2" t="s">
        <v>2367</v>
      </c>
      <c r="F400" s="9">
        <f t="shared" si="30"/>
        <v>1</v>
      </c>
      <c r="G400" s="11">
        <f t="shared" si="31"/>
        <v>0</v>
      </c>
      <c r="H400" s="11"/>
      <c r="I400" s="1">
        <f t="shared" si="34"/>
        <v>397</v>
      </c>
      <c r="J400" s="2" t="s">
        <v>2345</v>
      </c>
      <c r="K400" s="9">
        <v>1</v>
      </c>
      <c r="L400" s="11">
        <v>0</v>
      </c>
      <c r="M400" s="2"/>
      <c r="N400" s="1">
        <v>397</v>
      </c>
      <c r="O400" s="2" t="s">
        <v>2345</v>
      </c>
      <c r="P400" s="9">
        <v>1</v>
      </c>
      <c r="Q400" s="11">
        <v>0</v>
      </c>
    </row>
    <row r="401" spans="1:17" ht="72" x14ac:dyDescent="0.3">
      <c r="A401" s="1">
        <f t="shared" si="33"/>
        <v>398</v>
      </c>
      <c r="B401" s="2" t="s">
        <v>1851</v>
      </c>
      <c r="C401">
        <v>1</v>
      </c>
      <c r="D401" s="1">
        <f t="shared" si="32"/>
        <v>398</v>
      </c>
      <c r="E401" s="2" t="s">
        <v>2374</v>
      </c>
      <c r="F401" s="9">
        <f t="shared" si="30"/>
        <v>1</v>
      </c>
      <c r="G401" s="11">
        <f t="shared" si="31"/>
        <v>0</v>
      </c>
      <c r="H401" s="11"/>
      <c r="I401" s="1">
        <f t="shared" si="34"/>
        <v>398</v>
      </c>
      <c r="J401" s="2" t="s">
        <v>2350</v>
      </c>
      <c r="K401" s="9">
        <v>1</v>
      </c>
      <c r="L401" s="11">
        <v>0</v>
      </c>
      <c r="M401" s="2"/>
      <c r="N401" s="1">
        <v>398</v>
      </c>
      <c r="O401" s="2" t="s">
        <v>2350</v>
      </c>
      <c r="P401" s="9">
        <v>1</v>
      </c>
      <c r="Q401" s="11">
        <v>0</v>
      </c>
    </row>
    <row r="402" spans="1:17" ht="86.4" x14ac:dyDescent="0.3">
      <c r="A402" s="1">
        <f t="shared" si="33"/>
        <v>399</v>
      </c>
      <c r="B402" s="2" t="s">
        <v>1856</v>
      </c>
      <c r="C402">
        <v>1</v>
      </c>
      <c r="D402" s="1">
        <f t="shared" si="32"/>
        <v>399</v>
      </c>
      <c r="E402" s="2" t="s">
        <v>2379</v>
      </c>
      <c r="F402" s="9">
        <f t="shared" si="30"/>
        <v>1</v>
      </c>
      <c r="G402" s="11">
        <f t="shared" si="31"/>
        <v>0</v>
      </c>
      <c r="H402" s="11"/>
      <c r="I402" s="1">
        <f t="shared" si="34"/>
        <v>399</v>
      </c>
      <c r="J402" s="2" t="s">
        <v>2357</v>
      </c>
      <c r="K402" s="9">
        <v>1</v>
      </c>
      <c r="L402" s="11">
        <v>0</v>
      </c>
      <c r="M402" s="2"/>
      <c r="N402" s="1">
        <v>399</v>
      </c>
      <c r="O402" s="2" t="s">
        <v>2357</v>
      </c>
      <c r="P402" s="9">
        <v>1</v>
      </c>
      <c r="Q402" s="11">
        <v>0</v>
      </c>
    </row>
    <row r="403" spans="1:17" ht="86.4" x14ac:dyDescent="0.3">
      <c r="A403" s="1">
        <f t="shared" si="33"/>
        <v>400</v>
      </c>
      <c r="B403" s="2" t="s">
        <v>1864</v>
      </c>
      <c r="C403">
        <v>1</v>
      </c>
      <c r="D403" s="1">
        <f t="shared" si="32"/>
        <v>400</v>
      </c>
      <c r="E403" s="2" t="s">
        <v>2385</v>
      </c>
      <c r="F403" s="9">
        <f t="shared" si="30"/>
        <v>1</v>
      </c>
      <c r="G403" s="11">
        <f t="shared" si="31"/>
        <v>0</v>
      </c>
      <c r="H403" s="11"/>
      <c r="I403" s="1">
        <f t="shared" si="34"/>
        <v>400</v>
      </c>
      <c r="J403" s="2" t="s">
        <v>2363</v>
      </c>
      <c r="K403" s="9">
        <v>1</v>
      </c>
      <c r="L403" s="11">
        <v>0</v>
      </c>
      <c r="M403" s="2"/>
      <c r="N403" s="1">
        <v>400</v>
      </c>
      <c r="O403" s="2" t="s">
        <v>2363</v>
      </c>
      <c r="P403" s="9">
        <v>1</v>
      </c>
      <c r="Q403" s="11">
        <v>0</v>
      </c>
    </row>
    <row r="404" spans="1:17" ht="100.8" x14ac:dyDescent="0.3">
      <c r="A404" s="1">
        <f t="shared" si="33"/>
        <v>401</v>
      </c>
      <c r="B404" s="2" t="s">
        <v>1869</v>
      </c>
      <c r="C404">
        <v>1</v>
      </c>
      <c r="D404" s="1">
        <f t="shared" si="32"/>
        <v>401</v>
      </c>
      <c r="E404" s="2" t="s">
        <v>2390</v>
      </c>
      <c r="F404" s="9">
        <f t="shared" si="30"/>
        <v>1</v>
      </c>
      <c r="G404" s="11">
        <f t="shared" si="31"/>
        <v>0</v>
      </c>
      <c r="H404" s="11"/>
      <c r="I404" s="1">
        <f t="shared" si="34"/>
        <v>401</v>
      </c>
      <c r="J404" s="2" t="s">
        <v>2367</v>
      </c>
      <c r="K404" s="9">
        <v>1</v>
      </c>
      <c r="L404" s="11">
        <v>0</v>
      </c>
      <c r="M404" s="2"/>
      <c r="N404" s="1">
        <v>401</v>
      </c>
      <c r="O404" s="2" t="s">
        <v>2367</v>
      </c>
      <c r="P404" s="9">
        <v>1</v>
      </c>
      <c r="Q404" s="11">
        <v>0</v>
      </c>
    </row>
    <row r="405" spans="1:17" x14ac:dyDescent="0.3">
      <c r="A405" s="1">
        <f t="shared" si="33"/>
        <v>402</v>
      </c>
      <c r="B405" s="2" t="s">
        <v>1874</v>
      </c>
      <c r="C405">
        <v>1</v>
      </c>
      <c r="D405" s="1">
        <f t="shared" si="32"/>
        <v>402</v>
      </c>
      <c r="E405" s="2" t="s">
        <v>2396</v>
      </c>
      <c r="F405" s="9">
        <f t="shared" si="30"/>
        <v>1</v>
      </c>
      <c r="G405" s="11">
        <f t="shared" si="31"/>
        <v>0</v>
      </c>
      <c r="H405" s="11"/>
      <c r="I405" s="1">
        <f t="shared" si="34"/>
        <v>402</v>
      </c>
      <c r="J405" s="2" t="s">
        <v>2374</v>
      </c>
      <c r="K405" s="9">
        <v>1</v>
      </c>
      <c r="L405" s="11">
        <v>0</v>
      </c>
      <c r="M405" s="2"/>
      <c r="N405" s="1">
        <v>402</v>
      </c>
      <c r="O405" s="2" t="s">
        <v>2374</v>
      </c>
      <c r="P405" s="9">
        <v>1</v>
      </c>
      <c r="Q405" s="11">
        <v>0</v>
      </c>
    </row>
    <row r="406" spans="1:17" ht="43.2" x14ac:dyDescent="0.3">
      <c r="A406" s="1">
        <f t="shared" si="33"/>
        <v>403</v>
      </c>
      <c r="B406" s="2" t="s">
        <v>1879</v>
      </c>
      <c r="C406">
        <v>1</v>
      </c>
      <c r="D406" s="1">
        <f t="shared" si="32"/>
        <v>403</v>
      </c>
      <c r="E406" s="2" t="s">
        <v>2405</v>
      </c>
      <c r="F406" s="9">
        <f t="shared" si="30"/>
        <v>1</v>
      </c>
      <c r="G406" s="11">
        <f t="shared" si="31"/>
        <v>0</v>
      </c>
      <c r="H406" s="11"/>
      <c r="I406" s="1">
        <f t="shared" si="34"/>
        <v>403</v>
      </c>
      <c r="J406" s="2" t="s">
        <v>2379</v>
      </c>
      <c r="K406" s="9">
        <v>1</v>
      </c>
      <c r="L406" s="11">
        <v>0</v>
      </c>
      <c r="M406" s="2"/>
      <c r="N406" s="1">
        <v>403</v>
      </c>
      <c r="O406" s="2" t="s">
        <v>2379</v>
      </c>
      <c r="P406" s="9">
        <v>1</v>
      </c>
      <c r="Q406" s="11">
        <v>0</v>
      </c>
    </row>
    <row r="407" spans="1:17" ht="86.4" x14ac:dyDescent="0.3">
      <c r="A407" s="1">
        <f t="shared" si="33"/>
        <v>404</v>
      </c>
      <c r="B407" s="2" t="s">
        <v>1292</v>
      </c>
      <c r="C407">
        <v>0</v>
      </c>
      <c r="D407" s="1">
        <f t="shared" si="32"/>
        <v>404</v>
      </c>
      <c r="E407" s="2" t="s">
        <v>2413</v>
      </c>
      <c r="F407" s="9">
        <f t="shared" si="30"/>
        <v>1</v>
      </c>
      <c r="G407" s="11">
        <f t="shared" si="31"/>
        <v>0</v>
      </c>
      <c r="H407" s="11"/>
      <c r="I407" s="1">
        <f t="shared" si="34"/>
        <v>404</v>
      </c>
      <c r="J407" s="2" t="s">
        <v>2385</v>
      </c>
      <c r="K407" s="9">
        <v>1</v>
      </c>
      <c r="L407" s="11">
        <v>0</v>
      </c>
      <c r="M407" s="2"/>
      <c r="N407" s="1">
        <v>404</v>
      </c>
      <c r="O407" s="2" t="s">
        <v>2385</v>
      </c>
      <c r="P407" s="9">
        <v>1</v>
      </c>
      <c r="Q407" s="11">
        <v>0</v>
      </c>
    </row>
    <row r="408" spans="1:17" ht="100.8" x14ac:dyDescent="0.3">
      <c r="A408" s="1">
        <f t="shared" si="33"/>
        <v>405</v>
      </c>
      <c r="B408" s="2" t="s">
        <v>1888</v>
      </c>
      <c r="C408">
        <v>0</v>
      </c>
      <c r="D408" s="1">
        <f t="shared" si="32"/>
        <v>405</v>
      </c>
      <c r="E408" s="2" t="s">
        <v>2422</v>
      </c>
      <c r="F408" s="9">
        <f t="shared" si="30"/>
        <v>1</v>
      </c>
      <c r="G408" s="11">
        <f t="shared" si="31"/>
        <v>0</v>
      </c>
      <c r="H408" s="11"/>
      <c r="I408" s="1">
        <f t="shared" si="34"/>
        <v>405</v>
      </c>
      <c r="J408" s="2" t="s">
        <v>2390</v>
      </c>
      <c r="K408" s="9">
        <v>1</v>
      </c>
      <c r="L408" s="11">
        <v>0</v>
      </c>
      <c r="M408" s="2"/>
      <c r="N408" s="1">
        <v>405</v>
      </c>
      <c r="O408" s="2" t="s">
        <v>2390</v>
      </c>
      <c r="P408" s="9">
        <v>1</v>
      </c>
      <c r="Q408" s="11">
        <v>0</v>
      </c>
    </row>
    <row r="409" spans="1:17" ht="86.4" x14ac:dyDescent="0.3">
      <c r="A409" s="1">
        <f t="shared" si="33"/>
        <v>406</v>
      </c>
      <c r="B409" s="2" t="s">
        <v>30</v>
      </c>
      <c r="C409">
        <v>0</v>
      </c>
      <c r="D409" s="1">
        <f t="shared" si="32"/>
        <v>406</v>
      </c>
      <c r="E409" s="2" t="s">
        <v>2429</v>
      </c>
      <c r="F409" s="9">
        <f t="shared" si="30"/>
        <v>1</v>
      </c>
      <c r="G409" s="11">
        <f t="shared" si="31"/>
        <v>0</v>
      </c>
      <c r="H409" s="11"/>
      <c r="I409" s="1">
        <f t="shared" si="34"/>
        <v>406</v>
      </c>
      <c r="J409" s="2" t="s">
        <v>2396</v>
      </c>
      <c r="K409" s="9">
        <v>1</v>
      </c>
      <c r="L409" s="11">
        <v>0</v>
      </c>
      <c r="M409" s="2"/>
      <c r="N409" s="1">
        <v>406</v>
      </c>
      <c r="O409" s="2" t="s">
        <v>2396</v>
      </c>
      <c r="P409" s="9">
        <v>1</v>
      </c>
      <c r="Q409" s="11">
        <v>0</v>
      </c>
    </row>
    <row r="410" spans="1:17" ht="129.6" x14ac:dyDescent="0.3">
      <c r="A410" s="1">
        <f t="shared" si="33"/>
        <v>407</v>
      </c>
      <c r="B410" s="2" t="s">
        <v>1896</v>
      </c>
      <c r="C410">
        <v>0</v>
      </c>
      <c r="D410" s="1">
        <f t="shared" si="32"/>
        <v>407</v>
      </c>
      <c r="E410" s="2" t="s">
        <v>2436</v>
      </c>
      <c r="F410" s="9">
        <f t="shared" si="30"/>
        <v>1</v>
      </c>
      <c r="G410" s="11">
        <f t="shared" si="31"/>
        <v>0</v>
      </c>
      <c r="H410" s="11"/>
      <c r="I410" s="1">
        <f t="shared" si="34"/>
        <v>407</v>
      </c>
      <c r="J410" s="2" t="s">
        <v>2405</v>
      </c>
      <c r="K410" s="9">
        <v>1</v>
      </c>
      <c r="L410" s="11">
        <v>0</v>
      </c>
      <c r="M410" s="2"/>
      <c r="N410" s="1">
        <v>407</v>
      </c>
      <c r="O410" s="2" t="s">
        <v>2405</v>
      </c>
      <c r="P410" s="9">
        <v>1</v>
      </c>
      <c r="Q410" s="11">
        <v>0</v>
      </c>
    </row>
    <row r="411" spans="1:17" ht="43.2" x14ac:dyDescent="0.3">
      <c r="A411" s="1">
        <f t="shared" si="33"/>
        <v>408</v>
      </c>
      <c r="B411" s="2" t="s">
        <v>1900</v>
      </c>
      <c r="C411">
        <v>0</v>
      </c>
      <c r="D411" s="1">
        <f t="shared" si="32"/>
        <v>408</v>
      </c>
      <c r="E411" s="2" t="s">
        <v>2441</v>
      </c>
      <c r="F411" s="9">
        <f t="shared" si="30"/>
        <v>1</v>
      </c>
      <c r="G411" s="11">
        <f t="shared" si="31"/>
        <v>0</v>
      </c>
      <c r="H411" s="11"/>
      <c r="I411" s="1">
        <f t="shared" si="34"/>
        <v>408</v>
      </c>
      <c r="J411" s="2" t="s">
        <v>2413</v>
      </c>
      <c r="K411" s="9">
        <v>1</v>
      </c>
      <c r="L411" s="11">
        <v>0</v>
      </c>
      <c r="M411" s="2"/>
      <c r="N411" s="1">
        <v>408</v>
      </c>
      <c r="O411" s="2" t="s">
        <v>2413</v>
      </c>
      <c r="P411" s="9">
        <v>1</v>
      </c>
      <c r="Q411" s="11">
        <v>0</v>
      </c>
    </row>
    <row r="412" spans="1:17" ht="72" x14ac:dyDescent="0.3">
      <c r="A412" s="1">
        <f t="shared" si="33"/>
        <v>409</v>
      </c>
      <c r="B412" s="2" t="s">
        <v>1905</v>
      </c>
      <c r="C412">
        <v>0</v>
      </c>
      <c r="D412" s="1">
        <f t="shared" si="32"/>
        <v>409</v>
      </c>
      <c r="E412" s="2" t="s">
        <v>2446</v>
      </c>
      <c r="F412" s="9">
        <f t="shared" si="30"/>
        <v>1</v>
      </c>
      <c r="G412" s="11">
        <f t="shared" si="31"/>
        <v>0</v>
      </c>
      <c r="H412" s="11"/>
      <c r="I412" s="1">
        <f t="shared" si="34"/>
        <v>409</v>
      </c>
      <c r="J412" s="2" t="s">
        <v>2422</v>
      </c>
      <c r="K412" s="9">
        <v>1</v>
      </c>
      <c r="L412" s="11">
        <v>0</v>
      </c>
      <c r="M412" s="2"/>
      <c r="N412" s="1">
        <v>409</v>
      </c>
      <c r="O412" s="2" t="s">
        <v>2422</v>
      </c>
      <c r="P412" s="9">
        <v>1</v>
      </c>
      <c r="Q412" s="11">
        <v>0</v>
      </c>
    </row>
    <row r="413" spans="1:17" ht="115.2" x14ac:dyDescent="0.3">
      <c r="A413" s="1">
        <f t="shared" si="33"/>
        <v>410</v>
      </c>
      <c r="B413" s="2" t="s">
        <v>1288</v>
      </c>
      <c r="C413">
        <v>0</v>
      </c>
      <c r="D413" s="1">
        <f t="shared" si="32"/>
        <v>410</v>
      </c>
      <c r="E413" s="2" t="s">
        <v>2452</v>
      </c>
      <c r="F413" s="9">
        <f t="shared" si="30"/>
        <v>1</v>
      </c>
      <c r="G413" s="11">
        <f t="shared" si="31"/>
        <v>0</v>
      </c>
      <c r="H413" s="11"/>
      <c r="I413" s="1">
        <f t="shared" si="34"/>
        <v>410</v>
      </c>
      <c r="J413" s="2" t="s">
        <v>2429</v>
      </c>
      <c r="K413" s="9">
        <v>1</v>
      </c>
      <c r="L413" s="11">
        <v>0</v>
      </c>
      <c r="M413" s="2"/>
      <c r="N413" s="1">
        <v>410</v>
      </c>
      <c r="O413" s="2" t="s">
        <v>2429</v>
      </c>
      <c r="P413" s="9">
        <v>1</v>
      </c>
      <c r="Q413" s="11">
        <v>0</v>
      </c>
    </row>
    <row r="414" spans="1:17" ht="100.8" x14ac:dyDescent="0.3">
      <c r="A414" s="1">
        <f t="shared" si="33"/>
        <v>411</v>
      </c>
      <c r="B414" s="2" t="s">
        <v>1913</v>
      </c>
      <c r="C414">
        <v>0</v>
      </c>
      <c r="D414" s="1">
        <f t="shared" si="32"/>
        <v>411</v>
      </c>
      <c r="E414" s="2" t="s">
        <v>2456</v>
      </c>
      <c r="F414" s="9">
        <f t="shared" si="30"/>
        <v>1</v>
      </c>
      <c r="G414" s="11">
        <f t="shared" si="31"/>
        <v>0</v>
      </c>
      <c r="H414" s="11"/>
      <c r="I414" s="1">
        <f t="shared" si="34"/>
        <v>411</v>
      </c>
      <c r="J414" s="2" t="s">
        <v>2436</v>
      </c>
      <c r="K414" s="9">
        <v>1</v>
      </c>
      <c r="L414" s="11">
        <v>0</v>
      </c>
      <c r="M414" s="2"/>
      <c r="N414" s="1">
        <v>411</v>
      </c>
      <c r="O414" s="2" t="s">
        <v>2436</v>
      </c>
      <c r="P414" s="9">
        <v>1</v>
      </c>
      <c r="Q414" s="11">
        <v>0</v>
      </c>
    </row>
    <row r="415" spans="1:17" ht="144" x14ac:dyDescent="0.3">
      <c r="A415" s="1">
        <f t="shared" si="33"/>
        <v>412</v>
      </c>
      <c r="B415" s="2" t="s">
        <v>1918</v>
      </c>
      <c r="C415">
        <v>0</v>
      </c>
      <c r="D415" s="1">
        <f t="shared" si="32"/>
        <v>412</v>
      </c>
      <c r="E415" s="2" t="s">
        <v>2463</v>
      </c>
      <c r="F415" s="9">
        <f t="shared" si="30"/>
        <v>1</v>
      </c>
      <c r="G415" s="11">
        <f t="shared" si="31"/>
        <v>0</v>
      </c>
      <c r="H415" s="11"/>
      <c r="I415" s="1">
        <f t="shared" si="34"/>
        <v>412</v>
      </c>
      <c r="J415" s="2" t="s">
        <v>2441</v>
      </c>
      <c r="K415" s="9">
        <v>1</v>
      </c>
      <c r="L415" s="11">
        <v>0</v>
      </c>
      <c r="M415" s="2"/>
      <c r="N415" s="1">
        <v>412</v>
      </c>
      <c r="O415" s="2" t="s">
        <v>2441</v>
      </c>
      <c r="P415" s="9">
        <v>1</v>
      </c>
      <c r="Q415" s="11">
        <v>0</v>
      </c>
    </row>
    <row r="416" spans="1:17" ht="57.6" x14ac:dyDescent="0.3">
      <c r="A416" s="1">
        <f t="shared" si="33"/>
        <v>413</v>
      </c>
      <c r="B416" s="2" t="s">
        <v>1923</v>
      </c>
      <c r="C416">
        <v>0</v>
      </c>
      <c r="D416" s="1">
        <f t="shared" si="32"/>
        <v>413</v>
      </c>
      <c r="E416" s="2" t="s">
        <v>2472</v>
      </c>
      <c r="F416" s="9">
        <f t="shared" si="30"/>
        <v>1</v>
      </c>
      <c r="G416" s="11">
        <f t="shared" si="31"/>
        <v>0</v>
      </c>
      <c r="H416" s="11"/>
      <c r="I416" s="1">
        <f t="shared" si="34"/>
        <v>413</v>
      </c>
      <c r="J416" s="2" t="s">
        <v>2452</v>
      </c>
      <c r="K416" s="9">
        <v>1</v>
      </c>
      <c r="L416" s="11">
        <v>0</v>
      </c>
      <c r="M416" s="2"/>
      <c r="N416" s="1">
        <v>413</v>
      </c>
      <c r="O416" s="2" t="s">
        <v>2452</v>
      </c>
      <c r="P416" s="9">
        <v>1</v>
      </c>
      <c r="Q416" s="11">
        <v>0</v>
      </c>
    </row>
    <row r="417" spans="1:17" ht="72" x14ac:dyDescent="0.3">
      <c r="A417" s="1">
        <f t="shared" si="33"/>
        <v>414</v>
      </c>
      <c r="B417" s="2" t="s">
        <v>1927</v>
      </c>
      <c r="C417">
        <v>0</v>
      </c>
      <c r="D417" s="1">
        <f t="shared" si="32"/>
        <v>414</v>
      </c>
      <c r="E417" s="2" t="s">
        <v>2477</v>
      </c>
      <c r="F417" s="9">
        <f t="shared" si="30"/>
        <v>1</v>
      </c>
      <c r="G417" s="11">
        <f t="shared" si="31"/>
        <v>0</v>
      </c>
      <c r="H417" s="11"/>
      <c r="I417" s="1">
        <f t="shared" si="34"/>
        <v>414</v>
      </c>
      <c r="J417" s="2" t="s">
        <v>2456</v>
      </c>
      <c r="K417" s="9">
        <v>1</v>
      </c>
      <c r="L417" s="11">
        <v>0</v>
      </c>
      <c r="M417" s="2"/>
      <c r="N417" s="1">
        <v>414</v>
      </c>
      <c r="O417" s="2" t="s">
        <v>2456</v>
      </c>
      <c r="P417" s="9">
        <v>1</v>
      </c>
      <c r="Q417" s="11">
        <v>0</v>
      </c>
    </row>
    <row r="418" spans="1:17" ht="86.4" x14ac:dyDescent="0.3">
      <c r="A418" s="1">
        <f t="shared" si="33"/>
        <v>415</v>
      </c>
      <c r="B418" s="2" t="s">
        <v>486</v>
      </c>
      <c r="C418">
        <v>0</v>
      </c>
      <c r="D418" s="1">
        <f t="shared" si="32"/>
        <v>415</v>
      </c>
      <c r="E418" s="2" t="s">
        <v>2482</v>
      </c>
      <c r="F418" s="9">
        <f t="shared" si="30"/>
        <v>1</v>
      </c>
      <c r="G418" s="11">
        <f t="shared" si="31"/>
        <v>0</v>
      </c>
      <c r="H418" s="11"/>
      <c r="I418" s="1">
        <f t="shared" si="34"/>
        <v>415</v>
      </c>
      <c r="J418" s="2" t="s">
        <v>2463</v>
      </c>
      <c r="K418" s="9">
        <v>1</v>
      </c>
      <c r="L418" s="11">
        <v>0</v>
      </c>
      <c r="M418" s="2"/>
      <c r="N418" s="1">
        <v>415</v>
      </c>
      <c r="O418" s="2" t="s">
        <v>2463</v>
      </c>
      <c r="P418" s="9">
        <v>1</v>
      </c>
      <c r="Q418" s="11">
        <v>0</v>
      </c>
    </row>
    <row r="419" spans="1:17" ht="28.8" x14ac:dyDescent="0.3">
      <c r="A419" s="1">
        <f t="shared" si="33"/>
        <v>416</v>
      </c>
      <c r="B419" s="2" t="s">
        <v>157</v>
      </c>
      <c r="C419">
        <v>0</v>
      </c>
      <c r="D419" s="1">
        <f t="shared" si="32"/>
        <v>416</v>
      </c>
      <c r="E419" s="2" t="s">
        <v>2487</v>
      </c>
      <c r="F419" s="9">
        <f t="shared" si="30"/>
        <v>1</v>
      </c>
      <c r="G419" s="11">
        <f t="shared" si="31"/>
        <v>0</v>
      </c>
      <c r="H419" s="11"/>
      <c r="I419" s="1">
        <f t="shared" si="34"/>
        <v>416</v>
      </c>
      <c r="J419" s="2" t="s">
        <v>2472</v>
      </c>
      <c r="K419" s="9">
        <v>1</v>
      </c>
      <c r="L419" s="11">
        <v>0</v>
      </c>
      <c r="M419" s="2"/>
      <c r="N419" s="1">
        <v>416</v>
      </c>
      <c r="O419" s="2" t="s">
        <v>2472</v>
      </c>
      <c r="P419" s="9">
        <v>1</v>
      </c>
      <c r="Q419" s="11">
        <v>0</v>
      </c>
    </row>
    <row r="420" spans="1:17" ht="43.2" x14ac:dyDescent="0.3">
      <c r="A420" s="1">
        <f t="shared" si="33"/>
        <v>417</v>
      </c>
      <c r="B420" s="2" t="s">
        <v>1937</v>
      </c>
      <c r="C420">
        <v>0</v>
      </c>
      <c r="D420" s="1">
        <f t="shared" si="32"/>
        <v>417</v>
      </c>
      <c r="E420" s="2" t="s">
        <v>2494</v>
      </c>
      <c r="F420" s="9">
        <f t="shared" si="30"/>
        <v>1</v>
      </c>
      <c r="G420" s="11">
        <f t="shared" si="31"/>
        <v>0</v>
      </c>
      <c r="H420" s="11"/>
      <c r="I420" s="1">
        <f t="shared" si="34"/>
        <v>417</v>
      </c>
      <c r="J420" s="2" t="s">
        <v>2477</v>
      </c>
      <c r="K420" s="9">
        <v>1</v>
      </c>
      <c r="L420" s="11">
        <v>0</v>
      </c>
      <c r="M420" s="2"/>
      <c r="N420" s="1">
        <v>417</v>
      </c>
      <c r="O420" s="2" t="s">
        <v>2477</v>
      </c>
      <c r="P420" s="9">
        <v>1</v>
      </c>
      <c r="Q420" s="11">
        <v>0</v>
      </c>
    </row>
    <row r="421" spans="1:17" ht="172.8" x14ac:dyDescent="0.3">
      <c r="A421" s="1">
        <f t="shared" si="33"/>
        <v>418</v>
      </c>
      <c r="B421" s="2" t="s">
        <v>1942</v>
      </c>
      <c r="C421">
        <v>0</v>
      </c>
      <c r="D421" s="1">
        <f t="shared" si="32"/>
        <v>418</v>
      </c>
      <c r="E421" s="2" t="s">
        <v>2500</v>
      </c>
      <c r="F421" s="9">
        <f t="shared" si="30"/>
        <v>1</v>
      </c>
      <c r="G421" s="11">
        <f t="shared" si="31"/>
        <v>0</v>
      </c>
      <c r="H421" s="11"/>
      <c r="I421" s="1">
        <f t="shared" si="34"/>
        <v>418</v>
      </c>
      <c r="J421" s="2" t="s">
        <v>2482</v>
      </c>
      <c r="K421" s="9">
        <v>1</v>
      </c>
      <c r="L421" s="11">
        <v>0</v>
      </c>
      <c r="M421" s="2"/>
      <c r="N421" s="1">
        <v>418</v>
      </c>
      <c r="O421" s="2" t="s">
        <v>2482</v>
      </c>
      <c r="P421" s="9">
        <v>1</v>
      </c>
      <c r="Q421" s="11">
        <v>0</v>
      </c>
    </row>
    <row r="422" spans="1:17" ht="72" x14ac:dyDescent="0.3">
      <c r="A422" s="1">
        <f t="shared" si="33"/>
        <v>419</v>
      </c>
      <c r="B422" s="2" t="s">
        <v>1946</v>
      </c>
      <c r="C422">
        <v>0</v>
      </c>
      <c r="D422" s="1">
        <f t="shared" si="32"/>
        <v>419</v>
      </c>
      <c r="E422" s="2" t="s">
        <v>2506</v>
      </c>
      <c r="F422" s="9">
        <f t="shared" si="30"/>
        <v>1</v>
      </c>
      <c r="G422" s="11">
        <f t="shared" si="31"/>
        <v>0</v>
      </c>
      <c r="H422" s="11"/>
      <c r="I422" s="1">
        <f t="shared" si="34"/>
        <v>419</v>
      </c>
      <c r="J422" s="2" t="s">
        <v>2487</v>
      </c>
      <c r="K422" s="9">
        <v>1</v>
      </c>
      <c r="L422" s="11">
        <v>0</v>
      </c>
      <c r="M422" s="2"/>
      <c r="N422" s="1">
        <v>419</v>
      </c>
      <c r="O422" s="2" t="s">
        <v>2487</v>
      </c>
      <c r="P422" s="9">
        <v>1</v>
      </c>
      <c r="Q422" s="11">
        <v>0</v>
      </c>
    </row>
    <row r="423" spans="1:17" ht="72" x14ac:dyDescent="0.3">
      <c r="A423" s="1">
        <f t="shared" si="33"/>
        <v>420</v>
      </c>
      <c r="B423" s="2" t="s">
        <v>1950</v>
      </c>
      <c r="C423">
        <v>0</v>
      </c>
      <c r="D423" s="1">
        <f t="shared" si="32"/>
        <v>420</v>
      </c>
      <c r="E423" s="2" t="s">
        <v>2513</v>
      </c>
      <c r="F423" s="9">
        <f t="shared" si="30"/>
        <v>1</v>
      </c>
      <c r="G423" s="11">
        <f t="shared" si="31"/>
        <v>0</v>
      </c>
      <c r="H423" s="11"/>
      <c r="I423" s="1">
        <f t="shared" si="34"/>
        <v>420</v>
      </c>
      <c r="J423" s="2" t="s">
        <v>2494</v>
      </c>
      <c r="K423" s="9">
        <v>1</v>
      </c>
      <c r="L423" s="11">
        <v>0</v>
      </c>
      <c r="M423" s="2"/>
      <c r="N423" s="1">
        <v>420</v>
      </c>
      <c r="O423" s="2" t="s">
        <v>2494</v>
      </c>
      <c r="P423" s="9">
        <v>1</v>
      </c>
      <c r="Q423" s="11">
        <v>0</v>
      </c>
    </row>
    <row r="424" spans="1:17" ht="100.8" x14ac:dyDescent="0.3">
      <c r="A424" s="1">
        <f t="shared" si="33"/>
        <v>421</v>
      </c>
      <c r="B424" s="2" t="s">
        <v>1954</v>
      </c>
      <c r="C424">
        <v>0</v>
      </c>
      <c r="D424" s="1">
        <f t="shared" si="32"/>
        <v>421</v>
      </c>
      <c r="E424" s="2" t="s">
        <v>2520</v>
      </c>
      <c r="F424" s="9">
        <f t="shared" si="30"/>
        <v>1</v>
      </c>
      <c r="G424" s="11">
        <f t="shared" si="31"/>
        <v>0</v>
      </c>
      <c r="H424" s="11"/>
      <c r="I424" s="1">
        <f t="shared" si="34"/>
        <v>421</v>
      </c>
      <c r="J424" s="2" t="s">
        <v>2500</v>
      </c>
      <c r="K424" s="9">
        <v>1</v>
      </c>
      <c r="L424" s="11">
        <v>0</v>
      </c>
      <c r="M424" s="2"/>
      <c r="N424" s="1">
        <v>421</v>
      </c>
      <c r="O424" s="2" t="s">
        <v>2500</v>
      </c>
      <c r="P424" s="9">
        <v>1</v>
      </c>
      <c r="Q424" s="11">
        <v>0</v>
      </c>
    </row>
    <row r="425" spans="1:17" ht="43.2" x14ac:dyDescent="0.3">
      <c r="A425" s="1">
        <f t="shared" si="33"/>
        <v>422</v>
      </c>
      <c r="B425" s="2" t="s">
        <v>1958</v>
      </c>
      <c r="C425">
        <v>0</v>
      </c>
      <c r="D425" s="1">
        <f t="shared" si="32"/>
        <v>422</v>
      </c>
      <c r="E425" s="2" t="s">
        <v>2525</v>
      </c>
      <c r="F425" s="9">
        <f t="shared" si="30"/>
        <v>1</v>
      </c>
      <c r="G425" s="11">
        <f t="shared" si="31"/>
        <v>0</v>
      </c>
      <c r="H425" s="11"/>
      <c r="I425" s="1">
        <f t="shared" si="34"/>
        <v>422</v>
      </c>
      <c r="J425" s="2" t="s">
        <v>2506</v>
      </c>
      <c r="K425" s="9">
        <v>1</v>
      </c>
      <c r="L425" s="11">
        <v>0</v>
      </c>
      <c r="M425" s="2"/>
      <c r="N425" s="1">
        <v>422</v>
      </c>
      <c r="O425" s="2" t="s">
        <v>2506</v>
      </c>
      <c r="P425" s="9">
        <v>1</v>
      </c>
      <c r="Q425" s="11">
        <v>0</v>
      </c>
    </row>
    <row r="426" spans="1:17" ht="43.2" x14ac:dyDescent="0.3">
      <c r="A426" s="1">
        <f t="shared" si="33"/>
        <v>423</v>
      </c>
      <c r="B426" s="2" t="s">
        <v>1964</v>
      </c>
      <c r="C426">
        <v>0</v>
      </c>
      <c r="D426" s="1">
        <f t="shared" si="32"/>
        <v>423</v>
      </c>
      <c r="E426" s="2" t="s">
        <v>2528</v>
      </c>
      <c r="F426" s="9">
        <f t="shared" si="30"/>
        <v>1</v>
      </c>
      <c r="G426" s="11">
        <f t="shared" si="31"/>
        <v>0</v>
      </c>
      <c r="H426" s="11"/>
      <c r="I426" s="1">
        <f t="shared" si="34"/>
        <v>423</v>
      </c>
      <c r="J426" s="2" t="s">
        <v>2513</v>
      </c>
      <c r="K426" s="9">
        <v>1</v>
      </c>
      <c r="L426" s="11">
        <v>0</v>
      </c>
      <c r="M426" s="2"/>
      <c r="N426" s="1">
        <v>423</v>
      </c>
      <c r="O426" s="2" t="s">
        <v>2513</v>
      </c>
      <c r="P426" s="9">
        <v>1</v>
      </c>
      <c r="Q426" s="11">
        <v>0</v>
      </c>
    </row>
    <row r="427" spans="1:17" ht="115.2" x14ac:dyDescent="0.3">
      <c r="A427" s="1">
        <f t="shared" si="33"/>
        <v>424</v>
      </c>
      <c r="B427" s="2" t="s">
        <v>816</v>
      </c>
      <c r="C427">
        <v>0</v>
      </c>
      <c r="D427" s="1">
        <f t="shared" si="32"/>
        <v>424</v>
      </c>
      <c r="E427" s="2" t="s">
        <v>2532</v>
      </c>
      <c r="F427" s="9">
        <f t="shared" si="30"/>
        <v>1</v>
      </c>
      <c r="G427" s="11">
        <f t="shared" si="31"/>
        <v>0</v>
      </c>
      <c r="H427" s="11"/>
      <c r="I427" s="1">
        <f t="shared" si="34"/>
        <v>424</v>
      </c>
      <c r="J427" s="2" t="s">
        <v>2520</v>
      </c>
      <c r="K427" s="9">
        <v>1</v>
      </c>
      <c r="L427" s="11">
        <v>0</v>
      </c>
      <c r="M427" s="2"/>
      <c r="N427" s="1">
        <v>424</v>
      </c>
      <c r="O427" s="2" t="s">
        <v>2520</v>
      </c>
      <c r="P427" s="9">
        <v>1</v>
      </c>
      <c r="Q427" s="11">
        <v>0</v>
      </c>
    </row>
    <row r="428" spans="1:17" ht="86.4" x14ac:dyDescent="0.3">
      <c r="A428" s="1">
        <f t="shared" si="33"/>
        <v>425</v>
      </c>
      <c r="B428" s="2" t="s">
        <v>185</v>
      </c>
      <c r="C428">
        <v>0</v>
      </c>
      <c r="D428" s="1">
        <f t="shared" si="32"/>
        <v>425</v>
      </c>
      <c r="E428" s="2" t="s">
        <v>2542</v>
      </c>
      <c r="F428" s="9">
        <f t="shared" si="30"/>
        <v>1</v>
      </c>
      <c r="G428" s="11">
        <f t="shared" si="31"/>
        <v>0</v>
      </c>
      <c r="H428" s="11"/>
      <c r="I428" s="1">
        <f t="shared" si="34"/>
        <v>425</v>
      </c>
      <c r="J428" s="2" t="s">
        <v>2525</v>
      </c>
      <c r="K428" s="9">
        <v>1</v>
      </c>
      <c r="L428" s="11">
        <v>0</v>
      </c>
      <c r="M428" s="2"/>
      <c r="N428" s="1">
        <v>425</v>
      </c>
      <c r="O428" s="2" t="s">
        <v>2525</v>
      </c>
      <c r="P428" s="9">
        <v>1</v>
      </c>
      <c r="Q428" s="11">
        <v>0</v>
      </c>
    </row>
    <row r="429" spans="1:17" ht="158.4" x14ac:dyDescent="0.3">
      <c r="A429" s="1">
        <f t="shared" si="33"/>
        <v>426</v>
      </c>
      <c r="B429" s="2" t="s">
        <v>897</v>
      </c>
      <c r="C429">
        <v>0</v>
      </c>
      <c r="D429" s="1">
        <f t="shared" si="32"/>
        <v>426</v>
      </c>
      <c r="E429" s="2" t="s">
        <v>2549</v>
      </c>
      <c r="F429" s="9">
        <f t="shared" si="30"/>
        <v>1</v>
      </c>
      <c r="G429" s="11">
        <f t="shared" si="31"/>
        <v>0</v>
      </c>
      <c r="H429" s="11"/>
      <c r="I429" s="1">
        <f t="shared" si="34"/>
        <v>426</v>
      </c>
      <c r="J429" s="2" t="s">
        <v>2528</v>
      </c>
      <c r="K429" s="9">
        <v>1</v>
      </c>
      <c r="L429" s="11">
        <v>0</v>
      </c>
      <c r="M429" s="2"/>
      <c r="N429" s="1">
        <v>426</v>
      </c>
      <c r="O429" s="2" t="s">
        <v>2528</v>
      </c>
      <c r="P429" s="9">
        <v>1</v>
      </c>
      <c r="Q429" s="11">
        <v>0</v>
      </c>
    </row>
    <row r="430" spans="1:17" ht="86.4" x14ac:dyDescent="0.3">
      <c r="A430" s="1">
        <f t="shared" si="33"/>
        <v>427</v>
      </c>
      <c r="B430" s="2" t="s">
        <v>1980</v>
      </c>
      <c r="C430">
        <v>0</v>
      </c>
      <c r="D430" s="1">
        <f t="shared" si="32"/>
        <v>427</v>
      </c>
      <c r="E430" s="2" t="s">
        <v>2556</v>
      </c>
      <c r="F430" s="9">
        <f t="shared" si="30"/>
        <v>1</v>
      </c>
      <c r="G430" s="11">
        <f t="shared" si="31"/>
        <v>0</v>
      </c>
      <c r="H430" s="11"/>
      <c r="I430" s="1">
        <f t="shared" si="34"/>
        <v>427</v>
      </c>
      <c r="J430" s="2" t="s">
        <v>2532</v>
      </c>
      <c r="K430" s="9">
        <v>1</v>
      </c>
      <c r="L430" s="11">
        <v>0</v>
      </c>
      <c r="M430" s="2"/>
      <c r="N430" s="1">
        <v>427</v>
      </c>
      <c r="O430" s="2" t="s">
        <v>2532</v>
      </c>
      <c r="P430" s="9">
        <v>1</v>
      </c>
      <c r="Q430" s="11">
        <v>0</v>
      </c>
    </row>
    <row r="431" spans="1:17" ht="129.6" x14ac:dyDescent="0.3">
      <c r="A431" s="1">
        <f t="shared" si="33"/>
        <v>428</v>
      </c>
      <c r="B431" s="2" t="s">
        <v>1984</v>
      </c>
      <c r="C431">
        <v>0</v>
      </c>
      <c r="D431" s="1">
        <f t="shared" si="32"/>
        <v>428</v>
      </c>
      <c r="E431" s="2" t="s">
        <v>2560</v>
      </c>
      <c r="F431" s="9">
        <f t="shared" si="30"/>
        <v>1</v>
      </c>
      <c r="G431" s="11">
        <f t="shared" si="31"/>
        <v>0</v>
      </c>
      <c r="H431" s="11"/>
      <c r="I431" s="1">
        <f t="shared" si="34"/>
        <v>428</v>
      </c>
      <c r="J431" s="2" t="s">
        <v>2542</v>
      </c>
      <c r="K431" s="9">
        <v>1</v>
      </c>
      <c r="L431" s="11">
        <v>0</v>
      </c>
      <c r="M431" s="2"/>
      <c r="N431" s="1">
        <v>428</v>
      </c>
      <c r="O431" s="2" t="s">
        <v>2542</v>
      </c>
      <c r="P431" s="9">
        <v>1</v>
      </c>
      <c r="Q431" s="11">
        <v>0</v>
      </c>
    </row>
    <row r="432" spans="1:17" ht="129.6" x14ac:dyDescent="0.3">
      <c r="A432" s="1">
        <f t="shared" si="33"/>
        <v>429</v>
      </c>
      <c r="B432" s="2" t="s">
        <v>276</v>
      </c>
      <c r="C432">
        <v>0</v>
      </c>
      <c r="D432" s="1">
        <f t="shared" si="32"/>
        <v>429</v>
      </c>
      <c r="E432" s="2" t="s">
        <v>2568</v>
      </c>
      <c r="F432" s="9">
        <f t="shared" si="30"/>
        <v>1</v>
      </c>
      <c r="G432" s="11">
        <f t="shared" si="31"/>
        <v>0</v>
      </c>
      <c r="H432" s="11"/>
      <c r="I432" s="1">
        <f t="shared" si="34"/>
        <v>429</v>
      </c>
      <c r="J432" s="2" t="s">
        <v>2549</v>
      </c>
      <c r="K432" s="9">
        <v>1</v>
      </c>
      <c r="L432" s="11">
        <v>0</v>
      </c>
      <c r="M432" s="2"/>
      <c r="N432" s="1">
        <v>429</v>
      </c>
      <c r="O432" s="2" t="s">
        <v>2549</v>
      </c>
      <c r="P432" s="9">
        <v>1</v>
      </c>
      <c r="Q432" s="11">
        <v>0</v>
      </c>
    </row>
    <row r="433" spans="1:17" ht="72" x14ac:dyDescent="0.3">
      <c r="A433" s="1">
        <f t="shared" si="33"/>
        <v>430</v>
      </c>
      <c r="B433" s="2" t="s">
        <v>486</v>
      </c>
      <c r="C433">
        <v>0</v>
      </c>
      <c r="D433" s="1">
        <f t="shared" si="32"/>
        <v>430</v>
      </c>
      <c r="E433" s="2" t="s">
        <v>2573</v>
      </c>
      <c r="F433" s="9">
        <f t="shared" si="30"/>
        <v>1</v>
      </c>
      <c r="G433" s="11">
        <f t="shared" si="31"/>
        <v>0</v>
      </c>
      <c r="H433" s="11"/>
      <c r="I433" s="1">
        <f t="shared" si="34"/>
        <v>430</v>
      </c>
      <c r="J433" s="2" t="s">
        <v>2556</v>
      </c>
      <c r="K433" s="9">
        <v>1</v>
      </c>
      <c r="L433" s="11">
        <v>0</v>
      </c>
      <c r="M433" s="2"/>
      <c r="N433" s="1">
        <v>430</v>
      </c>
      <c r="O433" s="2" t="s">
        <v>2556</v>
      </c>
      <c r="P433" s="9">
        <v>1</v>
      </c>
      <c r="Q433" s="11">
        <v>0</v>
      </c>
    </row>
    <row r="434" spans="1:17" ht="158.4" x14ac:dyDescent="0.3">
      <c r="A434" s="1">
        <f t="shared" si="33"/>
        <v>431</v>
      </c>
      <c r="B434" s="2" t="s">
        <v>1996</v>
      </c>
      <c r="C434">
        <v>0</v>
      </c>
      <c r="D434" s="1">
        <f t="shared" si="32"/>
        <v>431</v>
      </c>
      <c r="E434" s="2" t="s">
        <v>2585</v>
      </c>
      <c r="F434" s="9">
        <f t="shared" si="30"/>
        <v>1</v>
      </c>
      <c r="G434" s="11">
        <f t="shared" si="31"/>
        <v>0</v>
      </c>
      <c r="H434" s="11"/>
      <c r="I434" s="1">
        <f t="shared" si="34"/>
        <v>431</v>
      </c>
      <c r="J434" s="2" t="s">
        <v>2560</v>
      </c>
      <c r="K434" s="9">
        <v>1</v>
      </c>
      <c r="L434" s="11">
        <v>0</v>
      </c>
      <c r="M434" s="2"/>
      <c r="N434" s="1">
        <v>431</v>
      </c>
      <c r="O434" s="2" t="s">
        <v>2560</v>
      </c>
      <c r="P434" s="9">
        <v>1</v>
      </c>
      <c r="Q434" s="11">
        <v>0</v>
      </c>
    </row>
    <row r="435" spans="1:17" ht="187.2" x14ac:dyDescent="0.3">
      <c r="A435" s="1">
        <f t="shared" si="33"/>
        <v>432</v>
      </c>
      <c r="B435" s="2" t="s">
        <v>30</v>
      </c>
      <c r="C435">
        <v>0</v>
      </c>
      <c r="D435" s="1">
        <f t="shared" si="32"/>
        <v>432</v>
      </c>
      <c r="E435" s="2" t="s">
        <v>2592</v>
      </c>
      <c r="F435" s="9">
        <f t="shared" si="30"/>
        <v>1</v>
      </c>
      <c r="G435" s="11">
        <f t="shared" si="31"/>
        <v>0</v>
      </c>
      <c r="H435" s="11"/>
      <c r="I435" s="1">
        <f t="shared" si="34"/>
        <v>432</v>
      </c>
      <c r="J435" s="2" t="s">
        <v>2573</v>
      </c>
      <c r="K435" s="9">
        <v>1</v>
      </c>
      <c r="L435" s="11">
        <v>0</v>
      </c>
      <c r="M435" s="2"/>
      <c r="N435" s="1">
        <v>432</v>
      </c>
      <c r="O435" s="2" t="s">
        <v>2573</v>
      </c>
      <c r="P435" s="9">
        <v>1</v>
      </c>
      <c r="Q435" s="11">
        <v>0</v>
      </c>
    </row>
    <row r="436" spans="1:17" ht="115.2" x14ac:dyDescent="0.3">
      <c r="A436" s="1">
        <f t="shared" si="33"/>
        <v>433</v>
      </c>
      <c r="B436" s="2" t="s">
        <v>30</v>
      </c>
      <c r="C436">
        <v>0</v>
      </c>
      <c r="D436" s="1">
        <f t="shared" si="32"/>
        <v>433</v>
      </c>
      <c r="E436" s="2" t="s">
        <v>2601</v>
      </c>
      <c r="F436" s="9">
        <f t="shared" si="30"/>
        <v>1</v>
      </c>
      <c r="G436" s="11">
        <f t="shared" si="31"/>
        <v>0</v>
      </c>
      <c r="H436" s="11"/>
      <c r="I436" s="1">
        <f t="shared" si="34"/>
        <v>433</v>
      </c>
      <c r="J436" s="2" t="s">
        <v>2585</v>
      </c>
      <c r="K436" s="9">
        <v>1</v>
      </c>
      <c r="L436" s="11">
        <v>0</v>
      </c>
      <c r="M436" s="2"/>
      <c r="N436" s="1">
        <v>433</v>
      </c>
      <c r="O436" s="2" t="s">
        <v>2585</v>
      </c>
      <c r="P436" s="9">
        <v>1</v>
      </c>
      <c r="Q436" s="11">
        <v>0</v>
      </c>
    </row>
    <row r="437" spans="1:17" ht="129.6" x14ac:dyDescent="0.3">
      <c r="A437" s="1">
        <f t="shared" si="33"/>
        <v>434</v>
      </c>
      <c r="B437" s="2" t="s">
        <v>2006</v>
      </c>
      <c r="C437">
        <v>0</v>
      </c>
      <c r="D437" s="1">
        <f t="shared" si="32"/>
        <v>434</v>
      </c>
      <c r="E437" s="2" t="s">
        <v>2606</v>
      </c>
      <c r="F437" s="9">
        <f t="shared" si="30"/>
        <v>1</v>
      </c>
      <c r="G437" s="11">
        <f t="shared" si="31"/>
        <v>0</v>
      </c>
      <c r="H437" s="11"/>
      <c r="I437" s="1">
        <f t="shared" si="34"/>
        <v>434</v>
      </c>
      <c r="J437" s="2" t="s">
        <v>2592</v>
      </c>
      <c r="K437" s="9">
        <v>1</v>
      </c>
      <c r="L437" s="11">
        <v>0</v>
      </c>
      <c r="M437" s="2"/>
      <c r="N437" s="1">
        <v>434</v>
      </c>
      <c r="O437" s="2" t="s">
        <v>2592</v>
      </c>
      <c r="P437" s="9">
        <v>1</v>
      </c>
      <c r="Q437" s="11">
        <v>0</v>
      </c>
    </row>
    <row r="438" spans="1:17" ht="57.6" x14ac:dyDescent="0.3">
      <c r="A438" s="1">
        <f t="shared" si="33"/>
        <v>435</v>
      </c>
      <c r="B438" s="2" t="s">
        <v>2010</v>
      </c>
      <c r="C438">
        <v>0</v>
      </c>
      <c r="D438" s="1">
        <f t="shared" si="32"/>
        <v>435</v>
      </c>
      <c r="E438" s="2" t="s">
        <v>2610</v>
      </c>
      <c r="F438" s="9">
        <f t="shared" si="30"/>
        <v>1</v>
      </c>
      <c r="G438" s="11">
        <f t="shared" si="31"/>
        <v>0</v>
      </c>
      <c r="H438" s="11"/>
      <c r="I438" s="1">
        <f t="shared" si="34"/>
        <v>435</v>
      </c>
      <c r="J438" s="2" t="s">
        <v>2601</v>
      </c>
      <c r="K438" s="9">
        <v>1</v>
      </c>
      <c r="L438" s="11">
        <v>0</v>
      </c>
      <c r="M438" s="2"/>
      <c r="N438" s="1">
        <v>435</v>
      </c>
      <c r="O438" s="2" t="s">
        <v>2601</v>
      </c>
      <c r="P438" s="9">
        <v>1</v>
      </c>
      <c r="Q438" s="11">
        <v>0</v>
      </c>
    </row>
    <row r="439" spans="1:17" ht="129.6" x14ac:dyDescent="0.3">
      <c r="A439" s="1">
        <f t="shared" si="33"/>
        <v>436</v>
      </c>
      <c r="B439" s="2" t="s">
        <v>581</v>
      </c>
      <c r="C439">
        <v>0</v>
      </c>
      <c r="D439" s="1">
        <f t="shared" si="32"/>
        <v>436</v>
      </c>
      <c r="E439" s="2" t="s">
        <v>2613</v>
      </c>
      <c r="F439" s="9">
        <f t="shared" si="30"/>
        <v>1</v>
      </c>
      <c r="G439" s="11">
        <f t="shared" si="31"/>
        <v>0</v>
      </c>
      <c r="H439" s="11"/>
      <c r="I439" s="1">
        <f t="shared" si="34"/>
        <v>436</v>
      </c>
      <c r="J439" s="2" t="s">
        <v>2606</v>
      </c>
      <c r="K439" s="9">
        <v>1</v>
      </c>
      <c r="L439" s="11">
        <v>0</v>
      </c>
      <c r="M439" s="2"/>
      <c r="N439" s="1">
        <v>436</v>
      </c>
      <c r="O439" s="2" t="s">
        <v>2606</v>
      </c>
      <c r="P439" s="9">
        <v>1</v>
      </c>
      <c r="Q439" s="11">
        <v>0</v>
      </c>
    </row>
    <row r="440" spans="1:17" ht="72" x14ac:dyDescent="0.3">
      <c r="A440" s="1">
        <f t="shared" si="33"/>
        <v>437</v>
      </c>
      <c r="B440" s="2" t="s">
        <v>2017</v>
      </c>
      <c r="C440">
        <v>0</v>
      </c>
      <c r="D440" s="1">
        <f t="shared" si="32"/>
        <v>437</v>
      </c>
      <c r="E440" s="2" t="s">
        <v>2619</v>
      </c>
      <c r="F440" s="9">
        <f t="shared" si="30"/>
        <v>1</v>
      </c>
      <c r="G440" s="11">
        <f t="shared" si="31"/>
        <v>0</v>
      </c>
      <c r="H440" s="11"/>
      <c r="I440" s="1">
        <f t="shared" si="34"/>
        <v>437</v>
      </c>
      <c r="J440" s="2" t="s">
        <v>2610</v>
      </c>
      <c r="K440" s="9">
        <v>1</v>
      </c>
      <c r="L440" s="11">
        <v>0</v>
      </c>
      <c r="M440" s="2"/>
      <c r="N440" s="1">
        <v>437</v>
      </c>
      <c r="O440" s="2" t="s">
        <v>2610</v>
      </c>
      <c r="P440" s="9">
        <v>1</v>
      </c>
      <c r="Q440" s="11">
        <v>0</v>
      </c>
    </row>
    <row r="441" spans="1:17" ht="129.6" x14ac:dyDescent="0.3">
      <c r="A441" s="1">
        <f t="shared" si="33"/>
        <v>438</v>
      </c>
      <c r="B441" s="2" t="s">
        <v>2021</v>
      </c>
      <c r="C441">
        <v>0</v>
      </c>
      <c r="D441" s="1">
        <f t="shared" si="32"/>
        <v>438</v>
      </c>
      <c r="E441" s="2" t="s">
        <v>2624</v>
      </c>
      <c r="F441" s="9">
        <f t="shared" si="30"/>
        <v>1</v>
      </c>
      <c r="G441" s="11">
        <f t="shared" si="31"/>
        <v>0</v>
      </c>
      <c r="H441" s="11"/>
      <c r="I441" s="1">
        <f t="shared" si="34"/>
        <v>438</v>
      </c>
      <c r="J441" s="2" t="s">
        <v>2619</v>
      </c>
      <c r="K441" s="9">
        <v>1</v>
      </c>
      <c r="L441" s="11">
        <v>0</v>
      </c>
      <c r="M441" s="2"/>
      <c r="N441" s="1">
        <v>438</v>
      </c>
      <c r="O441" s="2" t="s">
        <v>2619</v>
      </c>
      <c r="P441" s="9">
        <v>1</v>
      </c>
      <c r="Q441" s="11">
        <v>0</v>
      </c>
    </row>
    <row r="442" spans="1:17" ht="86.4" x14ac:dyDescent="0.3">
      <c r="A442" s="1">
        <f t="shared" si="33"/>
        <v>439</v>
      </c>
      <c r="B442" s="2" t="s">
        <v>48</v>
      </c>
      <c r="C442">
        <v>0</v>
      </c>
      <c r="D442" s="1">
        <f t="shared" si="32"/>
        <v>439</v>
      </c>
      <c r="E442" s="2" t="s">
        <v>2630</v>
      </c>
      <c r="F442" s="9">
        <f t="shared" si="30"/>
        <v>1</v>
      </c>
      <c r="G442" s="11">
        <f t="shared" si="31"/>
        <v>0</v>
      </c>
      <c r="H442" s="11"/>
      <c r="I442" s="1">
        <f t="shared" si="34"/>
        <v>439</v>
      </c>
      <c r="J442" s="2" t="s">
        <v>2624</v>
      </c>
      <c r="K442" s="9">
        <v>1</v>
      </c>
      <c r="L442" s="11">
        <v>0</v>
      </c>
      <c r="M442" s="2"/>
      <c r="N442" s="1">
        <v>439</v>
      </c>
      <c r="O442" s="2" t="s">
        <v>2624</v>
      </c>
      <c r="P442" s="9">
        <v>1</v>
      </c>
      <c r="Q442" s="11">
        <v>0</v>
      </c>
    </row>
    <row r="443" spans="1:17" ht="100.8" x14ac:dyDescent="0.3">
      <c r="A443" s="1">
        <f t="shared" si="33"/>
        <v>440</v>
      </c>
      <c r="B443" s="2" t="s">
        <v>640</v>
      </c>
      <c r="C443">
        <v>0</v>
      </c>
      <c r="D443" s="1">
        <f t="shared" si="32"/>
        <v>440</v>
      </c>
      <c r="E443" s="2" t="s">
        <v>2635</v>
      </c>
      <c r="F443" s="9">
        <f t="shared" si="30"/>
        <v>1</v>
      </c>
      <c r="G443" s="11">
        <f t="shared" si="31"/>
        <v>0</v>
      </c>
      <c r="H443" s="11"/>
      <c r="I443" s="1">
        <f t="shared" si="34"/>
        <v>440</v>
      </c>
      <c r="J443" s="2" t="s">
        <v>2630</v>
      </c>
      <c r="K443" s="9">
        <v>1</v>
      </c>
      <c r="L443" s="11">
        <v>0</v>
      </c>
      <c r="M443" s="2"/>
      <c r="N443" s="1">
        <v>440</v>
      </c>
      <c r="O443" s="2" t="s">
        <v>2630</v>
      </c>
      <c r="P443" s="9">
        <v>1</v>
      </c>
      <c r="Q443" s="11">
        <v>0</v>
      </c>
    </row>
    <row r="444" spans="1:17" ht="100.8" x14ac:dyDescent="0.3">
      <c r="A444" s="1">
        <f t="shared" si="33"/>
        <v>441</v>
      </c>
      <c r="B444" s="2" t="s">
        <v>2035</v>
      </c>
      <c r="C444">
        <v>0</v>
      </c>
      <c r="D444" s="1">
        <f t="shared" si="32"/>
        <v>441</v>
      </c>
      <c r="E444" s="2" t="s">
        <v>2641</v>
      </c>
      <c r="F444" s="9">
        <f t="shared" si="30"/>
        <v>1</v>
      </c>
      <c r="G444" s="11">
        <f t="shared" si="31"/>
        <v>0</v>
      </c>
      <c r="H444" s="11"/>
      <c r="I444" s="1">
        <f t="shared" si="34"/>
        <v>441</v>
      </c>
      <c r="J444" s="2" t="s">
        <v>2635</v>
      </c>
      <c r="K444" s="9">
        <v>1</v>
      </c>
      <c r="L444" s="11">
        <v>0</v>
      </c>
      <c r="M444" s="2"/>
      <c r="N444" s="1">
        <v>441</v>
      </c>
      <c r="O444" s="2" t="s">
        <v>2635</v>
      </c>
      <c r="P444" s="9">
        <v>1</v>
      </c>
      <c r="Q444" s="11">
        <v>0</v>
      </c>
    </row>
    <row r="445" spans="1:17" ht="129.6" x14ac:dyDescent="0.3">
      <c r="A445" s="1">
        <f t="shared" si="33"/>
        <v>442</v>
      </c>
      <c r="B445" s="2" t="s">
        <v>2040</v>
      </c>
      <c r="C445">
        <v>0</v>
      </c>
      <c r="D445" s="1">
        <f t="shared" si="32"/>
        <v>442</v>
      </c>
      <c r="E445" s="2" t="s">
        <v>2650</v>
      </c>
      <c r="F445" s="9">
        <f t="shared" si="30"/>
        <v>1</v>
      </c>
      <c r="G445" s="11">
        <f t="shared" si="31"/>
        <v>0</v>
      </c>
      <c r="H445" s="11"/>
      <c r="I445" s="1">
        <f t="shared" si="34"/>
        <v>442</v>
      </c>
      <c r="J445" s="2" t="s">
        <v>2641</v>
      </c>
      <c r="K445" s="9">
        <v>1</v>
      </c>
      <c r="L445" s="11">
        <v>0</v>
      </c>
      <c r="M445" s="2"/>
      <c r="N445" s="1">
        <v>442</v>
      </c>
      <c r="O445" s="2" t="s">
        <v>2641</v>
      </c>
      <c r="P445" s="9">
        <v>1</v>
      </c>
      <c r="Q445" s="11">
        <v>0</v>
      </c>
    </row>
    <row r="446" spans="1:17" ht="100.8" x14ac:dyDescent="0.3">
      <c r="A446" s="1">
        <f t="shared" si="33"/>
        <v>443</v>
      </c>
      <c r="B446" s="2" t="s">
        <v>753</v>
      </c>
      <c r="C446">
        <v>0</v>
      </c>
      <c r="D446" s="1">
        <f t="shared" si="32"/>
        <v>443</v>
      </c>
      <c r="E446" s="2" t="s">
        <v>2657</v>
      </c>
      <c r="F446" s="9">
        <f t="shared" si="30"/>
        <v>1</v>
      </c>
      <c r="G446" s="11">
        <f t="shared" si="31"/>
        <v>0</v>
      </c>
      <c r="H446" s="11"/>
      <c r="I446" s="1">
        <f t="shared" si="34"/>
        <v>443</v>
      </c>
      <c r="J446" s="2" t="s">
        <v>2650</v>
      </c>
      <c r="K446" s="9">
        <v>1</v>
      </c>
      <c r="L446" s="11">
        <v>0</v>
      </c>
      <c r="M446" s="2"/>
      <c r="N446" s="1">
        <v>443</v>
      </c>
      <c r="O446" s="2" t="s">
        <v>2650</v>
      </c>
      <c r="P446" s="9">
        <v>1</v>
      </c>
      <c r="Q446" s="11">
        <v>0</v>
      </c>
    </row>
    <row r="447" spans="1:17" ht="28.8" x14ac:dyDescent="0.3">
      <c r="A447" s="1">
        <f t="shared" si="33"/>
        <v>444</v>
      </c>
      <c r="B447" s="2" t="s">
        <v>2048</v>
      </c>
      <c r="C447">
        <v>0</v>
      </c>
      <c r="D447" s="1">
        <f t="shared" si="32"/>
        <v>444</v>
      </c>
      <c r="E447" s="2" t="s">
        <v>2664</v>
      </c>
      <c r="F447" s="9">
        <f t="shared" si="30"/>
        <v>1</v>
      </c>
      <c r="G447" s="11">
        <f t="shared" si="31"/>
        <v>0</v>
      </c>
      <c r="H447" s="11"/>
      <c r="I447" s="1">
        <f t="shared" si="34"/>
        <v>444</v>
      </c>
      <c r="J447" s="2" t="s">
        <v>2664</v>
      </c>
      <c r="K447" s="9">
        <v>1</v>
      </c>
      <c r="L447" s="11">
        <v>0</v>
      </c>
      <c r="M447" s="2"/>
      <c r="N447" s="1">
        <v>444</v>
      </c>
      <c r="O447" s="2" t="s">
        <v>2664</v>
      </c>
      <c r="P447" s="9">
        <v>1</v>
      </c>
      <c r="Q447" s="11">
        <v>0</v>
      </c>
    </row>
    <row r="448" spans="1:17" ht="144" x14ac:dyDescent="0.3">
      <c r="A448" s="1">
        <f t="shared" si="33"/>
        <v>445</v>
      </c>
      <c r="B448" s="2" t="s">
        <v>2052</v>
      </c>
      <c r="C448">
        <v>0</v>
      </c>
      <c r="D448" s="1">
        <f t="shared" si="32"/>
        <v>445</v>
      </c>
      <c r="E448" s="2" t="s">
        <v>2672</v>
      </c>
      <c r="F448" s="9">
        <f t="shared" si="30"/>
        <v>1</v>
      </c>
      <c r="G448" s="11">
        <f t="shared" si="31"/>
        <v>0</v>
      </c>
      <c r="H448" s="11"/>
      <c r="I448" s="1">
        <f t="shared" si="34"/>
        <v>445</v>
      </c>
      <c r="J448" s="2" t="s">
        <v>2672</v>
      </c>
      <c r="K448" s="9">
        <v>1</v>
      </c>
      <c r="L448" s="11">
        <v>0</v>
      </c>
      <c r="M448" s="2"/>
      <c r="N448" s="1">
        <v>445</v>
      </c>
      <c r="O448" s="2" t="s">
        <v>2672</v>
      </c>
      <c r="P448" s="9">
        <v>1</v>
      </c>
      <c r="Q448" s="11">
        <v>0</v>
      </c>
    </row>
    <row r="449" spans="1:17" ht="144" x14ac:dyDescent="0.3">
      <c r="A449" s="1">
        <f t="shared" si="33"/>
        <v>446</v>
      </c>
      <c r="B449" s="2" t="s">
        <v>2056</v>
      </c>
      <c r="C449">
        <v>0</v>
      </c>
      <c r="D449" s="1">
        <f t="shared" si="32"/>
        <v>446</v>
      </c>
      <c r="E449" s="2" t="s">
        <v>2678</v>
      </c>
      <c r="F449" s="9">
        <f t="shared" si="30"/>
        <v>1</v>
      </c>
      <c r="G449" s="11">
        <f t="shared" si="31"/>
        <v>0</v>
      </c>
      <c r="H449" s="11"/>
      <c r="I449" s="1">
        <f t="shared" si="34"/>
        <v>446</v>
      </c>
      <c r="J449" s="2" t="s">
        <v>2678</v>
      </c>
      <c r="K449" s="9">
        <v>1</v>
      </c>
      <c r="L449" s="11">
        <v>0</v>
      </c>
      <c r="M449" s="2"/>
      <c r="N449" s="1">
        <v>446</v>
      </c>
      <c r="O449" s="2" t="s">
        <v>2678</v>
      </c>
      <c r="P449" s="9">
        <v>1</v>
      </c>
      <c r="Q449" s="11">
        <v>0</v>
      </c>
    </row>
    <row r="450" spans="1:17" ht="100.8" x14ac:dyDescent="0.3">
      <c r="A450" s="1">
        <f t="shared" si="33"/>
        <v>447</v>
      </c>
      <c r="B450" s="2" t="s">
        <v>883</v>
      </c>
      <c r="C450">
        <v>0</v>
      </c>
      <c r="D450" s="1">
        <f t="shared" si="32"/>
        <v>447</v>
      </c>
      <c r="E450" s="2" t="s">
        <v>2683</v>
      </c>
      <c r="F450" s="9">
        <f t="shared" si="30"/>
        <v>1</v>
      </c>
      <c r="G450" s="11">
        <f t="shared" si="31"/>
        <v>0</v>
      </c>
      <c r="H450" s="11"/>
      <c r="I450" s="1">
        <f t="shared" si="34"/>
        <v>447</v>
      </c>
      <c r="J450" s="2" t="s">
        <v>2683</v>
      </c>
      <c r="K450" s="9">
        <v>1</v>
      </c>
      <c r="L450" s="11">
        <v>0</v>
      </c>
      <c r="M450" s="2"/>
      <c r="N450" s="1">
        <v>447</v>
      </c>
      <c r="O450" s="2" t="s">
        <v>2683</v>
      </c>
      <c r="P450" s="9">
        <v>1</v>
      </c>
      <c r="Q450" s="11">
        <v>0</v>
      </c>
    </row>
    <row r="451" spans="1:17" ht="115.2" x14ac:dyDescent="0.3">
      <c r="A451" s="1">
        <f t="shared" si="33"/>
        <v>448</v>
      </c>
      <c r="B451" s="2" t="s">
        <v>2063</v>
      </c>
      <c r="C451">
        <v>0</v>
      </c>
      <c r="D451" s="1">
        <f t="shared" si="32"/>
        <v>448</v>
      </c>
      <c r="E451" s="2" t="s">
        <v>2687</v>
      </c>
      <c r="F451" s="9">
        <f t="shared" si="30"/>
        <v>1</v>
      </c>
      <c r="G451" s="11">
        <f t="shared" si="31"/>
        <v>0</v>
      </c>
      <c r="H451" s="11"/>
      <c r="I451" s="1">
        <f t="shared" si="34"/>
        <v>448</v>
      </c>
      <c r="J451" s="2" t="s">
        <v>2687</v>
      </c>
      <c r="K451" s="9">
        <v>1</v>
      </c>
      <c r="L451" s="11">
        <v>0</v>
      </c>
      <c r="M451" s="2"/>
      <c r="N451" s="1">
        <v>448</v>
      </c>
      <c r="O451" s="2" t="s">
        <v>2687</v>
      </c>
      <c r="P451" s="9">
        <v>1</v>
      </c>
      <c r="Q451" s="11">
        <v>0</v>
      </c>
    </row>
    <row r="452" spans="1:17" ht="129.6" x14ac:dyDescent="0.3">
      <c r="A452" s="1">
        <f t="shared" si="33"/>
        <v>449</v>
      </c>
      <c r="B452" s="2" t="s">
        <v>2067</v>
      </c>
      <c r="C452">
        <v>0</v>
      </c>
      <c r="D452" s="1">
        <f t="shared" si="32"/>
        <v>449</v>
      </c>
      <c r="E452" s="2" t="s">
        <v>2692</v>
      </c>
      <c r="F452" s="9">
        <f t="shared" ref="F452:F477" si="35">COUNTIF(B452:B1074,J452)</f>
        <v>1</v>
      </c>
      <c r="G452" s="11">
        <f t="shared" ref="G452:G480" si="36">SUMIF($B$4:$B$626,E452,$C$4:$C$626)</f>
        <v>0</v>
      </c>
      <c r="H452" s="11"/>
      <c r="I452" s="1">
        <f t="shared" si="34"/>
        <v>449</v>
      </c>
      <c r="J452" s="2" t="s">
        <v>2692</v>
      </c>
      <c r="K452" s="9">
        <v>1</v>
      </c>
      <c r="L452" s="11">
        <v>0</v>
      </c>
      <c r="M452" s="2"/>
      <c r="N452" s="1">
        <v>449</v>
      </c>
      <c r="O452" s="2" t="s">
        <v>2692</v>
      </c>
      <c r="P452" s="9">
        <v>1</v>
      </c>
      <c r="Q452" s="11">
        <v>0</v>
      </c>
    </row>
    <row r="453" spans="1:17" ht="72" x14ac:dyDescent="0.3">
      <c r="A453" s="1">
        <f t="shared" si="33"/>
        <v>450</v>
      </c>
      <c r="B453" s="2" t="s">
        <v>2071</v>
      </c>
      <c r="C453">
        <v>0</v>
      </c>
      <c r="D453" s="1">
        <f t="shared" ref="D453:D480" si="37">+D452+1</f>
        <v>450</v>
      </c>
      <c r="E453" s="2" t="s">
        <v>2697</v>
      </c>
      <c r="F453" s="9">
        <f t="shared" si="35"/>
        <v>1</v>
      </c>
      <c r="G453" s="11">
        <f t="shared" si="36"/>
        <v>0</v>
      </c>
      <c r="H453" s="11"/>
      <c r="I453" s="1">
        <f t="shared" si="34"/>
        <v>450</v>
      </c>
      <c r="J453" s="2" t="s">
        <v>2697</v>
      </c>
      <c r="K453" s="9">
        <v>1</v>
      </c>
      <c r="L453" s="11">
        <v>0</v>
      </c>
      <c r="M453" s="2"/>
      <c r="N453" s="1">
        <v>450</v>
      </c>
      <c r="O453" s="2" t="s">
        <v>2697</v>
      </c>
      <c r="P453" s="9">
        <v>1</v>
      </c>
      <c r="Q453" s="11">
        <v>0</v>
      </c>
    </row>
    <row r="454" spans="1:17" ht="129.6" x14ac:dyDescent="0.3">
      <c r="A454" s="1">
        <f t="shared" ref="A454:A517" si="38">+A453+1</f>
        <v>451</v>
      </c>
      <c r="B454" s="2" t="s">
        <v>2075</v>
      </c>
      <c r="C454">
        <v>0</v>
      </c>
      <c r="D454" s="1">
        <f t="shared" si="37"/>
        <v>451</v>
      </c>
      <c r="E454" s="2" t="s">
        <v>2702</v>
      </c>
      <c r="F454" s="9">
        <f t="shared" si="35"/>
        <v>1</v>
      </c>
      <c r="G454" s="11">
        <f t="shared" si="36"/>
        <v>0</v>
      </c>
      <c r="H454" s="11"/>
      <c r="I454" s="1">
        <f t="shared" ref="I454:I480" si="39">+I453+1</f>
        <v>451</v>
      </c>
      <c r="J454" s="2" t="s">
        <v>2702</v>
      </c>
      <c r="K454" s="9">
        <v>1</v>
      </c>
      <c r="L454" s="11">
        <v>0</v>
      </c>
      <c r="M454" s="2"/>
      <c r="N454" s="1">
        <v>451</v>
      </c>
      <c r="O454" s="2" t="s">
        <v>2702</v>
      </c>
      <c r="P454" s="9">
        <v>1</v>
      </c>
      <c r="Q454" s="11">
        <v>0</v>
      </c>
    </row>
    <row r="455" spans="1:17" ht="129.6" x14ac:dyDescent="0.3">
      <c r="A455" s="1">
        <f t="shared" si="38"/>
        <v>452</v>
      </c>
      <c r="B455" s="2" t="s">
        <v>2079</v>
      </c>
      <c r="C455">
        <v>0</v>
      </c>
      <c r="D455" s="1">
        <f t="shared" si="37"/>
        <v>452</v>
      </c>
      <c r="E455" s="2" t="s">
        <v>2708</v>
      </c>
      <c r="F455" s="9">
        <f t="shared" si="35"/>
        <v>1</v>
      </c>
      <c r="G455" s="11">
        <f t="shared" si="36"/>
        <v>0</v>
      </c>
      <c r="H455" s="11"/>
      <c r="I455" s="1">
        <f t="shared" si="39"/>
        <v>452</v>
      </c>
      <c r="J455" s="2" t="s">
        <v>2708</v>
      </c>
      <c r="K455" s="9">
        <v>1</v>
      </c>
      <c r="L455" s="11">
        <v>0</v>
      </c>
      <c r="M455" s="2"/>
      <c r="N455" s="1">
        <v>452</v>
      </c>
      <c r="O455" s="2" t="s">
        <v>2708</v>
      </c>
      <c r="P455" s="9">
        <v>1</v>
      </c>
      <c r="Q455" s="11">
        <v>0</v>
      </c>
    </row>
    <row r="456" spans="1:17" ht="100.8" x14ac:dyDescent="0.3">
      <c r="A456" s="1">
        <f t="shared" si="38"/>
        <v>453</v>
      </c>
      <c r="B456" s="2" t="s">
        <v>1513</v>
      </c>
      <c r="C456">
        <v>0</v>
      </c>
      <c r="D456" s="1">
        <f t="shared" si="37"/>
        <v>453</v>
      </c>
      <c r="E456" s="2" t="s">
        <v>2717</v>
      </c>
      <c r="F456" s="9">
        <f t="shared" si="35"/>
        <v>1</v>
      </c>
      <c r="G456" s="11">
        <f t="shared" si="36"/>
        <v>0</v>
      </c>
      <c r="H456" s="11"/>
      <c r="I456" s="1">
        <f t="shared" si="39"/>
        <v>453</v>
      </c>
      <c r="J456" s="2" t="s">
        <v>2717</v>
      </c>
      <c r="K456" s="9">
        <v>1</v>
      </c>
      <c r="L456" s="11">
        <v>0</v>
      </c>
      <c r="M456" s="2"/>
      <c r="N456" s="1">
        <v>453</v>
      </c>
      <c r="O456" s="2" t="s">
        <v>2717</v>
      </c>
      <c r="P456" s="9">
        <v>1</v>
      </c>
      <c r="Q456" s="11">
        <v>0</v>
      </c>
    </row>
    <row r="457" spans="1:17" ht="115.2" x14ac:dyDescent="0.3">
      <c r="A457" s="1">
        <f t="shared" si="38"/>
        <v>454</v>
      </c>
      <c r="B457" s="2" t="s">
        <v>2086</v>
      </c>
      <c r="C457">
        <v>0</v>
      </c>
      <c r="D457" s="1">
        <f t="shared" si="37"/>
        <v>454</v>
      </c>
      <c r="E457" s="2" t="s">
        <v>2722</v>
      </c>
      <c r="F457" s="9">
        <f t="shared" si="35"/>
        <v>1</v>
      </c>
      <c r="G457" s="11">
        <f t="shared" si="36"/>
        <v>0</v>
      </c>
      <c r="H457" s="11"/>
      <c r="I457" s="1">
        <f t="shared" si="39"/>
        <v>454</v>
      </c>
      <c r="J457" s="2" t="s">
        <v>2722</v>
      </c>
      <c r="K457" s="9">
        <v>1</v>
      </c>
      <c r="L457" s="11">
        <v>0</v>
      </c>
      <c r="M457" s="2"/>
      <c r="N457" s="1">
        <v>454</v>
      </c>
      <c r="O457" s="2" t="s">
        <v>2722</v>
      </c>
      <c r="P457" s="9">
        <v>1</v>
      </c>
      <c r="Q457" s="11">
        <v>0</v>
      </c>
    </row>
    <row r="458" spans="1:17" ht="72" x14ac:dyDescent="0.3">
      <c r="A458" s="1">
        <f t="shared" si="38"/>
        <v>455</v>
      </c>
      <c r="B458" s="2" t="s">
        <v>328</v>
      </c>
      <c r="C458">
        <v>0</v>
      </c>
      <c r="D458" s="1">
        <f t="shared" si="37"/>
        <v>455</v>
      </c>
      <c r="E458" s="2" t="s">
        <v>2727</v>
      </c>
      <c r="F458" s="9">
        <f t="shared" si="35"/>
        <v>1</v>
      </c>
      <c r="G458" s="11">
        <f t="shared" si="36"/>
        <v>0</v>
      </c>
      <c r="H458" s="11"/>
      <c r="I458" s="1">
        <f t="shared" si="39"/>
        <v>455</v>
      </c>
      <c r="J458" s="2" t="s">
        <v>2727</v>
      </c>
      <c r="K458" s="9">
        <v>1</v>
      </c>
      <c r="L458" s="11">
        <v>0</v>
      </c>
      <c r="M458" s="2"/>
      <c r="N458" s="1">
        <v>455</v>
      </c>
      <c r="O458" s="2" t="s">
        <v>2727</v>
      </c>
      <c r="P458" s="9">
        <v>1</v>
      </c>
      <c r="Q458" s="11">
        <v>0</v>
      </c>
    </row>
    <row r="459" spans="1:17" ht="172.8" x14ac:dyDescent="0.3">
      <c r="A459" s="1">
        <f t="shared" si="38"/>
        <v>456</v>
      </c>
      <c r="B459" s="2" t="s">
        <v>2094</v>
      </c>
      <c r="C459">
        <v>0</v>
      </c>
      <c r="D459" s="1">
        <f t="shared" si="37"/>
        <v>456</v>
      </c>
      <c r="E459" s="2" t="s">
        <v>2733</v>
      </c>
      <c r="F459" s="9">
        <f t="shared" si="35"/>
        <v>1</v>
      </c>
      <c r="G459" s="11">
        <f t="shared" si="36"/>
        <v>0</v>
      </c>
      <c r="H459" s="11"/>
      <c r="I459" s="1">
        <f t="shared" si="39"/>
        <v>456</v>
      </c>
      <c r="J459" s="2" t="s">
        <v>2733</v>
      </c>
      <c r="K459" s="9">
        <v>1</v>
      </c>
      <c r="L459" s="11">
        <v>0</v>
      </c>
      <c r="M459" s="2"/>
      <c r="N459" s="1">
        <v>456</v>
      </c>
      <c r="O459" s="2" t="s">
        <v>2733</v>
      </c>
      <c r="P459" s="9">
        <v>1</v>
      </c>
      <c r="Q459" s="11">
        <v>0</v>
      </c>
    </row>
    <row r="460" spans="1:17" ht="57.6" x14ac:dyDescent="0.3">
      <c r="A460" s="1">
        <f t="shared" si="38"/>
        <v>457</v>
      </c>
      <c r="B460" s="2" t="s">
        <v>1513</v>
      </c>
      <c r="C460">
        <v>0</v>
      </c>
      <c r="D460" s="1">
        <f t="shared" si="37"/>
        <v>457</v>
      </c>
      <c r="E460" s="2" t="s">
        <v>2738</v>
      </c>
      <c r="F460" s="9">
        <f t="shared" si="35"/>
        <v>1</v>
      </c>
      <c r="G460" s="11">
        <f t="shared" si="36"/>
        <v>0</v>
      </c>
      <c r="H460" s="11"/>
      <c r="I460" s="1">
        <f t="shared" si="39"/>
        <v>457</v>
      </c>
      <c r="J460" s="2" t="s">
        <v>2738</v>
      </c>
      <c r="K460" s="9">
        <v>1</v>
      </c>
      <c r="L460" s="11">
        <v>0</v>
      </c>
      <c r="M460" s="2"/>
      <c r="N460" s="1">
        <v>457</v>
      </c>
      <c r="O460" s="2" t="s">
        <v>2738</v>
      </c>
      <c r="P460" s="9">
        <v>1</v>
      </c>
      <c r="Q460" s="11">
        <v>0</v>
      </c>
    </row>
    <row r="461" spans="1:17" ht="216" x14ac:dyDescent="0.3">
      <c r="A461" s="1">
        <f t="shared" si="38"/>
        <v>458</v>
      </c>
      <c r="B461" s="2" t="s">
        <v>403</v>
      </c>
      <c r="C461">
        <v>0</v>
      </c>
      <c r="D461" s="1">
        <f t="shared" si="37"/>
        <v>458</v>
      </c>
      <c r="E461" s="2" t="s">
        <v>2742</v>
      </c>
      <c r="F461" s="9">
        <f t="shared" si="35"/>
        <v>1</v>
      </c>
      <c r="G461" s="11">
        <f t="shared" si="36"/>
        <v>0</v>
      </c>
      <c r="H461" s="11"/>
      <c r="I461" s="1">
        <f t="shared" si="39"/>
        <v>458</v>
      </c>
      <c r="J461" s="2" t="s">
        <v>2742</v>
      </c>
      <c r="K461" s="9">
        <v>1</v>
      </c>
      <c r="L461" s="11">
        <v>0</v>
      </c>
      <c r="M461" s="2"/>
      <c r="N461" s="1">
        <v>458</v>
      </c>
      <c r="O461" s="2" t="s">
        <v>2742</v>
      </c>
      <c r="P461" s="9">
        <v>1</v>
      </c>
      <c r="Q461" s="11">
        <v>0</v>
      </c>
    </row>
    <row r="462" spans="1:17" ht="86.4" x14ac:dyDescent="0.3">
      <c r="A462" s="1">
        <f t="shared" si="38"/>
        <v>459</v>
      </c>
      <c r="B462" s="2" t="s">
        <v>996</v>
      </c>
      <c r="C462">
        <v>0</v>
      </c>
      <c r="D462" s="1">
        <f t="shared" si="37"/>
        <v>459</v>
      </c>
      <c r="E462" s="2" t="s">
        <v>2747</v>
      </c>
      <c r="F462" s="9">
        <f t="shared" si="35"/>
        <v>1</v>
      </c>
      <c r="G462" s="11">
        <f t="shared" si="36"/>
        <v>0</v>
      </c>
      <c r="H462" s="11"/>
      <c r="I462" s="1">
        <f t="shared" si="39"/>
        <v>459</v>
      </c>
      <c r="J462" s="2" t="s">
        <v>2747</v>
      </c>
      <c r="K462" s="9">
        <v>1</v>
      </c>
      <c r="L462" s="11">
        <v>0</v>
      </c>
      <c r="M462" s="2"/>
      <c r="N462" s="1">
        <v>459</v>
      </c>
      <c r="O462" s="2" t="s">
        <v>2747</v>
      </c>
      <c r="P462" s="9">
        <v>1</v>
      </c>
      <c r="Q462" s="11">
        <v>0</v>
      </c>
    </row>
    <row r="463" spans="1:17" ht="86.4" x14ac:dyDescent="0.3">
      <c r="A463" s="1">
        <f t="shared" si="38"/>
        <v>460</v>
      </c>
      <c r="B463" s="2" t="s">
        <v>2112</v>
      </c>
      <c r="C463">
        <v>0</v>
      </c>
      <c r="D463" s="1">
        <f t="shared" si="37"/>
        <v>460</v>
      </c>
      <c r="E463" s="2" t="s">
        <v>2756</v>
      </c>
      <c r="F463" s="9">
        <f t="shared" si="35"/>
        <v>1</v>
      </c>
      <c r="G463" s="11">
        <f t="shared" si="36"/>
        <v>0</v>
      </c>
      <c r="H463" s="11"/>
      <c r="I463" s="1">
        <f t="shared" si="39"/>
        <v>460</v>
      </c>
      <c r="J463" s="2" t="s">
        <v>2756</v>
      </c>
      <c r="K463" s="9">
        <v>1</v>
      </c>
      <c r="L463" s="11">
        <v>0</v>
      </c>
      <c r="M463" s="2"/>
      <c r="N463" s="1">
        <v>460</v>
      </c>
      <c r="O463" s="2" t="s">
        <v>2756</v>
      </c>
      <c r="P463" s="9">
        <v>1</v>
      </c>
      <c r="Q463" s="11">
        <v>0</v>
      </c>
    </row>
    <row r="464" spans="1:17" ht="43.2" x14ac:dyDescent="0.3">
      <c r="A464" s="1">
        <f t="shared" si="38"/>
        <v>461</v>
      </c>
      <c r="B464" s="2" t="s">
        <v>2118</v>
      </c>
      <c r="C464">
        <v>0</v>
      </c>
      <c r="D464" s="1">
        <f t="shared" si="37"/>
        <v>461</v>
      </c>
      <c r="E464" s="2" t="s">
        <v>2761</v>
      </c>
      <c r="F464" s="9">
        <f t="shared" si="35"/>
        <v>1</v>
      </c>
      <c r="G464" s="11">
        <f t="shared" si="36"/>
        <v>0</v>
      </c>
      <c r="H464" s="11"/>
      <c r="I464" s="1">
        <f t="shared" si="39"/>
        <v>461</v>
      </c>
      <c r="J464" s="2" t="s">
        <v>2761</v>
      </c>
      <c r="K464" s="9">
        <v>1</v>
      </c>
      <c r="L464" s="11">
        <v>0</v>
      </c>
      <c r="M464" s="2"/>
      <c r="N464" s="1">
        <v>461</v>
      </c>
      <c r="O464" s="2" t="s">
        <v>2761</v>
      </c>
      <c r="P464" s="9">
        <v>1</v>
      </c>
      <c r="Q464" s="11">
        <v>0</v>
      </c>
    </row>
    <row r="465" spans="1:17" ht="115.2" x14ac:dyDescent="0.3">
      <c r="A465" s="1">
        <f t="shared" si="38"/>
        <v>462</v>
      </c>
      <c r="B465" s="2" t="s">
        <v>906</v>
      </c>
      <c r="C465">
        <v>0</v>
      </c>
      <c r="D465" s="1">
        <f t="shared" si="37"/>
        <v>462</v>
      </c>
      <c r="E465" s="2" t="s">
        <v>2767</v>
      </c>
      <c r="F465" s="9">
        <f t="shared" si="35"/>
        <v>1</v>
      </c>
      <c r="G465" s="11">
        <f t="shared" si="36"/>
        <v>0</v>
      </c>
      <c r="H465" s="11"/>
      <c r="I465" s="1">
        <f t="shared" si="39"/>
        <v>462</v>
      </c>
      <c r="J465" s="2" t="s">
        <v>2767</v>
      </c>
      <c r="K465" s="9">
        <v>1</v>
      </c>
      <c r="L465" s="11">
        <v>0</v>
      </c>
      <c r="M465" s="2"/>
      <c r="N465" s="1">
        <v>462</v>
      </c>
      <c r="O465" s="2" t="s">
        <v>2767</v>
      </c>
      <c r="P465" s="9">
        <v>1</v>
      </c>
      <c r="Q465" s="11">
        <v>0</v>
      </c>
    </row>
    <row r="466" spans="1:17" ht="57.6" x14ac:dyDescent="0.3">
      <c r="A466" s="1">
        <f t="shared" si="38"/>
        <v>463</v>
      </c>
      <c r="B466" s="2" t="s">
        <v>1513</v>
      </c>
      <c r="C466">
        <v>0</v>
      </c>
      <c r="D466" s="1">
        <f t="shared" si="37"/>
        <v>463</v>
      </c>
      <c r="E466" s="2" t="s">
        <v>2775</v>
      </c>
      <c r="F466" s="9">
        <f t="shared" si="35"/>
        <v>1</v>
      </c>
      <c r="G466" s="11">
        <f t="shared" si="36"/>
        <v>0</v>
      </c>
      <c r="H466" s="11"/>
      <c r="I466" s="1">
        <f t="shared" si="39"/>
        <v>463</v>
      </c>
      <c r="J466" s="2" t="s">
        <v>2775</v>
      </c>
      <c r="K466" s="9">
        <v>1</v>
      </c>
      <c r="L466" s="11">
        <v>0</v>
      </c>
      <c r="M466" s="2"/>
      <c r="N466" s="1">
        <v>463</v>
      </c>
      <c r="O466" s="2" t="s">
        <v>2775</v>
      </c>
      <c r="P466" s="9">
        <v>1</v>
      </c>
      <c r="Q466" s="11">
        <v>0</v>
      </c>
    </row>
    <row r="467" spans="1:17" ht="129.6" x14ac:dyDescent="0.3">
      <c r="A467" s="1">
        <f t="shared" si="38"/>
        <v>464</v>
      </c>
      <c r="B467" s="2" t="s">
        <v>2128</v>
      </c>
      <c r="C467">
        <v>0</v>
      </c>
      <c r="D467" s="1">
        <f t="shared" si="37"/>
        <v>464</v>
      </c>
      <c r="E467" s="2" t="s">
        <v>2780</v>
      </c>
      <c r="F467" s="9">
        <f t="shared" si="35"/>
        <v>1</v>
      </c>
      <c r="G467" s="11">
        <f t="shared" si="36"/>
        <v>0</v>
      </c>
      <c r="H467" s="11"/>
      <c r="I467" s="1">
        <f t="shared" si="39"/>
        <v>464</v>
      </c>
      <c r="J467" s="2" t="s">
        <v>2780</v>
      </c>
      <c r="K467" s="9">
        <v>1</v>
      </c>
      <c r="L467" s="11">
        <v>0</v>
      </c>
      <c r="M467" s="2"/>
      <c r="N467" s="1">
        <v>464</v>
      </c>
      <c r="O467" s="2" t="s">
        <v>2780</v>
      </c>
      <c r="P467" s="9">
        <v>1</v>
      </c>
      <c r="Q467" s="11">
        <v>0</v>
      </c>
    </row>
    <row r="468" spans="1:17" ht="100.8" x14ac:dyDescent="0.3">
      <c r="A468" s="1">
        <f t="shared" si="38"/>
        <v>465</v>
      </c>
      <c r="B468" s="2" t="s">
        <v>2132</v>
      </c>
      <c r="C468">
        <v>0</v>
      </c>
      <c r="D468" s="1">
        <f t="shared" si="37"/>
        <v>465</v>
      </c>
      <c r="E468" s="2" t="s">
        <v>2786</v>
      </c>
      <c r="F468" s="9">
        <f t="shared" si="35"/>
        <v>1</v>
      </c>
      <c r="G468" s="11">
        <f t="shared" si="36"/>
        <v>0</v>
      </c>
      <c r="H468" s="11"/>
      <c r="I468" s="1">
        <f t="shared" si="39"/>
        <v>465</v>
      </c>
      <c r="J468" s="2" t="s">
        <v>2786</v>
      </c>
      <c r="K468" s="9">
        <v>1</v>
      </c>
      <c r="L468" s="11">
        <v>0</v>
      </c>
      <c r="M468" s="2"/>
      <c r="N468" s="1">
        <v>465</v>
      </c>
      <c r="O468" s="2" t="s">
        <v>2786</v>
      </c>
      <c r="P468" s="9">
        <v>1</v>
      </c>
      <c r="Q468" s="11">
        <v>0</v>
      </c>
    </row>
    <row r="469" spans="1:17" ht="43.2" x14ac:dyDescent="0.3">
      <c r="A469" s="1">
        <f t="shared" si="38"/>
        <v>466</v>
      </c>
      <c r="B469" s="2" t="s">
        <v>2137</v>
      </c>
      <c r="C469">
        <v>0</v>
      </c>
      <c r="D469" s="1">
        <f t="shared" si="37"/>
        <v>466</v>
      </c>
      <c r="E469" s="2" t="s">
        <v>2791</v>
      </c>
      <c r="F469" s="9">
        <f t="shared" si="35"/>
        <v>1</v>
      </c>
      <c r="G469" s="11">
        <f t="shared" si="36"/>
        <v>0</v>
      </c>
      <c r="H469" s="11"/>
      <c r="I469" s="1">
        <f t="shared" si="39"/>
        <v>466</v>
      </c>
      <c r="J469" s="2" t="s">
        <v>2791</v>
      </c>
      <c r="K469" s="9">
        <v>1</v>
      </c>
      <c r="L469" s="11">
        <v>0</v>
      </c>
      <c r="M469" s="2"/>
      <c r="N469" s="1">
        <v>466</v>
      </c>
      <c r="O469" s="2" t="s">
        <v>2791</v>
      </c>
      <c r="P469" s="9">
        <v>1</v>
      </c>
      <c r="Q469" s="11">
        <v>0</v>
      </c>
    </row>
    <row r="470" spans="1:17" ht="100.8" x14ac:dyDescent="0.3">
      <c r="A470" s="1">
        <f t="shared" si="38"/>
        <v>467</v>
      </c>
      <c r="B470" s="2" t="s">
        <v>2144</v>
      </c>
      <c r="C470">
        <v>0</v>
      </c>
      <c r="D470" s="1">
        <f t="shared" si="37"/>
        <v>467</v>
      </c>
      <c r="E470" s="2" t="s">
        <v>2796</v>
      </c>
      <c r="F470" s="9">
        <f t="shared" si="35"/>
        <v>1</v>
      </c>
      <c r="G470" s="11">
        <f t="shared" si="36"/>
        <v>0</v>
      </c>
      <c r="H470" s="11"/>
      <c r="I470" s="1">
        <f t="shared" si="39"/>
        <v>467</v>
      </c>
      <c r="J470" s="2" t="s">
        <v>2796</v>
      </c>
      <c r="K470" s="9">
        <v>1</v>
      </c>
      <c r="L470" s="11">
        <v>0</v>
      </c>
      <c r="M470" s="2"/>
      <c r="N470" s="1">
        <v>467</v>
      </c>
      <c r="O470" s="2" t="s">
        <v>2796</v>
      </c>
      <c r="P470" s="9">
        <v>1</v>
      </c>
      <c r="Q470" s="11">
        <v>0</v>
      </c>
    </row>
    <row r="471" spans="1:17" ht="100.8" x14ac:dyDescent="0.3">
      <c r="A471" s="1">
        <f t="shared" si="38"/>
        <v>468</v>
      </c>
      <c r="B471" s="2" t="s">
        <v>2150</v>
      </c>
      <c r="C471">
        <v>0</v>
      </c>
      <c r="D471" s="1">
        <f t="shared" si="37"/>
        <v>468</v>
      </c>
      <c r="E471" s="2" t="s">
        <v>2802</v>
      </c>
      <c r="F471" s="9">
        <f t="shared" si="35"/>
        <v>1</v>
      </c>
      <c r="G471" s="11">
        <f t="shared" si="36"/>
        <v>0</v>
      </c>
      <c r="H471" s="11"/>
      <c r="I471" s="1">
        <f t="shared" si="39"/>
        <v>468</v>
      </c>
      <c r="J471" s="2" t="s">
        <v>2802</v>
      </c>
      <c r="K471" s="9">
        <v>1</v>
      </c>
      <c r="L471" s="11">
        <v>0</v>
      </c>
      <c r="M471" s="2"/>
      <c r="N471" s="1">
        <v>468</v>
      </c>
      <c r="O471" s="2" t="s">
        <v>2802</v>
      </c>
      <c r="P471" s="9">
        <v>1</v>
      </c>
      <c r="Q471" s="11">
        <v>0</v>
      </c>
    </row>
    <row r="472" spans="1:17" ht="100.8" x14ac:dyDescent="0.3">
      <c r="A472" s="1">
        <f t="shared" si="38"/>
        <v>469</v>
      </c>
      <c r="B472" s="2" t="s">
        <v>1513</v>
      </c>
      <c r="C472">
        <v>0</v>
      </c>
      <c r="D472" s="1">
        <f t="shared" si="37"/>
        <v>469</v>
      </c>
      <c r="E472" s="2" t="s">
        <v>2808</v>
      </c>
      <c r="F472" s="9">
        <f t="shared" si="35"/>
        <v>1</v>
      </c>
      <c r="G472" s="11">
        <f t="shared" si="36"/>
        <v>0</v>
      </c>
      <c r="H472" s="11"/>
      <c r="I472" s="1">
        <f t="shared" si="39"/>
        <v>469</v>
      </c>
      <c r="J472" s="2" t="s">
        <v>2808</v>
      </c>
      <c r="K472" s="9">
        <v>1</v>
      </c>
      <c r="L472" s="11">
        <v>0</v>
      </c>
      <c r="M472" s="2"/>
      <c r="N472" s="1">
        <v>469</v>
      </c>
      <c r="O472" s="2" t="s">
        <v>2808</v>
      </c>
      <c r="P472" s="9">
        <v>1</v>
      </c>
      <c r="Q472" s="11">
        <v>0</v>
      </c>
    </row>
    <row r="473" spans="1:17" ht="28.8" x14ac:dyDescent="0.3">
      <c r="A473" s="1">
        <f t="shared" si="38"/>
        <v>470</v>
      </c>
      <c r="B473" s="2" t="s">
        <v>2160</v>
      </c>
      <c r="C473">
        <v>0</v>
      </c>
      <c r="D473" s="1">
        <f t="shared" si="37"/>
        <v>470</v>
      </c>
      <c r="E473" s="2" t="s">
        <v>2815</v>
      </c>
      <c r="F473" s="9">
        <f t="shared" si="35"/>
        <v>1</v>
      </c>
      <c r="G473" s="11">
        <f t="shared" si="36"/>
        <v>0</v>
      </c>
      <c r="H473" s="11"/>
      <c r="I473" s="1">
        <f t="shared" si="39"/>
        <v>470</v>
      </c>
      <c r="J473" s="2" t="s">
        <v>2815</v>
      </c>
      <c r="K473" s="9">
        <v>1</v>
      </c>
      <c r="L473" s="11">
        <v>0</v>
      </c>
      <c r="M473" s="2"/>
      <c r="N473" s="1">
        <v>470</v>
      </c>
      <c r="O473" s="2" t="s">
        <v>2815</v>
      </c>
      <c r="P473" s="9">
        <v>1</v>
      </c>
      <c r="Q473" s="11">
        <v>0</v>
      </c>
    </row>
    <row r="474" spans="1:17" ht="158.4" x14ac:dyDescent="0.3">
      <c r="A474" s="1">
        <f t="shared" si="38"/>
        <v>471</v>
      </c>
      <c r="B474" s="2" t="s">
        <v>2166</v>
      </c>
      <c r="C474">
        <v>0</v>
      </c>
      <c r="D474" s="1">
        <f t="shared" si="37"/>
        <v>471</v>
      </c>
      <c r="E474" s="2" t="s">
        <v>2821</v>
      </c>
      <c r="F474" s="9">
        <f t="shared" si="35"/>
        <v>1</v>
      </c>
      <c r="G474" s="11">
        <f t="shared" si="36"/>
        <v>0</v>
      </c>
      <c r="H474" s="11"/>
      <c r="I474" s="1">
        <f t="shared" si="39"/>
        <v>471</v>
      </c>
      <c r="J474" s="2" t="s">
        <v>2821</v>
      </c>
      <c r="K474" s="9">
        <v>1</v>
      </c>
      <c r="L474" s="11">
        <v>0</v>
      </c>
      <c r="M474" s="2"/>
      <c r="N474" s="1">
        <v>471</v>
      </c>
      <c r="O474" s="2" t="s">
        <v>2821</v>
      </c>
      <c r="P474" s="9">
        <v>1</v>
      </c>
      <c r="Q474" s="11">
        <v>0</v>
      </c>
    </row>
    <row r="475" spans="1:17" ht="144" x14ac:dyDescent="0.3">
      <c r="A475" s="1">
        <f t="shared" si="38"/>
        <v>472</v>
      </c>
      <c r="B475" s="2" t="s">
        <v>2170</v>
      </c>
      <c r="C475">
        <v>0</v>
      </c>
      <c r="D475" s="1">
        <f t="shared" si="37"/>
        <v>472</v>
      </c>
      <c r="E475" s="2" t="s">
        <v>2827</v>
      </c>
      <c r="F475" s="9">
        <f t="shared" si="35"/>
        <v>1</v>
      </c>
      <c r="G475" s="11">
        <f t="shared" si="36"/>
        <v>0</v>
      </c>
      <c r="H475" s="11"/>
      <c r="I475" s="1">
        <f t="shared" si="39"/>
        <v>472</v>
      </c>
      <c r="J475" s="2" t="s">
        <v>2827</v>
      </c>
      <c r="K475" s="9">
        <v>1</v>
      </c>
      <c r="L475" s="11">
        <v>0</v>
      </c>
      <c r="M475" s="2"/>
      <c r="N475" s="1">
        <v>472</v>
      </c>
      <c r="O475" s="2" t="s">
        <v>2827</v>
      </c>
      <c r="P475" s="9">
        <v>1</v>
      </c>
      <c r="Q475" s="11">
        <v>0</v>
      </c>
    </row>
    <row r="476" spans="1:17" ht="115.2" x14ac:dyDescent="0.3">
      <c r="A476" s="1">
        <f t="shared" si="38"/>
        <v>473</v>
      </c>
      <c r="B476" s="2" t="s">
        <v>2174</v>
      </c>
      <c r="C476">
        <v>0</v>
      </c>
      <c r="D476" s="1">
        <f t="shared" si="37"/>
        <v>473</v>
      </c>
      <c r="E476" s="2" t="s">
        <v>2833</v>
      </c>
      <c r="F476" s="9">
        <f t="shared" si="35"/>
        <v>1</v>
      </c>
      <c r="G476" s="11">
        <f t="shared" si="36"/>
        <v>0</v>
      </c>
      <c r="H476" s="11"/>
      <c r="I476" s="1">
        <f t="shared" si="39"/>
        <v>473</v>
      </c>
      <c r="J476" s="2" t="s">
        <v>2833</v>
      </c>
      <c r="K476" s="9">
        <v>1</v>
      </c>
      <c r="L476" s="11">
        <v>0</v>
      </c>
      <c r="M476" s="2"/>
      <c r="N476" s="1">
        <v>473</v>
      </c>
      <c r="O476" s="2" t="s">
        <v>2833</v>
      </c>
      <c r="P476" s="9">
        <v>1</v>
      </c>
      <c r="Q476" s="11">
        <v>0</v>
      </c>
    </row>
    <row r="477" spans="1:17" ht="100.8" x14ac:dyDescent="0.3">
      <c r="A477" s="1">
        <f t="shared" si="38"/>
        <v>474</v>
      </c>
      <c r="B477" s="2" t="s">
        <v>43</v>
      </c>
      <c r="C477">
        <v>0</v>
      </c>
      <c r="D477" s="1">
        <f t="shared" si="37"/>
        <v>474</v>
      </c>
      <c r="E477" s="2" t="s">
        <v>2838</v>
      </c>
      <c r="F477" s="9">
        <f t="shared" si="35"/>
        <v>1</v>
      </c>
      <c r="G477" s="11">
        <f t="shared" si="36"/>
        <v>0</v>
      </c>
      <c r="H477" s="11"/>
      <c r="I477" s="1">
        <f t="shared" si="39"/>
        <v>474</v>
      </c>
      <c r="J477" s="2" t="s">
        <v>2838</v>
      </c>
      <c r="K477" s="9">
        <v>1</v>
      </c>
      <c r="L477" s="11">
        <v>0</v>
      </c>
      <c r="M477" s="2"/>
      <c r="N477" s="1">
        <v>474</v>
      </c>
      <c r="O477" s="2" t="s">
        <v>2838</v>
      </c>
      <c r="P477" s="9">
        <v>1</v>
      </c>
      <c r="Q477" s="11">
        <v>0</v>
      </c>
    </row>
    <row r="478" spans="1:17" ht="43.2" x14ac:dyDescent="0.3">
      <c r="A478" s="1">
        <f t="shared" si="38"/>
        <v>475</v>
      </c>
      <c r="B478" s="2" t="s">
        <v>2182</v>
      </c>
      <c r="C478">
        <v>0</v>
      </c>
      <c r="D478" s="1">
        <f t="shared" si="37"/>
        <v>475</v>
      </c>
      <c r="E478" s="2" t="s">
        <v>2843</v>
      </c>
      <c r="F478" s="9">
        <f t="shared" ref="F478:F480" si="40">COUNTIF(B478:B1100,J478)</f>
        <v>1</v>
      </c>
      <c r="G478" s="11">
        <f t="shared" si="36"/>
        <v>0</v>
      </c>
      <c r="H478" s="11"/>
      <c r="I478" s="1">
        <f t="shared" si="39"/>
        <v>475</v>
      </c>
      <c r="J478" s="2" t="s">
        <v>2843</v>
      </c>
      <c r="K478" s="9">
        <v>1</v>
      </c>
      <c r="L478" s="11">
        <v>0</v>
      </c>
      <c r="M478" s="2"/>
      <c r="N478" s="1">
        <v>475</v>
      </c>
      <c r="O478" s="2" t="s">
        <v>2843</v>
      </c>
      <c r="P478" s="9">
        <v>1</v>
      </c>
      <c r="Q478" s="11">
        <v>0</v>
      </c>
    </row>
    <row r="479" spans="1:17" ht="57.6" x14ac:dyDescent="0.3">
      <c r="A479" s="1">
        <f t="shared" si="38"/>
        <v>476</v>
      </c>
      <c r="B479" s="2" t="s">
        <v>78</v>
      </c>
      <c r="C479">
        <v>0</v>
      </c>
      <c r="D479" s="1">
        <f t="shared" si="37"/>
        <v>476</v>
      </c>
      <c r="E479" s="2" t="s">
        <v>2846</v>
      </c>
      <c r="F479" s="9">
        <f t="shared" si="40"/>
        <v>1</v>
      </c>
      <c r="G479" s="11">
        <f t="shared" si="36"/>
        <v>0</v>
      </c>
      <c r="H479" s="11"/>
      <c r="I479" s="1">
        <f t="shared" si="39"/>
        <v>476</v>
      </c>
      <c r="J479" s="2" t="s">
        <v>2846</v>
      </c>
      <c r="K479" s="9">
        <v>1</v>
      </c>
      <c r="L479" s="11">
        <v>0</v>
      </c>
      <c r="M479" s="2"/>
      <c r="N479" s="1">
        <v>476</v>
      </c>
      <c r="O479" s="2" t="s">
        <v>2846</v>
      </c>
      <c r="P479" s="9">
        <v>1</v>
      </c>
      <c r="Q479" s="11">
        <v>0</v>
      </c>
    </row>
    <row r="480" spans="1:17" ht="57.6" x14ac:dyDescent="0.3">
      <c r="A480" s="1">
        <f t="shared" si="38"/>
        <v>477</v>
      </c>
      <c r="B480" s="2" t="s">
        <v>2190</v>
      </c>
      <c r="C480">
        <v>0</v>
      </c>
      <c r="D480" s="1">
        <f t="shared" si="37"/>
        <v>477</v>
      </c>
      <c r="E480" s="2" t="s">
        <v>2851</v>
      </c>
      <c r="F480" s="9">
        <f t="shared" si="40"/>
        <v>1</v>
      </c>
      <c r="G480" s="11">
        <f t="shared" si="36"/>
        <v>0</v>
      </c>
      <c r="H480" s="11"/>
      <c r="I480" s="1">
        <f t="shared" si="39"/>
        <v>477</v>
      </c>
      <c r="J480" s="2" t="s">
        <v>2851</v>
      </c>
      <c r="K480" s="9">
        <v>1</v>
      </c>
      <c r="L480" s="11">
        <v>0</v>
      </c>
      <c r="M480" s="2"/>
      <c r="N480" s="1">
        <v>477</v>
      </c>
      <c r="O480" s="2" t="s">
        <v>2851</v>
      </c>
      <c r="P480" s="9">
        <v>1</v>
      </c>
      <c r="Q480" s="11">
        <v>0</v>
      </c>
    </row>
    <row r="481" spans="1:12" x14ac:dyDescent="0.3">
      <c r="A481" s="1">
        <f t="shared" si="38"/>
        <v>478</v>
      </c>
      <c r="B481" s="2" t="s">
        <v>2194</v>
      </c>
      <c r="C481">
        <v>0</v>
      </c>
      <c r="L481" s="11"/>
    </row>
    <row r="482" spans="1:12" x14ac:dyDescent="0.3">
      <c r="A482" s="1">
        <f t="shared" si="38"/>
        <v>479</v>
      </c>
      <c r="B482" s="2" t="s">
        <v>2199</v>
      </c>
      <c r="C482">
        <v>0</v>
      </c>
      <c r="L482" s="11"/>
    </row>
    <row r="483" spans="1:12" ht="28.8" x14ac:dyDescent="0.3">
      <c r="A483" s="1">
        <f t="shared" si="38"/>
        <v>480</v>
      </c>
      <c r="B483" s="2" t="s">
        <v>2203</v>
      </c>
      <c r="C483">
        <v>0</v>
      </c>
      <c r="L483" s="11"/>
    </row>
    <row r="484" spans="1:12" x14ac:dyDescent="0.3">
      <c r="A484" s="1">
        <f t="shared" si="38"/>
        <v>481</v>
      </c>
      <c r="B484" s="2" t="s">
        <v>276</v>
      </c>
      <c r="C484">
        <v>0</v>
      </c>
      <c r="L484" s="11"/>
    </row>
    <row r="485" spans="1:12" ht="28.8" x14ac:dyDescent="0.3">
      <c r="A485" s="1">
        <f t="shared" si="38"/>
        <v>482</v>
      </c>
      <c r="B485" s="2" t="s">
        <v>1879</v>
      </c>
      <c r="C485">
        <v>0</v>
      </c>
      <c r="L485" s="11"/>
    </row>
    <row r="486" spans="1:12" x14ac:dyDescent="0.3">
      <c r="A486" s="1">
        <f t="shared" si="38"/>
        <v>483</v>
      </c>
      <c r="B486" s="2" t="s">
        <v>48</v>
      </c>
      <c r="C486">
        <v>0</v>
      </c>
      <c r="L486" s="11"/>
    </row>
    <row r="487" spans="1:12" ht="43.2" x14ac:dyDescent="0.3">
      <c r="A487" s="1">
        <f t="shared" si="38"/>
        <v>484</v>
      </c>
      <c r="B487" s="2" t="s">
        <v>2218</v>
      </c>
      <c r="C487">
        <v>0</v>
      </c>
      <c r="L487" s="11"/>
    </row>
    <row r="488" spans="1:12" ht="28.8" x14ac:dyDescent="0.3">
      <c r="A488" s="1">
        <f t="shared" si="38"/>
        <v>485</v>
      </c>
      <c r="B488" s="2" t="s">
        <v>2222</v>
      </c>
      <c r="C488">
        <v>0</v>
      </c>
      <c r="L488" s="11"/>
    </row>
    <row r="489" spans="1:12" ht="28.8" x14ac:dyDescent="0.3">
      <c r="A489" s="1">
        <f t="shared" si="38"/>
        <v>486</v>
      </c>
      <c r="B489" s="2" t="s">
        <v>2226</v>
      </c>
      <c r="C489">
        <v>0</v>
      </c>
      <c r="L489" s="11"/>
    </row>
    <row r="490" spans="1:12" x14ac:dyDescent="0.3">
      <c r="A490" s="1">
        <f t="shared" si="38"/>
        <v>487</v>
      </c>
      <c r="B490" s="2" t="s">
        <v>2231</v>
      </c>
      <c r="C490">
        <v>0</v>
      </c>
      <c r="L490" s="11"/>
    </row>
    <row r="491" spans="1:12" x14ac:dyDescent="0.3">
      <c r="A491" s="1">
        <f t="shared" si="38"/>
        <v>488</v>
      </c>
      <c r="B491" s="2" t="s">
        <v>1144</v>
      </c>
      <c r="C491">
        <v>0</v>
      </c>
      <c r="L491" s="11"/>
    </row>
    <row r="492" spans="1:12" x14ac:dyDescent="0.3">
      <c r="A492" s="1">
        <f t="shared" si="38"/>
        <v>489</v>
      </c>
      <c r="B492" s="2" t="s">
        <v>1269</v>
      </c>
      <c r="C492">
        <v>0</v>
      </c>
      <c r="L492" s="11"/>
    </row>
    <row r="493" spans="1:12" x14ac:dyDescent="0.3">
      <c r="A493" s="1">
        <f t="shared" si="38"/>
        <v>490</v>
      </c>
      <c r="B493" s="2" t="s">
        <v>710</v>
      </c>
      <c r="C493">
        <v>0</v>
      </c>
      <c r="L493" s="11"/>
    </row>
    <row r="494" spans="1:12" x14ac:dyDescent="0.3">
      <c r="A494" s="1">
        <f t="shared" si="38"/>
        <v>491</v>
      </c>
      <c r="B494" s="2" t="s">
        <v>2245</v>
      </c>
      <c r="C494">
        <v>0</v>
      </c>
      <c r="L494" s="11"/>
    </row>
    <row r="495" spans="1:12" ht="28.8" x14ac:dyDescent="0.3">
      <c r="A495" s="1">
        <f t="shared" si="38"/>
        <v>492</v>
      </c>
      <c r="B495" s="2" t="s">
        <v>2251</v>
      </c>
      <c r="C495">
        <v>0</v>
      </c>
      <c r="L495" s="11"/>
    </row>
    <row r="496" spans="1:12" x14ac:dyDescent="0.3">
      <c r="A496" s="1">
        <f t="shared" si="38"/>
        <v>493</v>
      </c>
      <c r="B496" s="2" t="s">
        <v>2257</v>
      </c>
      <c r="C496">
        <v>0</v>
      </c>
      <c r="L496" s="11"/>
    </row>
    <row r="497" spans="1:12" ht="28.8" x14ac:dyDescent="0.3">
      <c r="A497" s="1">
        <f t="shared" si="38"/>
        <v>494</v>
      </c>
      <c r="B497" s="2" t="s">
        <v>2261</v>
      </c>
      <c r="C497">
        <v>0</v>
      </c>
      <c r="L497" s="11"/>
    </row>
    <row r="498" spans="1:12" ht="28.8" x14ac:dyDescent="0.3">
      <c r="A498" s="1">
        <f t="shared" si="38"/>
        <v>495</v>
      </c>
      <c r="B498" s="2" t="s">
        <v>2265</v>
      </c>
      <c r="C498">
        <v>0</v>
      </c>
      <c r="L498" s="11"/>
    </row>
    <row r="499" spans="1:12" ht="28.8" x14ac:dyDescent="0.3">
      <c r="A499" s="1">
        <f t="shared" si="38"/>
        <v>496</v>
      </c>
      <c r="B499" s="2" t="s">
        <v>2269</v>
      </c>
      <c r="C499">
        <v>0</v>
      </c>
      <c r="L499" s="11"/>
    </row>
    <row r="500" spans="1:12" ht="28.8" x14ac:dyDescent="0.3">
      <c r="A500" s="1">
        <f t="shared" si="38"/>
        <v>497</v>
      </c>
      <c r="B500" s="2" t="s">
        <v>2273</v>
      </c>
      <c r="C500">
        <v>0</v>
      </c>
      <c r="L500" s="11"/>
    </row>
    <row r="501" spans="1:12" ht="28.8" x14ac:dyDescent="0.3">
      <c r="A501" s="1">
        <f t="shared" si="38"/>
        <v>498</v>
      </c>
      <c r="B501" s="2" t="s">
        <v>2278</v>
      </c>
      <c r="C501">
        <v>0</v>
      </c>
      <c r="L501" s="11"/>
    </row>
    <row r="502" spans="1:12" ht="28.8" x14ac:dyDescent="0.3">
      <c r="A502" s="1">
        <f t="shared" si="38"/>
        <v>499</v>
      </c>
      <c r="B502" s="2" t="s">
        <v>2282</v>
      </c>
      <c r="C502">
        <v>0</v>
      </c>
      <c r="L502" s="11"/>
    </row>
    <row r="503" spans="1:12" ht="28.8" x14ac:dyDescent="0.3">
      <c r="A503" s="1">
        <f t="shared" si="38"/>
        <v>500</v>
      </c>
      <c r="B503" s="2" t="s">
        <v>2287</v>
      </c>
      <c r="C503">
        <v>0</v>
      </c>
      <c r="L503" s="11"/>
    </row>
    <row r="504" spans="1:12" x14ac:dyDescent="0.3">
      <c r="A504" s="1">
        <f t="shared" si="38"/>
        <v>501</v>
      </c>
      <c r="B504" s="2" t="s">
        <v>930</v>
      </c>
      <c r="C504">
        <v>0</v>
      </c>
      <c r="L504" s="11"/>
    </row>
    <row r="505" spans="1:12" x14ac:dyDescent="0.3">
      <c r="A505" s="1">
        <f t="shared" si="38"/>
        <v>502</v>
      </c>
      <c r="B505" s="2" t="s">
        <v>2295</v>
      </c>
      <c r="C505">
        <v>0</v>
      </c>
      <c r="L505" s="11"/>
    </row>
    <row r="506" spans="1:12" x14ac:dyDescent="0.3">
      <c r="A506" s="1">
        <f t="shared" si="38"/>
        <v>503</v>
      </c>
      <c r="B506" s="2" t="s">
        <v>2299</v>
      </c>
      <c r="C506">
        <v>0</v>
      </c>
      <c r="L506" s="11"/>
    </row>
    <row r="507" spans="1:12" x14ac:dyDescent="0.3">
      <c r="A507" s="1">
        <f t="shared" si="38"/>
        <v>504</v>
      </c>
      <c r="B507" s="2" t="s">
        <v>486</v>
      </c>
      <c r="C507">
        <v>0</v>
      </c>
      <c r="L507" s="11"/>
    </row>
    <row r="508" spans="1:12" ht="28.8" x14ac:dyDescent="0.3">
      <c r="A508" s="1">
        <f t="shared" si="38"/>
        <v>505</v>
      </c>
      <c r="B508" s="2" t="s">
        <v>2306</v>
      </c>
      <c r="C508">
        <v>0</v>
      </c>
      <c r="L508" s="11"/>
    </row>
    <row r="509" spans="1:12" x14ac:dyDescent="0.3">
      <c r="A509" s="1">
        <f t="shared" si="38"/>
        <v>506</v>
      </c>
      <c r="B509" s="2" t="s">
        <v>2311</v>
      </c>
      <c r="C509">
        <v>0</v>
      </c>
      <c r="L509" s="11"/>
    </row>
    <row r="510" spans="1:12" ht="28.8" x14ac:dyDescent="0.3">
      <c r="A510" s="1">
        <f t="shared" si="38"/>
        <v>507</v>
      </c>
      <c r="B510" s="2" t="s">
        <v>2316</v>
      </c>
      <c r="C510">
        <v>0</v>
      </c>
      <c r="L510" s="11"/>
    </row>
    <row r="511" spans="1:12" ht="43.2" x14ac:dyDescent="0.3">
      <c r="A511" s="1">
        <f t="shared" si="38"/>
        <v>508</v>
      </c>
      <c r="B511" s="2" t="s">
        <v>2322</v>
      </c>
      <c r="C511">
        <v>0</v>
      </c>
      <c r="L511" s="11"/>
    </row>
    <row r="512" spans="1:12" ht="72" x14ac:dyDescent="0.3">
      <c r="A512" s="1">
        <f t="shared" si="38"/>
        <v>509</v>
      </c>
      <c r="B512" s="2" t="s">
        <v>2328</v>
      </c>
      <c r="C512">
        <v>0</v>
      </c>
      <c r="L512" s="11"/>
    </row>
    <row r="513" spans="1:12" ht="28.8" x14ac:dyDescent="0.3">
      <c r="A513" s="1">
        <f t="shared" si="38"/>
        <v>510</v>
      </c>
      <c r="B513" s="2" t="s">
        <v>2334</v>
      </c>
      <c r="C513">
        <v>0</v>
      </c>
      <c r="L513" s="11"/>
    </row>
    <row r="514" spans="1:12" ht="43.2" x14ac:dyDescent="0.3">
      <c r="A514" s="1">
        <f t="shared" si="38"/>
        <v>511</v>
      </c>
      <c r="B514" s="2" t="s">
        <v>2339</v>
      </c>
      <c r="C514">
        <v>0</v>
      </c>
      <c r="L514" s="11"/>
    </row>
    <row r="515" spans="1:12" ht="57.6" x14ac:dyDescent="0.3">
      <c r="A515" s="1">
        <f t="shared" si="38"/>
        <v>512</v>
      </c>
      <c r="B515" s="2" t="s">
        <v>2345</v>
      </c>
      <c r="C515">
        <v>0</v>
      </c>
      <c r="L515" s="11"/>
    </row>
    <row r="516" spans="1:12" ht="28.8" x14ac:dyDescent="0.3">
      <c r="A516" s="1">
        <f t="shared" si="38"/>
        <v>513</v>
      </c>
      <c r="B516" s="2" t="s">
        <v>2350</v>
      </c>
      <c r="C516">
        <v>0</v>
      </c>
      <c r="L516" s="11"/>
    </row>
    <row r="517" spans="1:12" ht="43.2" x14ac:dyDescent="0.3">
      <c r="A517" s="1">
        <f t="shared" si="38"/>
        <v>514</v>
      </c>
      <c r="B517" s="2" t="s">
        <v>2357</v>
      </c>
      <c r="C517">
        <v>0</v>
      </c>
      <c r="L517" s="11"/>
    </row>
    <row r="518" spans="1:12" x14ac:dyDescent="0.3">
      <c r="A518" s="1">
        <f t="shared" ref="A518:A581" si="41">+A517+1</f>
        <v>515</v>
      </c>
      <c r="B518" s="2" t="s">
        <v>2363</v>
      </c>
      <c r="C518">
        <v>0</v>
      </c>
      <c r="L518" s="11"/>
    </row>
    <row r="519" spans="1:12" ht="28.8" x14ac:dyDescent="0.3">
      <c r="A519" s="1">
        <f t="shared" si="41"/>
        <v>516</v>
      </c>
      <c r="B519" s="2" t="s">
        <v>2367</v>
      </c>
      <c r="C519">
        <v>0</v>
      </c>
      <c r="L519" s="11"/>
    </row>
    <row r="520" spans="1:12" ht="43.2" x14ac:dyDescent="0.3">
      <c r="A520" s="1">
        <f t="shared" si="41"/>
        <v>517</v>
      </c>
      <c r="B520" s="2" t="s">
        <v>1633</v>
      </c>
      <c r="C520">
        <v>0</v>
      </c>
      <c r="L520" s="11"/>
    </row>
    <row r="521" spans="1:12" x14ac:dyDescent="0.3">
      <c r="A521" s="1">
        <f t="shared" si="41"/>
        <v>518</v>
      </c>
      <c r="B521" s="2" t="s">
        <v>2374</v>
      </c>
      <c r="C521">
        <v>0</v>
      </c>
      <c r="L521" s="11"/>
    </row>
    <row r="522" spans="1:12" ht="28.8" x14ac:dyDescent="0.3">
      <c r="A522" s="1">
        <f t="shared" si="41"/>
        <v>519</v>
      </c>
      <c r="B522" s="2" t="s">
        <v>2379</v>
      </c>
      <c r="C522">
        <v>0</v>
      </c>
      <c r="L522" s="11"/>
    </row>
    <row r="523" spans="1:12" ht="28.8" x14ac:dyDescent="0.3">
      <c r="A523" s="1">
        <f t="shared" si="41"/>
        <v>520</v>
      </c>
      <c r="B523" s="2" t="s">
        <v>2385</v>
      </c>
      <c r="C523">
        <v>0</v>
      </c>
      <c r="L523" s="11"/>
    </row>
    <row r="524" spans="1:12" ht="28.8" x14ac:dyDescent="0.3">
      <c r="A524" s="1">
        <f t="shared" si="41"/>
        <v>521</v>
      </c>
      <c r="B524" s="2" t="s">
        <v>2390</v>
      </c>
      <c r="C524">
        <v>0</v>
      </c>
      <c r="L524" s="11"/>
    </row>
    <row r="525" spans="1:12" x14ac:dyDescent="0.3">
      <c r="A525" s="1">
        <f t="shared" si="41"/>
        <v>522</v>
      </c>
      <c r="B525" s="2" t="s">
        <v>2396</v>
      </c>
      <c r="C525">
        <v>0</v>
      </c>
      <c r="L525" s="11"/>
    </row>
    <row r="526" spans="1:12" ht="28.8" x14ac:dyDescent="0.3">
      <c r="A526" s="1">
        <f t="shared" si="41"/>
        <v>523</v>
      </c>
      <c r="B526" s="2" t="s">
        <v>1206</v>
      </c>
      <c r="C526">
        <v>0</v>
      </c>
      <c r="L526" s="11"/>
    </row>
    <row r="527" spans="1:12" x14ac:dyDescent="0.3">
      <c r="A527" s="1">
        <f t="shared" si="41"/>
        <v>524</v>
      </c>
      <c r="B527" s="2" t="s">
        <v>2405</v>
      </c>
      <c r="C527">
        <v>0</v>
      </c>
      <c r="L527" s="11"/>
    </row>
    <row r="528" spans="1:12" ht="43.2" x14ac:dyDescent="0.3">
      <c r="A528" s="1">
        <f t="shared" si="41"/>
        <v>525</v>
      </c>
      <c r="B528" s="2" t="s">
        <v>2218</v>
      </c>
      <c r="C528">
        <v>0</v>
      </c>
      <c r="L528" s="11"/>
    </row>
    <row r="529" spans="1:12" ht="28.8" x14ac:dyDescent="0.3">
      <c r="A529" s="1">
        <f t="shared" si="41"/>
        <v>526</v>
      </c>
      <c r="B529" s="2" t="s">
        <v>2413</v>
      </c>
      <c r="C529">
        <v>0</v>
      </c>
      <c r="L529" s="11"/>
    </row>
    <row r="530" spans="1:12" ht="28.8" x14ac:dyDescent="0.3">
      <c r="A530" s="1">
        <f t="shared" si="41"/>
        <v>527</v>
      </c>
      <c r="B530" s="2" t="s">
        <v>2079</v>
      </c>
      <c r="C530">
        <v>0</v>
      </c>
      <c r="L530" s="11"/>
    </row>
    <row r="531" spans="1:12" ht="28.8" x14ac:dyDescent="0.3">
      <c r="A531" s="1">
        <f t="shared" si="41"/>
        <v>528</v>
      </c>
      <c r="B531" s="2" t="s">
        <v>2422</v>
      </c>
      <c r="C531">
        <v>0</v>
      </c>
      <c r="L531" s="11"/>
    </row>
    <row r="532" spans="1:12" ht="28.8" x14ac:dyDescent="0.3">
      <c r="A532" s="1">
        <f t="shared" si="41"/>
        <v>529</v>
      </c>
      <c r="B532" s="2" t="s">
        <v>2429</v>
      </c>
      <c r="C532">
        <v>0</v>
      </c>
      <c r="L532" s="11"/>
    </row>
    <row r="533" spans="1:12" ht="43.2" x14ac:dyDescent="0.3">
      <c r="A533" s="1">
        <f t="shared" si="41"/>
        <v>530</v>
      </c>
      <c r="B533" s="2" t="s">
        <v>2436</v>
      </c>
      <c r="C533">
        <v>0</v>
      </c>
      <c r="L533" s="11"/>
    </row>
    <row r="534" spans="1:12" x14ac:dyDescent="0.3">
      <c r="A534" s="1">
        <f t="shared" si="41"/>
        <v>531</v>
      </c>
      <c r="B534" s="2" t="s">
        <v>2441</v>
      </c>
      <c r="C534">
        <v>0</v>
      </c>
      <c r="L534" s="11"/>
    </row>
    <row r="535" spans="1:12" ht="28.8" x14ac:dyDescent="0.3">
      <c r="A535" s="1">
        <f t="shared" si="41"/>
        <v>532</v>
      </c>
      <c r="B535" s="2" t="s">
        <v>2446</v>
      </c>
      <c r="C535">
        <v>0</v>
      </c>
      <c r="L535" s="11"/>
    </row>
    <row r="536" spans="1:12" ht="28.8" x14ac:dyDescent="0.3">
      <c r="A536" s="1">
        <f t="shared" si="41"/>
        <v>533</v>
      </c>
      <c r="B536" s="2" t="s">
        <v>2452</v>
      </c>
      <c r="C536">
        <v>0</v>
      </c>
      <c r="L536" s="11"/>
    </row>
    <row r="537" spans="1:12" ht="43.2" x14ac:dyDescent="0.3">
      <c r="A537" s="1">
        <f t="shared" si="41"/>
        <v>534</v>
      </c>
      <c r="B537" s="2" t="s">
        <v>2456</v>
      </c>
      <c r="C537">
        <v>0</v>
      </c>
      <c r="L537" s="11"/>
    </row>
    <row r="538" spans="1:12" ht="43.2" x14ac:dyDescent="0.3">
      <c r="A538" s="1">
        <f t="shared" si="41"/>
        <v>535</v>
      </c>
      <c r="B538" s="2" t="s">
        <v>2463</v>
      </c>
      <c r="C538">
        <v>0</v>
      </c>
      <c r="L538" s="11"/>
    </row>
    <row r="539" spans="1:12" ht="28.8" x14ac:dyDescent="0.3">
      <c r="A539" s="1">
        <f t="shared" si="41"/>
        <v>536</v>
      </c>
      <c r="B539" s="2" t="s">
        <v>2446</v>
      </c>
      <c r="C539">
        <v>0</v>
      </c>
      <c r="L539" s="11"/>
    </row>
    <row r="540" spans="1:12" x14ac:dyDescent="0.3">
      <c r="A540" s="1">
        <f t="shared" si="41"/>
        <v>537</v>
      </c>
      <c r="B540" s="2" t="s">
        <v>2472</v>
      </c>
      <c r="C540">
        <v>0</v>
      </c>
      <c r="L540" s="11"/>
    </row>
    <row r="541" spans="1:12" ht="28.8" x14ac:dyDescent="0.3">
      <c r="A541" s="1">
        <f t="shared" si="41"/>
        <v>538</v>
      </c>
      <c r="B541" s="2" t="s">
        <v>2477</v>
      </c>
      <c r="C541">
        <v>0</v>
      </c>
      <c r="L541" s="11"/>
    </row>
    <row r="542" spans="1:12" ht="28.8" x14ac:dyDescent="0.3">
      <c r="A542" s="1">
        <f t="shared" si="41"/>
        <v>539</v>
      </c>
      <c r="B542" s="2" t="s">
        <v>2482</v>
      </c>
      <c r="C542">
        <v>0</v>
      </c>
      <c r="L542" s="11"/>
    </row>
    <row r="543" spans="1:12" x14ac:dyDescent="0.3">
      <c r="A543" s="1">
        <f t="shared" si="41"/>
        <v>540</v>
      </c>
      <c r="B543" s="2" t="s">
        <v>2487</v>
      </c>
      <c r="C543">
        <v>0</v>
      </c>
      <c r="L543" s="11"/>
    </row>
    <row r="544" spans="1:12" ht="43.2" x14ac:dyDescent="0.3">
      <c r="A544" s="1">
        <f t="shared" si="41"/>
        <v>541</v>
      </c>
      <c r="B544" s="2" t="s">
        <v>1380</v>
      </c>
      <c r="C544">
        <v>0</v>
      </c>
      <c r="L544" s="11"/>
    </row>
    <row r="545" spans="1:12" x14ac:dyDescent="0.3">
      <c r="A545" s="1">
        <f t="shared" si="41"/>
        <v>542</v>
      </c>
      <c r="B545" s="2" t="s">
        <v>2494</v>
      </c>
      <c r="C545">
        <v>0</v>
      </c>
      <c r="L545" s="11"/>
    </row>
    <row r="546" spans="1:12" ht="28.8" x14ac:dyDescent="0.3">
      <c r="A546" s="1">
        <f t="shared" si="41"/>
        <v>543</v>
      </c>
      <c r="B546" s="2" t="s">
        <v>1670</v>
      </c>
      <c r="C546">
        <v>0</v>
      </c>
      <c r="L546" s="11"/>
    </row>
    <row r="547" spans="1:12" ht="57.6" x14ac:dyDescent="0.3">
      <c r="A547" s="1">
        <f t="shared" si="41"/>
        <v>544</v>
      </c>
      <c r="B547" s="2" t="s">
        <v>2500</v>
      </c>
      <c r="C547">
        <v>0</v>
      </c>
      <c r="L547" s="11"/>
    </row>
    <row r="548" spans="1:12" ht="28.8" x14ac:dyDescent="0.3">
      <c r="A548" s="1">
        <f t="shared" si="41"/>
        <v>545</v>
      </c>
      <c r="B548" s="2" t="s">
        <v>2506</v>
      </c>
      <c r="C548">
        <v>0</v>
      </c>
      <c r="L548" s="11"/>
    </row>
    <row r="549" spans="1:12" ht="43.2" x14ac:dyDescent="0.3">
      <c r="A549" s="1">
        <f t="shared" si="41"/>
        <v>546</v>
      </c>
      <c r="B549" s="2" t="s">
        <v>1380</v>
      </c>
      <c r="C549">
        <v>0</v>
      </c>
      <c r="L549" s="11"/>
    </row>
    <row r="550" spans="1:12" ht="28.8" x14ac:dyDescent="0.3">
      <c r="A550" s="1">
        <f t="shared" si="41"/>
        <v>547</v>
      </c>
      <c r="B550" s="2" t="s">
        <v>2513</v>
      </c>
      <c r="C550">
        <v>0</v>
      </c>
      <c r="L550" s="11"/>
    </row>
    <row r="551" spans="1:12" ht="28.8" x14ac:dyDescent="0.3">
      <c r="A551" s="1">
        <f t="shared" si="41"/>
        <v>548</v>
      </c>
      <c r="B551" s="2" t="s">
        <v>977</v>
      </c>
      <c r="C551">
        <v>0</v>
      </c>
      <c r="L551" s="11"/>
    </row>
    <row r="552" spans="1:12" x14ac:dyDescent="0.3">
      <c r="A552" s="1">
        <f t="shared" si="41"/>
        <v>549</v>
      </c>
      <c r="B552" s="2" t="s">
        <v>2520</v>
      </c>
      <c r="C552">
        <v>0</v>
      </c>
      <c r="L552" s="11"/>
    </row>
    <row r="553" spans="1:12" x14ac:dyDescent="0.3">
      <c r="A553" s="1">
        <f t="shared" si="41"/>
        <v>550</v>
      </c>
      <c r="B553" s="2" t="s">
        <v>2525</v>
      </c>
      <c r="C553">
        <v>0</v>
      </c>
      <c r="L553" s="11"/>
    </row>
    <row r="554" spans="1:12" x14ac:dyDescent="0.3">
      <c r="A554" s="1">
        <f t="shared" si="41"/>
        <v>551</v>
      </c>
      <c r="B554" s="2" t="s">
        <v>2528</v>
      </c>
      <c r="C554">
        <v>0</v>
      </c>
      <c r="L554" s="11"/>
    </row>
    <row r="555" spans="1:12" ht="43.2" x14ac:dyDescent="0.3">
      <c r="A555" s="1">
        <f t="shared" si="41"/>
        <v>552</v>
      </c>
      <c r="B555" s="2" t="s">
        <v>2532</v>
      </c>
      <c r="C555">
        <v>0</v>
      </c>
      <c r="L555" s="11"/>
    </row>
    <row r="556" spans="1:12" ht="43.2" x14ac:dyDescent="0.3">
      <c r="A556" s="1">
        <f t="shared" si="41"/>
        <v>553</v>
      </c>
      <c r="B556" s="2" t="s">
        <v>1729</v>
      </c>
      <c r="C556">
        <v>0</v>
      </c>
      <c r="L556" s="11"/>
    </row>
    <row r="557" spans="1:12" ht="43.2" x14ac:dyDescent="0.3">
      <c r="A557" s="1">
        <f t="shared" si="41"/>
        <v>554</v>
      </c>
      <c r="B557" s="2" t="s">
        <v>1393</v>
      </c>
      <c r="C557">
        <v>0</v>
      </c>
      <c r="L557" s="11"/>
    </row>
    <row r="558" spans="1:12" ht="28.8" x14ac:dyDescent="0.3">
      <c r="A558" s="1">
        <f t="shared" si="41"/>
        <v>555</v>
      </c>
      <c r="B558" s="2" t="s">
        <v>2542</v>
      </c>
      <c r="C558">
        <v>0</v>
      </c>
      <c r="L558" s="11"/>
    </row>
    <row r="559" spans="1:12" ht="57.6" x14ac:dyDescent="0.3">
      <c r="A559" s="1">
        <f t="shared" si="41"/>
        <v>556</v>
      </c>
      <c r="B559" s="2" t="s">
        <v>2549</v>
      </c>
      <c r="C559">
        <v>0</v>
      </c>
      <c r="L559" s="11"/>
    </row>
    <row r="560" spans="1:12" ht="28.8" x14ac:dyDescent="0.3">
      <c r="A560" s="1">
        <f t="shared" si="41"/>
        <v>557</v>
      </c>
      <c r="B560" s="2" t="s">
        <v>2556</v>
      </c>
      <c r="C560">
        <v>0</v>
      </c>
      <c r="L560" s="11"/>
    </row>
    <row r="561" spans="1:12" ht="57.6" x14ac:dyDescent="0.3">
      <c r="A561" s="1">
        <f t="shared" si="41"/>
        <v>558</v>
      </c>
      <c r="B561" s="2" t="s">
        <v>2560</v>
      </c>
      <c r="C561">
        <v>0</v>
      </c>
      <c r="L561" s="11"/>
    </row>
    <row r="562" spans="1:12" ht="43.2" x14ac:dyDescent="0.3">
      <c r="A562" s="1">
        <f t="shared" si="41"/>
        <v>559</v>
      </c>
      <c r="B562" s="2" t="s">
        <v>1729</v>
      </c>
      <c r="C562">
        <v>0</v>
      </c>
      <c r="L562" s="11"/>
    </row>
    <row r="563" spans="1:12" ht="43.2" x14ac:dyDescent="0.3">
      <c r="A563" s="1">
        <f t="shared" si="41"/>
        <v>560</v>
      </c>
      <c r="B563" s="2" t="s">
        <v>2568</v>
      </c>
      <c r="C563">
        <v>0</v>
      </c>
      <c r="L563" s="11"/>
    </row>
    <row r="564" spans="1:12" ht="28.8" x14ac:dyDescent="0.3">
      <c r="A564" s="1">
        <f t="shared" si="41"/>
        <v>561</v>
      </c>
      <c r="B564" s="2" t="s">
        <v>2573</v>
      </c>
      <c r="C564">
        <v>0</v>
      </c>
      <c r="L564" s="11"/>
    </row>
    <row r="565" spans="1:12" ht="43.2" x14ac:dyDescent="0.3">
      <c r="A565" s="1">
        <f t="shared" si="41"/>
        <v>562</v>
      </c>
      <c r="B565" s="2" t="s">
        <v>2568</v>
      </c>
      <c r="C565">
        <v>0</v>
      </c>
      <c r="L565" s="11"/>
    </row>
    <row r="566" spans="1:12" ht="43.2" x14ac:dyDescent="0.3">
      <c r="A566" s="1">
        <f t="shared" si="41"/>
        <v>563</v>
      </c>
      <c r="B566" s="2" t="s">
        <v>1393</v>
      </c>
      <c r="C566">
        <v>0</v>
      </c>
      <c r="L566" s="11"/>
    </row>
    <row r="567" spans="1:12" ht="43.2" x14ac:dyDescent="0.3">
      <c r="A567" s="1">
        <f t="shared" si="41"/>
        <v>564</v>
      </c>
      <c r="B567" s="2" t="s">
        <v>1729</v>
      </c>
      <c r="C567">
        <v>0</v>
      </c>
      <c r="L567" s="11"/>
    </row>
    <row r="568" spans="1:12" ht="57.6" x14ac:dyDescent="0.3">
      <c r="A568" s="1">
        <f t="shared" si="41"/>
        <v>565</v>
      </c>
      <c r="B568" s="2" t="s">
        <v>2585</v>
      </c>
      <c r="C568">
        <v>0</v>
      </c>
      <c r="L568" s="11"/>
    </row>
    <row r="569" spans="1:12" ht="72" x14ac:dyDescent="0.3">
      <c r="A569" s="1">
        <f t="shared" si="41"/>
        <v>566</v>
      </c>
      <c r="B569" s="2" t="s">
        <v>2592</v>
      </c>
      <c r="C569">
        <v>0</v>
      </c>
      <c r="L569" s="11"/>
    </row>
    <row r="570" spans="1:12" ht="43.2" x14ac:dyDescent="0.3">
      <c r="A570" s="1">
        <f t="shared" si="41"/>
        <v>567</v>
      </c>
      <c r="B570" s="2" t="s">
        <v>1729</v>
      </c>
      <c r="C570">
        <v>0</v>
      </c>
      <c r="L570" s="11"/>
    </row>
    <row r="571" spans="1:12" ht="43.2" x14ac:dyDescent="0.3">
      <c r="A571" s="1">
        <f t="shared" si="41"/>
        <v>568</v>
      </c>
      <c r="B571" s="2" t="s">
        <v>1729</v>
      </c>
      <c r="C571">
        <v>0</v>
      </c>
      <c r="L571" s="11"/>
    </row>
    <row r="572" spans="1:12" ht="28.8" x14ac:dyDescent="0.3">
      <c r="A572" s="1">
        <f t="shared" si="41"/>
        <v>569</v>
      </c>
      <c r="B572" s="2" t="s">
        <v>2601</v>
      </c>
      <c r="C572">
        <v>0</v>
      </c>
      <c r="L572" s="11"/>
    </row>
    <row r="573" spans="1:12" x14ac:dyDescent="0.3">
      <c r="A573" s="1">
        <f t="shared" si="41"/>
        <v>570</v>
      </c>
      <c r="B573" s="2" t="s">
        <v>2606</v>
      </c>
      <c r="C573">
        <v>0</v>
      </c>
      <c r="L573" s="11"/>
    </row>
    <row r="574" spans="1:12" ht="28.8" x14ac:dyDescent="0.3">
      <c r="A574" s="1">
        <f t="shared" si="41"/>
        <v>571</v>
      </c>
      <c r="B574" s="2" t="s">
        <v>2610</v>
      </c>
      <c r="C574">
        <v>0</v>
      </c>
      <c r="L574" s="11"/>
    </row>
    <row r="575" spans="1:12" ht="43.2" x14ac:dyDescent="0.3">
      <c r="A575" s="1">
        <f t="shared" si="41"/>
        <v>572</v>
      </c>
      <c r="B575" s="2" t="s">
        <v>2613</v>
      </c>
      <c r="C575">
        <v>0</v>
      </c>
      <c r="L575" s="11"/>
    </row>
    <row r="576" spans="1:12" ht="28.8" x14ac:dyDescent="0.3">
      <c r="A576" s="1">
        <f t="shared" si="41"/>
        <v>573</v>
      </c>
      <c r="B576" s="2" t="s">
        <v>2619</v>
      </c>
      <c r="C576">
        <v>0</v>
      </c>
      <c r="L576" s="11"/>
    </row>
    <row r="577" spans="1:12" ht="43.2" x14ac:dyDescent="0.3">
      <c r="A577" s="1">
        <f t="shared" si="41"/>
        <v>574</v>
      </c>
      <c r="B577" s="2" t="s">
        <v>2624</v>
      </c>
      <c r="C577">
        <v>0</v>
      </c>
      <c r="L577" s="11"/>
    </row>
    <row r="578" spans="1:12" ht="28.8" x14ac:dyDescent="0.3">
      <c r="A578" s="1">
        <f t="shared" si="41"/>
        <v>575</v>
      </c>
      <c r="B578" s="2" t="s">
        <v>2630</v>
      </c>
      <c r="C578">
        <v>0</v>
      </c>
      <c r="L578" s="11"/>
    </row>
    <row r="579" spans="1:12" ht="43.2" x14ac:dyDescent="0.3">
      <c r="A579" s="1">
        <f t="shared" si="41"/>
        <v>576</v>
      </c>
      <c r="B579" s="2" t="s">
        <v>2635</v>
      </c>
      <c r="C579">
        <v>0</v>
      </c>
      <c r="L579" s="11"/>
    </row>
    <row r="580" spans="1:12" ht="43.2" x14ac:dyDescent="0.3">
      <c r="A580" s="1">
        <f t="shared" si="41"/>
        <v>577</v>
      </c>
      <c r="B580" s="2" t="s">
        <v>2641</v>
      </c>
      <c r="C580">
        <v>0</v>
      </c>
      <c r="L580" s="11"/>
    </row>
    <row r="581" spans="1:12" ht="43.2" x14ac:dyDescent="0.3">
      <c r="A581" s="1">
        <f t="shared" si="41"/>
        <v>578</v>
      </c>
      <c r="B581" s="2" t="s">
        <v>2613</v>
      </c>
      <c r="C581">
        <v>0</v>
      </c>
      <c r="L581" s="11"/>
    </row>
    <row r="582" spans="1:12" ht="43.2" x14ac:dyDescent="0.3">
      <c r="A582" s="1">
        <f t="shared" ref="A582:A626" si="42">+A581+1</f>
        <v>579</v>
      </c>
      <c r="B582" s="2" t="s">
        <v>1234</v>
      </c>
      <c r="C582">
        <v>0</v>
      </c>
      <c r="L582" s="11"/>
    </row>
    <row r="583" spans="1:12" ht="43.2" x14ac:dyDescent="0.3">
      <c r="A583" s="1">
        <f t="shared" si="42"/>
        <v>580</v>
      </c>
      <c r="B583" s="2" t="s">
        <v>2650</v>
      </c>
      <c r="C583">
        <v>0</v>
      </c>
      <c r="L583" s="11"/>
    </row>
    <row r="584" spans="1:12" ht="43.2" x14ac:dyDescent="0.3">
      <c r="A584" s="1">
        <f t="shared" si="42"/>
        <v>581</v>
      </c>
      <c r="B584" s="2" t="s">
        <v>1229</v>
      </c>
      <c r="C584">
        <v>0</v>
      </c>
      <c r="L584" s="11"/>
    </row>
    <row r="585" spans="1:12" ht="43.2" x14ac:dyDescent="0.3">
      <c r="A585" s="1">
        <f t="shared" si="42"/>
        <v>582</v>
      </c>
      <c r="B585" s="2" t="s">
        <v>2657</v>
      </c>
      <c r="C585">
        <v>0</v>
      </c>
      <c r="L585" s="11"/>
    </row>
    <row r="586" spans="1:12" ht="43.2" x14ac:dyDescent="0.3">
      <c r="A586" s="1">
        <f t="shared" si="42"/>
        <v>583</v>
      </c>
      <c r="B586" s="2" t="s">
        <v>2657</v>
      </c>
      <c r="C586">
        <v>0</v>
      </c>
      <c r="L586" s="11"/>
    </row>
    <row r="587" spans="1:12" x14ac:dyDescent="0.3">
      <c r="A587" s="1">
        <f t="shared" si="42"/>
        <v>584</v>
      </c>
      <c r="B587" s="2" t="s">
        <v>2664</v>
      </c>
      <c r="C587">
        <v>0</v>
      </c>
      <c r="L587" s="11"/>
    </row>
    <row r="588" spans="1:12" ht="43.2" x14ac:dyDescent="0.3">
      <c r="A588" s="1">
        <f t="shared" si="42"/>
        <v>585</v>
      </c>
      <c r="B588" s="2" t="s">
        <v>1229</v>
      </c>
      <c r="C588">
        <v>0</v>
      </c>
      <c r="L588" s="11"/>
    </row>
    <row r="589" spans="1:12" ht="43.2" x14ac:dyDescent="0.3">
      <c r="A589" s="1">
        <f t="shared" si="42"/>
        <v>586</v>
      </c>
      <c r="B589" s="2" t="s">
        <v>2657</v>
      </c>
      <c r="C589">
        <v>0</v>
      </c>
      <c r="L589" s="11"/>
    </row>
    <row r="590" spans="1:12" ht="57.6" x14ac:dyDescent="0.3">
      <c r="A590" s="1">
        <f t="shared" si="42"/>
        <v>587</v>
      </c>
      <c r="B590" s="2" t="s">
        <v>2672</v>
      </c>
      <c r="C590">
        <v>0</v>
      </c>
      <c r="L590" s="11"/>
    </row>
    <row r="591" spans="1:12" ht="43.2" x14ac:dyDescent="0.3">
      <c r="A591" s="1">
        <f t="shared" si="42"/>
        <v>588</v>
      </c>
      <c r="B591" s="2" t="s">
        <v>2678</v>
      </c>
      <c r="C591">
        <v>0</v>
      </c>
      <c r="L591" s="11"/>
    </row>
    <row r="592" spans="1:12" ht="28.8" x14ac:dyDescent="0.3">
      <c r="A592" s="1">
        <f t="shared" si="42"/>
        <v>589</v>
      </c>
      <c r="B592" s="2" t="s">
        <v>2683</v>
      </c>
      <c r="C592">
        <v>0</v>
      </c>
      <c r="L592" s="11"/>
    </row>
    <row r="593" spans="1:12" ht="43.2" x14ac:dyDescent="0.3">
      <c r="A593" s="1">
        <f t="shared" si="42"/>
        <v>590</v>
      </c>
      <c r="B593" s="2" t="s">
        <v>2687</v>
      </c>
      <c r="C593">
        <v>0</v>
      </c>
      <c r="L593" s="11"/>
    </row>
    <row r="594" spans="1:12" ht="43.2" x14ac:dyDescent="0.3">
      <c r="A594" s="1">
        <f t="shared" si="42"/>
        <v>591</v>
      </c>
      <c r="B594" s="2" t="s">
        <v>2692</v>
      </c>
      <c r="C594">
        <v>0</v>
      </c>
      <c r="L594" s="11"/>
    </row>
    <row r="595" spans="1:12" ht="28.8" x14ac:dyDescent="0.3">
      <c r="A595" s="1">
        <f t="shared" si="42"/>
        <v>592</v>
      </c>
      <c r="B595" s="2" t="s">
        <v>2697</v>
      </c>
      <c r="C595">
        <v>0</v>
      </c>
      <c r="L595" s="11"/>
    </row>
    <row r="596" spans="1:12" ht="43.2" x14ac:dyDescent="0.3">
      <c r="A596" s="1">
        <f t="shared" si="42"/>
        <v>593</v>
      </c>
      <c r="B596" s="2" t="s">
        <v>2702</v>
      </c>
      <c r="C596">
        <v>0</v>
      </c>
      <c r="L596" s="11"/>
    </row>
    <row r="597" spans="1:12" ht="43.2" x14ac:dyDescent="0.3">
      <c r="A597" s="1">
        <f t="shared" si="42"/>
        <v>594</v>
      </c>
      <c r="B597" s="2" t="s">
        <v>2708</v>
      </c>
      <c r="C597">
        <v>0</v>
      </c>
      <c r="L597" s="11"/>
    </row>
    <row r="598" spans="1:12" x14ac:dyDescent="0.3">
      <c r="A598" s="1">
        <f t="shared" si="42"/>
        <v>595</v>
      </c>
      <c r="B598" s="2" t="s">
        <v>1778</v>
      </c>
      <c r="C598">
        <v>0</v>
      </c>
      <c r="L598" s="11"/>
    </row>
    <row r="599" spans="1:12" ht="43.2" x14ac:dyDescent="0.3">
      <c r="A599" s="1">
        <f t="shared" si="42"/>
        <v>596</v>
      </c>
      <c r="B599" s="2" t="s">
        <v>2717</v>
      </c>
      <c r="C599">
        <v>0</v>
      </c>
      <c r="L599" s="11"/>
    </row>
    <row r="600" spans="1:12" ht="43.2" x14ac:dyDescent="0.3">
      <c r="A600" s="1">
        <f t="shared" si="42"/>
        <v>597</v>
      </c>
      <c r="B600" s="2" t="s">
        <v>2722</v>
      </c>
      <c r="C600">
        <v>0</v>
      </c>
      <c r="L600" s="11"/>
    </row>
    <row r="601" spans="1:12" ht="28.8" x14ac:dyDescent="0.3">
      <c r="A601" s="1">
        <f t="shared" si="42"/>
        <v>598</v>
      </c>
      <c r="B601" s="2" t="s">
        <v>2727</v>
      </c>
      <c r="C601">
        <v>0</v>
      </c>
      <c r="L601" s="11"/>
    </row>
    <row r="602" spans="1:12" ht="72" x14ac:dyDescent="0.3">
      <c r="A602" s="1">
        <f t="shared" si="42"/>
        <v>599</v>
      </c>
      <c r="B602" s="2" t="s">
        <v>2733</v>
      </c>
      <c r="C602">
        <v>0</v>
      </c>
      <c r="L602" s="11"/>
    </row>
    <row r="603" spans="1:12" ht="28.8" x14ac:dyDescent="0.3">
      <c r="A603" s="1">
        <f t="shared" si="42"/>
        <v>600</v>
      </c>
      <c r="B603" s="2" t="s">
        <v>2738</v>
      </c>
      <c r="C603">
        <v>0</v>
      </c>
      <c r="L603" s="11"/>
    </row>
    <row r="604" spans="1:12" ht="72" x14ac:dyDescent="0.3">
      <c r="A604" s="1">
        <f t="shared" si="42"/>
        <v>601</v>
      </c>
      <c r="B604" s="2" t="s">
        <v>2742</v>
      </c>
      <c r="C604">
        <v>0</v>
      </c>
      <c r="L604" s="11"/>
    </row>
    <row r="605" spans="1:12" ht="43.2" x14ac:dyDescent="0.3">
      <c r="A605" s="1">
        <f t="shared" si="42"/>
        <v>602</v>
      </c>
      <c r="B605" s="2" t="s">
        <v>2747</v>
      </c>
      <c r="C605">
        <v>0</v>
      </c>
      <c r="L605" s="11"/>
    </row>
    <row r="606" spans="1:12" x14ac:dyDescent="0.3">
      <c r="A606" s="1">
        <f t="shared" si="42"/>
        <v>603</v>
      </c>
      <c r="B606" s="2" t="s">
        <v>1478</v>
      </c>
      <c r="C606">
        <v>0</v>
      </c>
      <c r="L606" s="11"/>
    </row>
    <row r="607" spans="1:12" ht="43.2" x14ac:dyDescent="0.3">
      <c r="A607" s="1">
        <f t="shared" si="42"/>
        <v>604</v>
      </c>
      <c r="B607" s="2" t="s">
        <v>2756</v>
      </c>
      <c r="C607">
        <v>0</v>
      </c>
      <c r="L607" s="11"/>
    </row>
    <row r="608" spans="1:12" x14ac:dyDescent="0.3">
      <c r="A608" s="1">
        <f t="shared" si="42"/>
        <v>605</v>
      </c>
      <c r="B608" s="2" t="s">
        <v>2761</v>
      </c>
      <c r="C608">
        <v>0</v>
      </c>
      <c r="L608" s="11"/>
    </row>
    <row r="609" spans="1:12" ht="43.2" x14ac:dyDescent="0.3">
      <c r="A609" s="1">
        <f t="shared" si="42"/>
        <v>606</v>
      </c>
      <c r="B609" s="2" t="s">
        <v>2767</v>
      </c>
      <c r="C609">
        <v>0</v>
      </c>
      <c r="L609" s="11"/>
    </row>
    <row r="610" spans="1:12" ht="28.8" x14ac:dyDescent="0.3">
      <c r="A610" s="1">
        <f t="shared" si="42"/>
        <v>607</v>
      </c>
      <c r="B610" s="2" t="s">
        <v>696</v>
      </c>
      <c r="C610">
        <v>0</v>
      </c>
      <c r="L610" s="11"/>
    </row>
    <row r="611" spans="1:12" ht="28.8" x14ac:dyDescent="0.3">
      <c r="A611" s="1">
        <f t="shared" si="42"/>
        <v>608</v>
      </c>
      <c r="B611" s="2" t="s">
        <v>2775</v>
      </c>
      <c r="C611">
        <v>0</v>
      </c>
      <c r="L611" s="11"/>
    </row>
    <row r="612" spans="1:12" ht="43.2" x14ac:dyDescent="0.3">
      <c r="A612" s="1">
        <f t="shared" si="42"/>
        <v>609</v>
      </c>
      <c r="B612" s="2" t="s">
        <v>2780</v>
      </c>
      <c r="C612">
        <v>0</v>
      </c>
      <c r="L612" s="11"/>
    </row>
    <row r="613" spans="1:12" ht="43.2" x14ac:dyDescent="0.3">
      <c r="A613" s="1">
        <f t="shared" si="42"/>
        <v>610</v>
      </c>
      <c r="B613" s="2" t="s">
        <v>2786</v>
      </c>
      <c r="C613">
        <v>0</v>
      </c>
      <c r="L613" s="11"/>
    </row>
    <row r="614" spans="1:12" x14ac:dyDescent="0.3">
      <c r="A614" s="1">
        <f t="shared" si="42"/>
        <v>611</v>
      </c>
      <c r="B614" s="2" t="s">
        <v>2791</v>
      </c>
      <c r="C614">
        <v>0</v>
      </c>
      <c r="L614" s="11"/>
    </row>
    <row r="615" spans="1:12" ht="43.2" x14ac:dyDescent="0.3">
      <c r="A615" s="1">
        <f t="shared" si="42"/>
        <v>612</v>
      </c>
      <c r="B615" s="2" t="s">
        <v>2796</v>
      </c>
      <c r="C615">
        <v>0</v>
      </c>
      <c r="L615" s="11"/>
    </row>
    <row r="616" spans="1:12" ht="28.8" x14ac:dyDescent="0.3">
      <c r="A616" s="1">
        <f t="shared" si="42"/>
        <v>613</v>
      </c>
      <c r="B616" s="2" t="s">
        <v>2802</v>
      </c>
      <c r="C616">
        <v>0</v>
      </c>
      <c r="L616" s="11"/>
    </row>
    <row r="617" spans="1:12" ht="28.8" x14ac:dyDescent="0.3">
      <c r="A617" s="1">
        <f t="shared" si="42"/>
        <v>614</v>
      </c>
      <c r="B617" s="2" t="s">
        <v>2808</v>
      </c>
      <c r="C617">
        <v>0</v>
      </c>
      <c r="L617" s="11"/>
    </row>
    <row r="618" spans="1:12" x14ac:dyDescent="0.3">
      <c r="A618" s="1">
        <f t="shared" si="42"/>
        <v>615</v>
      </c>
      <c r="B618" s="2" t="s">
        <v>2815</v>
      </c>
      <c r="C618">
        <v>0</v>
      </c>
      <c r="L618" s="11"/>
    </row>
    <row r="619" spans="1:12" ht="43.2" x14ac:dyDescent="0.3">
      <c r="A619" s="1">
        <f t="shared" si="42"/>
        <v>616</v>
      </c>
      <c r="B619" s="2" t="s">
        <v>2821</v>
      </c>
      <c r="C619">
        <v>0</v>
      </c>
      <c r="L619" s="11"/>
    </row>
    <row r="620" spans="1:12" ht="57.6" x14ac:dyDescent="0.3">
      <c r="A620" s="1">
        <f t="shared" si="42"/>
        <v>617</v>
      </c>
      <c r="B620" s="2" t="s">
        <v>2827</v>
      </c>
      <c r="C620">
        <v>0</v>
      </c>
      <c r="L620" s="11"/>
    </row>
    <row r="621" spans="1:12" ht="43.2" x14ac:dyDescent="0.3">
      <c r="A621" s="1">
        <f t="shared" si="42"/>
        <v>618</v>
      </c>
      <c r="B621" s="2" t="s">
        <v>2833</v>
      </c>
      <c r="C621">
        <v>0</v>
      </c>
      <c r="L621" s="11"/>
    </row>
    <row r="622" spans="1:12" ht="43.2" x14ac:dyDescent="0.3">
      <c r="A622" s="1">
        <f t="shared" si="42"/>
        <v>619</v>
      </c>
      <c r="B622" s="2" t="s">
        <v>2838</v>
      </c>
      <c r="C622">
        <v>0</v>
      </c>
      <c r="L622" s="11"/>
    </row>
    <row r="623" spans="1:12" ht="28.8" x14ac:dyDescent="0.3">
      <c r="A623" s="1">
        <f t="shared" si="42"/>
        <v>620</v>
      </c>
      <c r="B623" s="2" t="s">
        <v>2843</v>
      </c>
      <c r="C623">
        <v>0</v>
      </c>
      <c r="L623" s="11"/>
    </row>
    <row r="624" spans="1:12" ht="28.8" x14ac:dyDescent="0.3">
      <c r="A624" s="1">
        <f t="shared" si="42"/>
        <v>621</v>
      </c>
      <c r="B624" s="2" t="s">
        <v>2846</v>
      </c>
      <c r="C624">
        <v>0</v>
      </c>
      <c r="L624" s="11"/>
    </row>
    <row r="625" spans="1:12" x14ac:dyDescent="0.3">
      <c r="A625" s="1">
        <f t="shared" si="42"/>
        <v>622</v>
      </c>
      <c r="B625" s="2" t="s">
        <v>791</v>
      </c>
      <c r="C625">
        <v>0</v>
      </c>
      <c r="L625" s="11"/>
    </row>
    <row r="626" spans="1:12" ht="28.8" x14ac:dyDescent="0.3">
      <c r="A626" s="1">
        <f t="shared" si="42"/>
        <v>623</v>
      </c>
      <c r="B626" s="2" t="s">
        <v>2851</v>
      </c>
      <c r="C626">
        <v>0</v>
      </c>
      <c r="L626" s="11"/>
    </row>
  </sheetData>
  <sortState xmlns:xlrd2="http://schemas.microsoft.com/office/spreadsheetml/2017/richdata2" ref="N4:Q480">
    <sortCondition descending="1" ref="Q3:Q480"/>
  </sortState>
  <mergeCells count="4">
    <mergeCell ref="I1:L1"/>
    <mergeCell ref="I2:L2"/>
    <mergeCell ref="N2:Q2"/>
    <mergeCell ref="N1:Q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savedrecs</vt:lpstr>
      <vt:lpstr>Affilations</vt:lpstr>
      <vt:lpstr>Departments</vt:lpstr>
      <vt:lpstr>Authors</vt:lpstr>
      <vt:lpstr>Years</vt:lpstr>
      <vt:lpstr>ResearchArea</vt:lpstr>
      <vt:lpstr>Citation-Articles-By-Year</vt:lpstr>
      <vt:lpstr>Most cited articles</vt:lpstr>
      <vt:lpstr>Journal-Pub-Cite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Bourgou Khalil</cp:lastModifiedBy>
  <dcterms:created xsi:type="dcterms:W3CDTF">2024-12-03T12:00:35Z</dcterms:created>
  <dcterms:modified xsi:type="dcterms:W3CDTF">2025-02-09T20:47:56Z</dcterms:modified>
</cp:coreProperties>
</file>